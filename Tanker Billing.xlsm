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ebextensions/taskpanes.xml" ContentType="application/vnd.ms-office.webextensiontaskpanes+xml"/>
  <Override PartName="/xl/webextensions/webextension2.xml" ContentType="application/vnd.ms-office.webextension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ubhamkhetan/Library/Mobile Documents/com~apple~CloudDocs/Vriddhi Fuels/"/>
    </mc:Choice>
  </mc:AlternateContent>
  <xr:revisionPtr revIDLastSave="0" documentId="13_ncr:1_{B4967C32-20FA-6740-B792-11C9A1C9912C}" xr6:coauthVersionLast="47" xr6:coauthVersionMax="47" xr10:uidLastSave="{00000000-0000-0000-0000-000000000000}"/>
  <bookViews>
    <workbookView xWindow="0" yWindow="680" windowWidth="30240" windowHeight="16860" activeTab="3" xr2:uid="{8777935F-BA60-AC47-80F8-AF1E4F922356}"/>
  </bookViews>
  <sheets>
    <sheet name="Billing" sheetId="7" r:id="rId1"/>
    <sheet name="Proforma Invoice" sheetId="14" r:id="rId2"/>
    <sheet name="Customers" sheetId="9" r:id="rId3"/>
    <sheet name="Shortage Cr Note" sheetId="10" r:id="rId4"/>
    <sheet name="RCP CrNote" sheetId="12" r:id="rId5"/>
    <sheet name="SMEL CrNote" sheetId="11" r:id="rId6"/>
    <sheet name="PI Log" sheetId="15" r:id="rId7"/>
    <sheet name="Quotation" sheetId="13" r:id="rId8"/>
  </sheets>
  <externalReferences>
    <externalReference r:id="rId9"/>
  </externalReferences>
  <definedNames>
    <definedName name="_xlpm.a" hidden="1" xlm="1">#NAME?</definedName>
    <definedName name="_xlpm.cr" hidden="1" xlm="1">#NAME?</definedName>
    <definedName name="_xlpm.f" hidden="1" xlm="1">#NAME?</definedName>
    <definedName name="_xlpm.hd" hidden="1" xlm="1">#NAME?</definedName>
    <definedName name="_xlpm.lk" hidden="1" xlm="1">#NAME?</definedName>
    <definedName name="_xlpm.n" hidden="1" xlm="1">#NAME?</definedName>
    <definedName name="_xlpm.o" hidden="1" xlm="1">#NAME?</definedName>
    <definedName name="_xlpm.ones" hidden="1" xlm="1">#NAME?</definedName>
    <definedName name="_xlpm.rs" hidden="1" xlm="1">#NAME?</definedName>
    <definedName name="_xlpm.t" hidden="1" xlm="1">#NAME?</definedName>
    <definedName name="_xlpm.tens" hidden="1" xlm="1">#NAME?</definedName>
    <definedName name="_xlpm.th" hidden="1" xlm="1">#NAME?</definedName>
    <definedName name="CustomerNames">Customers[Company]</definedName>
    <definedName name="FuelTypeList">FuelTypes[Fuel Type]</definedName>
    <definedName name="HSD_RSP">'Customers'!$X$6</definedName>
    <definedName name="_xlnm.Print_Area" localSheetId="0">Billing!$A$1:$H$47</definedName>
    <definedName name="_xlnm.Print_Area" localSheetId="1">'Proforma Invoice'!$A$1:$H$49</definedName>
    <definedName name="ProductList">ProductRates[Product]</definedName>
    <definedName name="TierCustomers">_xlfn.ANCHORARRAY('Customers'!$Z$4)</definedName>
    <definedName name="TierList">RateCard[Price Tier]</definedName>
    <definedName name="XP_Net">'Customers'!$X$4</definedName>
    <definedName name="XP_Points">'Customers'!$X$2</definedName>
    <definedName name="XP_TDS">'Customers'!$X$3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5" l="1"/>
  <c r="O5" i="15"/>
  <c r="P9" i="9"/>
  <c r="T4" i="15"/>
  <c r="O4" i="15"/>
  <c r="L21" i="9"/>
  <c r="L29" i="9"/>
  <c r="L30" i="9"/>
  <c r="L31" i="9"/>
  <c r="B7" i="9"/>
  <c r="P8" i="9"/>
  <c r="B2" i="9"/>
  <c r="B3" i="9"/>
  <c r="B4" i="9"/>
  <c r="B5" i="9"/>
  <c r="B6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F20" i="7"/>
  <c r="B30" i="9"/>
  <c r="B31" i="9"/>
  <c r="B32" i="9"/>
  <c r="Z4" i="9" a="1"/>
  <c r="Z4" i="9"/>
  <c r="X6" i="9"/>
  <c r="X4" i="9"/>
  <c r="T3" i="15"/>
  <c r="O3" i="15"/>
  <c r="T2" i="15"/>
  <c r="O2" i="15"/>
  <c r="G6" i="14"/>
  <c r="A33" i="14"/>
  <c r="A32" i="14"/>
  <c r="A31" i="14"/>
  <c r="A30" i="14"/>
  <c r="E20" i="14"/>
  <c r="E12" i="14"/>
  <c r="A15" i="14"/>
  <c r="E15" i="14"/>
  <c r="A14" i="14"/>
  <c r="E14" i="14"/>
  <c r="A13" i="14"/>
  <c r="E13" i="14"/>
  <c r="A24" i="12"/>
  <c r="A23" i="12"/>
  <c r="A22" i="12"/>
  <c r="A24" i="11"/>
  <c r="A23" i="11"/>
  <c r="A22" i="11"/>
  <c r="A24" i="10"/>
  <c r="A23" i="10"/>
  <c r="A22" i="10"/>
  <c r="D3" i="13"/>
  <c r="B3" i="13"/>
  <c r="B4" i="13"/>
  <c r="A38" i="12"/>
  <c r="A37" i="12"/>
  <c r="G28" i="12"/>
  <c r="G34" i="12"/>
  <c r="A38" i="11"/>
  <c r="A37" i="11"/>
  <c r="G28" i="11"/>
  <c r="G34" i="11"/>
  <c r="A37" i="10"/>
  <c r="G28" i="10"/>
  <c r="G34" i="10"/>
  <c r="A38" i="10"/>
  <c r="F19" i="14"/>
  <c r="B36" i="7"/>
  <c r="B35" i="7"/>
  <c r="B34" i="7"/>
  <c r="B33" i="7"/>
  <c r="B32" i="7"/>
  <c r="C23" i="7"/>
  <c r="B23" i="7"/>
  <c r="B16" i="7"/>
  <c r="B15" i="7"/>
  <c r="B14" i="7"/>
  <c r="A25" i="14"/>
  <c r="A24" i="14"/>
  <c r="B5" i="13"/>
  <c r="I1" i="13"/>
  <c r="B6" i="13"/>
  <c r="B9" i="13"/>
  <c r="G20" i="7"/>
  <c r="B28" i="7"/>
  <c r="B25" i="7"/>
  <c r="G12" i="7"/>
  <c r="G19" i="14"/>
  <c r="G20" i="14"/>
  <c r="G23" i="14"/>
  <c r="G25" i="14"/>
  <c r="K25" i="14"/>
  <c r="B10" i="13"/>
  <c r="F9" i="13"/>
  <c r="G24" i="14"/>
  <c r="C27" i="14" a="1"/>
  <c r="C27" i="14"/>
  <c r="K26" i="14"/>
  <c r="A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<sst xmlns="http://schemas.openxmlformats.org/spreadsheetml/2006/main" count="641" uniqueCount="274">
  <si>
    <t>Company</t>
  </si>
  <si>
    <t>HSD</t>
  </si>
  <si>
    <t>HSD RSP</t>
  </si>
  <si>
    <t>Address 1</t>
  </si>
  <si>
    <t>Address 2</t>
  </si>
  <si>
    <t>Address 3</t>
  </si>
  <si>
    <t>Payment 1</t>
  </si>
  <si>
    <t>Payment 2</t>
  </si>
  <si>
    <t>Payment 3</t>
  </si>
  <si>
    <t>Payment 4</t>
  </si>
  <si>
    <t>Payment 5</t>
  </si>
  <si>
    <t>Motor Spirit</t>
  </si>
  <si>
    <t>RCP Price</t>
  </si>
  <si>
    <t>Behrapally Road,</t>
  </si>
  <si>
    <t>Jharsuguda.</t>
  </si>
  <si>
    <t>Payment Details:</t>
  </si>
  <si>
    <t>Account No. – 59217010101010</t>
  </si>
  <si>
    <t xml:space="preserve">IFSC Code – HDFC0000763 </t>
  </si>
  <si>
    <t>Branch Name- HDFC BANK LTD, JHARSUGUDA</t>
  </si>
  <si>
    <t>Benerficiary Name- VRIDDHI FUELS</t>
  </si>
  <si>
    <t>UltraTech Price</t>
  </si>
  <si>
    <t>At- Lakanpur ATPL Camp</t>
  </si>
  <si>
    <t>Post-Ubuda, Via- Belpahar.</t>
  </si>
  <si>
    <t>SMC Price</t>
  </si>
  <si>
    <t>Kulda OCP, Garjanbahal</t>
  </si>
  <si>
    <t>Basundhara, Sundargarh.</t>
  </si>
  <si>
    <t>SMEL Price</t>
  </si>
  <si>
    <t>OMPL Price</t>
  </si>
  <si>
    <t>At- Lakanpur Jorabaga Camp</t>
  </si>
  <si>
    <t>Near Samleswari OCP</t>
  </si>
  <si>
    <t>PO- Lamtibahal, Via- Brajrajnagar.</t>
  </si>
  <si>
    <t>KRISHNA INFRATECH PVT LTD</t>
  </si>
  <si>
    <t>LN LOGISTICS PVT LTD</t>
  </si>
  <si>
    <t>MA AUTOMOBILE</t>
  </si>
  <si>
    <t>J.L.No. 184, Marakuta,</t>
  </si>
  <si>
    <t>Industrial Estate Jharsuguda.</t>
  </si>
  <si>
    <t>GSTIN : 21AAACO8663L1Z8</t>
  </si>
  <si>
    <t>Account No. – 046805004716</t>
  </si>
  <si>
    <t xml:space="preserve">IFSC Code – ICIC0000468 </t>
  </si>
  <si>
    <t>Branch Name – ICICI BANK LTD, JHARSUGUDA</t>
  </si>
  <si>
    <t>Beneficiary Name – Vriddhi Fuels</t>
  </si>
  <si>
    <t>Vill – Pandloi , P.O - Lapanga</t>
  </si>
  <si>
    <t>GSTIN : 21AAHCS5842A1ZT</t>
  </si>
  <si>
    <t>Hirma,</t>
  </si>
  <si>
    <t>SANIR ENTERPRISES</t>
  </si>
  <si>
    <t>(Unit: Jharsuguda Cement Works)</t>
  </si>
  <si>
    <t>P.O. Arda, DIST: Jharsuguda.</t>
  </si>
  <si>
    <t>GSTIN: 21AAACL6442L1ZM</t>
  </si>
  <si>
    <t>GSTIN: 21AAFCR1669A1ZV</t>
  </si>
  <si>
    <t>Kukurjanga, P.O.- Badmal</t>
  </si>
  <si>
    <t>Bill To</t>
  </si>
  <si>
    <t>Date:</t>
  </si>
  <si>
    <t>Product:</t>
  </si>
  <si>
    <t>Date</t>
  </si>
  <si>
    <t>Bill No</t>
  </si>
  <si>
    <t>Quantity</t>
  </si>
  <si>
    <t>Price/Ltr</t>
  </si>
  <si>
    <t>Amount</t>
  </si>
  <si>
    <t>P.O. No.:</t>
  </si>
  <si>
    <t>for VRIDDHI FUELS</t>
  </si>
  <si>
    <t>Signature of Customer</t>
  </si>
  <si>
    <t>SMC Power Generation LTD, UNIT I</t>
  </si>
  <si>
    <t>SMC Power Generation LTD, UNIT II</t>
  </si>
  <si>
    <t>High Speed Diesel</t>
  </si>
  <si>
    <t>Orissa Metaliks Private Limited</t>
  </si>
  <si>
    <t>Pentane Logistics PVT LTD</t>
  </si>
  <si>
    <t>Babylon Logistics PVT LTD</t>
  </si>
  <si>
    <t>Shiva Enterprises</t>
  </si>
  <si>
    <t>M/S Ultratech Cement Ltd</t>
  </si>
  <si>
    <t>Samarpan Logistics PVT LTD</t>
  </si>
  <si>
    <t>M/s Jai Balaji Oxygen Private Limited</t>
  </si>
  <si>
    <t>M/s Ankita Air Products Private Limited</t>
  </si>
  <si>
    <t>Agrim Mining (Jv)</t>
  </si>
  <si>
    <t>GSTIN: 21AAGCS3066B1ZW</t>
  </si>
  <si>
    <t>GSTIN: 21AAKAJ1422C1ZF</t>
  </si>
  <si>
    <t>S K Trading</t>
  </si>
  <si>
    <t>GSTIN: 21AEPFS4587M1ZA</t>
  </si>
  <si>
    <t>Sambalpur.</t>
  </si>
  <si>
    <t>GSTIN: 21AAECV8578K1ZT</t>
  </si>
  <si>
    <t>GSTIN: 21AAICB2269B1Z8</t>
  </si>
  <si>
    <t>GSTIN: 21AAICB2388M1ZH</t>
  </si>
  <si>
    <t>GSTIN: 21AAHCG4668E1ZR</t>
  </si>
  <si>
    <t>GSTIN: 21AAHCG4558M1ZD</t>
  </si>
  <si>
    <t>GSTIN: 21AAECH6419F1ZY</t>
  </si>
  <si>
    <t>GSTIN: 21AAMCM4021C1Z5</t>
  </si>
  <si>
    <t>GSTIN: 21AAHCR6100J1ZQ</t>
  </si>
  <si>
    <t>GSTIN: 21AAKAA9885C1ZP</t>
  </si>
  <si>
    <t>Aryan Ispat &amp; Power Private Ltd.</t>
  </si>
  <si>
    <t>GSTIN: 21AAECA5656R1ZB</t>
  </si>
  <si>
    <t>XtraGreen Diesel</t>
  </si>
  <si>
    <t>Bhaskar Earthmover Private Limited</t>
  </si>
  <si>
    <t>Maa Karni Earthmover Private Limited</t>
  </si>
  <si>
    <t>Bkd Logistics Private Limited</t>
  </si>
  <si>
    <t>Virendra Logistics Private Limited</t>
  </si>
  <si>
    <t>Grk Logistics Private Limited</t>
  </si>
  <si>
    <t>Ib Logistics Private Limited</t>
  </si>
  <si>
    <t>Jay Hanuman Transport and Multipurpose Co-Operative Society Ltd</t>
  </si>
  <si>
    <t>Maheshanand Logistics Private Limited</t>
  </si>
  <si>
    <t>Rm3d Mining and Logistics Private Limited</t>
  </si>
  <si>
    <t>Sainik Infratec Private Limited</t>
  </si>
  <si>
    <t>Shyam Metalics and Energy Ltd</t>
  </si>
  <si>
    <t>Great River Coy Private Limited</t>
  </si>
  <si>
    <t>Harnoor Logistics Private Limited</t>
  </si>
  <si>
    <t>Vehicle</t>
  </si>
  <si>
    <t>PO Label</t>
  </si>
  <si>
    <t>PO No.</t>
  </si>
  <si>
    <t xml:space="preserve"> </t>
  </si>
  <si>
    <t>Price Tier</t>
  </si>
  <si>
    <t>CREDIT NOTE (SHORTAGE in MATERIAL)</t>
  </si>
  <si>
    <t>VRIDDHI FUELS (2026-27)</t>
  </si>
  <si>
    <t>Credit Note No.</t>
  </si>
  <si>
    <t>AT- KHERUAL, PO- BADMAL</t>
  </si>
  <si>
    <t>DIST- JHARSUGUDA, 768202</t>
  </si>
  <si>
    <t>GSTIN: 21AATFV8250A1Z8</t>
  </si>
  <si>
    <t>Invoice No</t>
  </si>
  <si>
    <t>Email: subhamkhetan@gmail.com</t>
  </si>
  <si>
    <t>PO Number</t>
  </si>
  <si>
    <t>Buyer (Bill To)</t>
  </si>
  <si>
    <t>Terms of Credit Note:</t>
  </si>
  <si>
    <t>• This is issued when Material is found Short</t>
  </si>
  <si>
    <t>• We agree that you debit the amount in our account</t>
  </si>
  <si>
    <t>S.No.</t>
  </si>
  <si>
    <t>Description of Goods found Short</t>
  </si>
  <si>
    <t>Price</t>
  </si>
  <si>
    <t>High Speed Diesel (HSD)</t>
  </si>
  <si>
    <t>TOTAL</t>
  </si>
  <si>
    <t>Remarks</t>
  </si>
  <si>
    <t>Autorised Signatory</t>
  </si>
  <si>
    <t>FINANCIAL CREDIT NOTE</t>
  </si>
  <si>
    <t>VRIDDHI FUELS (2025-26)</t>
  </si>
  <si>
    <t>SMEL/002</t>
  </si>
  <si>
    <t>• 36 paise discount given per ₹100/- only when</t>
  </si>
  <si>
    <t>paying on IOCL XTRAPOWER Account.</t>
  </si>
  <si>
    <t>• Discount issued after redeeming XP Points</t>
  </si>
  <si>
    <t>• 4 paise per ₹100/- will be deposited as TDS by IOCL.</t>
  </si>
  <si>
    <t>Description of Goods</t>
  </si>
  <si>
    <t>Amount Paid</t>
  </si>
  <si>
    <t>Discount per ₹100/-</t>
  </si>
  <si>
    <t>Discount Amount</t>
  </si>
  <si>
    <t>CREDIT NOTE</t>
  </si>
  <si>
    <t>Original Invoice No</t>
  </si>
  <si>
    <t>32 paise discount given per Litre only when</t>
  </si>
  <si>
    <t>Discount issued after redeeming XP Points</t>
  </si>
  <si>
    <t>Quantity (Ltr)</t>
  </si>
  <si>
    <t>Discount Rate/Ltr</t>
  </si>
  <si>
    <t>Particulars</t>
  </si>
  <si>
    <t>For: SHYAM METALICS &amp; ENERGY LTD</t>
  </si>
  <si>
    <t>RSP</t>
  </si>
  <si>
    <t>Invoice Quantity</t>
  </si>
  <si>
    <t xml:space="preserve">My Disc </t>
  </si>
  <si>
    <t>Payment Amount</t>
  </si>
  <si>
    <t>IOCL Disc</t>
  </si>
  <si>
    <t>Points Credit</t>
  </si>
  <si>
    <t>Calculated for Amount &gt; 130 Lacs</t>
  </si>
  <si>
    <t>TDS Points</t>
  </si>
  <si>
    <t>Will be Paid to PAN on Quarterly Basis</t>
  </si>
  <si>
    <t>Direct Redeemable Points</t>
  </si>
  <si>
    <t>Direct Disc Per for Card (excl TDS Points)</t>
  </si>
  <si>
    <t>Final Landing Price</t>
  </si>
  <si>
    <t>Total Disc Per for Card (incl TDS Points)</t>
  </si>
  <si>
    <t>Invoice Details:</t>
  </si>
  <si>
    <t>PROFORMA INVOICE</t>
  </si>
  <si>
    <t>VRIDDHI FUELS</t>
  </si>
  <si>
    <t>Authorised Dealer – Indian Oil Corporation Limited</t>
  </si>
  <si>
    <t>GSTIN: 21AATFV8250A1Z8      PAN: AATFV8250A</t>
  </si>
  <si>
    <t>Proforma Invoice No.</t>
  </si>
  <si>
    <t>Buyer's P.O. No.</t>
  </si>
  <si>
    <t>P.O. Date</t>
  </si>
  <si>
    <t>Place of Supply</t>
  </si>
  <si>
    <t>Odisha (21)</t>
  </si>
  <si>
    <t>Consignee (Ship To / Delivery Address)</t>
  </si>
  <si>
    <t>State Name &amp; Code: Odisha, 21</t>
  </si>
  <si>
    <t>Contact Person / Mob:</t>
  </si>
  <si>
    <t>HSN Code</t>
  </si>
  <si>
    <t>Rate (₹/Ltr)</t>
  </si>
  <si>
    <t>Amount (₹)</t>
  </si>
  <si>
    <t>Note: High Speed Diesel is outside the purview of GST. Rate quoted is inclusive of applicable VAT,</t>
  </si>
  <si>
    <t>freight and delivery charges (FOR Buyer's site). No GST is charged on this supply.</t>
  </si>
  <si>
    <t>Sub Total</t>
  </si>
  <si>
    <t>Round Off</t>
  </si>
  <si>
    <t>Amount Chargeable (in words):</t>
  </si>
  <si>
    <t>Payment Details – 100% Advance (RTGS / NEFT)</t>
  </si>
  <si>
    <t>Payment Reference: quote PI No. &amp; P.O. No.</t>
  </si>
  <si>
    <t>Declaration:</t>
  </si>
  <si>
    <t>We declare that this Proforma Invoice shows the actual price of the goods described and that</t>
  </si>
  <si>
    <t>all particulars are true and correct. This is a Proforma Invoice for advance payment only – it is</t>
  </si>
  <si>
    <t>NOT a Tax Invoice and is not valid for claiming input tax credit.</t>
  </si>
  <si>
    <t>Terms &amp; Conditions</t>
  </si>
  <si>
    <t>1.  Payment: 100% advance against this Proforma Invoice. Dispatch only after credit is realised.</t>
  </si>
  <si>
    <t>2.  Price basis: FOR Buyer's site. Freight, P&amp;F and delivery charges inclusive.</t>
  </si>
  <si>
    <t>3.  Rate is linked to IOCL Retail Selling Price and changes with every IOCL price revision.</t>
  </si>
  <si>
    <t>4.  Billing will be at the rate prevailing on the date of actual dispatch.</t>
  </si>
  <si>
    <t>6.  HSD is outside GST; supply attracts VAT, which is included in the rate. HSN 27101930.</t>
  </si>
  <si>
    <t>7.  Delivery: immediate against confirmation, during working hours, at the address shown.</t>
  </si>
  <si>
    <t>8.  Quantity is subject to temperature / density variation as per IOCL norms; quantity and</t>
  </si>
  <si>
    <t xml:space="preserve">     density recorded at the delivery point shall be final and binding.</t>
  </si>
  <si>
    <t>9.  Shortage or quality claims must be raised in writing within 24 hours of delivery.</t>
  </si>
  <si>
    <t>10. Tax Invoice and Delivery Challan will be issued at the time of delivery.</t>
  </si>
  <si>
    <t>Received the above Proforma Invoice and accept the terms stated.</t>
  </si>
  <si>
    <t>Buyer's Signature &amp; Seal</t>
  </si>
  <si>
    <t>Authorised Signatory</t>
  </si>
  <si>
    <t>This is a computer-generated Proforma Invoice.</t>
  </si>
  <si>
    <t>27101930</t>
  </si>
  <si>
    <t>At- Kherual, PO- Badmal, Dist- Jharsuguda, Odisha – 768202</t>
  </si>
  <si>
    <t>Mob: 9937344411 / 7008540577</t>
  </si>
  <si>
    <t>Valid Up To (midnight)</t>
  </si>
  <si>
    <t>5.  Validity: this PI is valid up to midnight of the 'Valid Up To' date shown above – the 15th</t>
  </si>
  <si>
    <t xml:space="preserve">     for PIs dated 1st–15th, and month-end for PIs dated after the 15th.</t>
  </si>
  <si>
    <t>Virtual Account No. – IOCLXPP1005218882</t>
  </si>
  <si>
    <t>IFS Code – HDFC0000240</t>
  </si>
  <si>
    <t>Branch Name– HDFC Sandoz Branch, Worli, Mumbai</t>
  </si>
  <si>
    <t>Beneficiary Name – Indian Oil Corporation Limited</t>
  </si>
  <si>
    <t>Virtual Account No. – IOCLXPP1002033366</t>
  </si>
  <si>
    <t>Payment Details for XtraPower Account:</t>
  </si>
  <si>
    <t>Virtual Account No. – IOCLXPP1002033369</t>
  </si>
  <si>
    <t>Virtual Account No. – IOCLXPP1002033478</t>
  </si>
  <si>
    <t>Virtual Account No. – IOCLXPP1002033371</t>
  </si>
  <si>
    <t>Virtual Account No. – IOCLXPP1002033370</t>
  </si>
  <si>
    <t>Virtual Account No. – IOCLXPP1002033367</t>
  </si>
  <si>
    <t>Virtual Account No. – IOCLXPP1002032631</t>
  </si>
  <si>
    <t>Virtual Account No. – IOCLXPP1002033477</t>
  </si>
  <si>
    <t>Virtual Account No. – IOCLXPP1002033365</t>
  </si>
  <si>
    <t>Points earned (paise per ₹100 paid)</t>
  </si>
  <si>
    <t>TDS deducted by IOCL on points</t>
  </si>
  <si>
    <t>Net points credited (paise per ₹100)</t>
  </si>
  <si>
    <t>PI/2026-27/002</t>
  </si>
  <si>
    <t>Grand Total (₹)</t>
  </si>
  <si>
    <t>Log ID</t>
  </si>
  <si>
    <t>PI No.</t>
  </si>
  <si>
    <t>PI Date</t>
  </si>
  <si>
    <t>Valid Up To</t>
  </si>
  <si>
    <t>Customer</t>
  </si>
  <si>
    <t>Buyer GSTIN</t>
  </si>
  <si>
    <t>P.O. No.</t>
  </si>
  <si>
    <t>Description</t>
  </si>
  <si>
    <t>IOCL RSP (₹/Ltr)</t>
  </si>
  <si>
    <t>Discount (₹/Ltr)</t>
  </si>
  <si>
    <t>Sub Total (₹)</t>
  </si>
  <si>
    <t>Round Off (₹)</t>
  </si>
  <si>
    <t>XtraPower Points</t>
  </si>
  <si>
    <t>Effective Rate (₹/Ltr)</t>
  </si>
  <si>
    <t>Amount in Words</t>
  </si>
  <si>
    <t>Contact Person</t>
  </si>
  <si>
    <t>Printed On</t>
  </si>
  <si>
    <t>Printed By</t>
  </si>
  <si>
    <t>Helpers – outside print area (A1:H49)</t>
  </si>
  <si>
    <t>XtraPower points on this supply</t>
  </si>
  <si>
    <t>Effective rate after points (₹/Ltr)</t>
  </si>
  <si>
    <t>PI/2026-27/001</t>
  </si>
  <si>
    <t>Rupees Eleven Lakh Ninety Four Thousand Only</t>
  </si>
  <si>
    <t>Subham Khetan</t>
  </si>
  <si>
    <t>Rupees One Crore Forty Nine Lakh Twenty Five Thousand Only</t>
  </si>
  <si>
    <t>Rate</t>
  </si>
  <si>
    <t>Product</t>
  </si>
  <si>
    <t>Fuel Type</t>
  </si>
  <si>
    <t>IOCL HSD RSP (₹/Ltr)</t>
  </si>
  <si>
    <t>Credit-note tier filter</t>
  </si>
  <si>
    <t>Customers in Selected Tier</t>
  </si>
  <si>
    <t>Dbl-Siarmal Coal Mines Private Limited</t>
  </si>
  <si>
    <t>DBL Price</t>
  </si>
  <si>
    <t>Plot No 905, Hemgir</t>
  </si>
  <si>
    <t>Vill: Gopalpur, Sundargarh.</t>
  </si>
  <si>
    <t>GSTIN : 21AAICD4535C1Z7</t>
  </si>
  <si>
    <t>OR15R9360</t>
  </si>
  <si>
    <t>PI/2026-27/003</t>
  </si>
  <si>
    <t>PI/2026-27/004</t>
  </si>
  <si>
    <t>P726Y-00713</t>
  </si>
  <si>
    <t>Aryan Price</t>
  </si>
  <si>
    <t>Rupees Eleven Lakh Ninety Six Thousand Eight Hundred Eighty Only</t>
  </si>
  <si>
    <t>OMPL/003</t>
  </si>
  <si>
    <t>O326212575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</si>
</sst>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₹&quot;#,##0_);\(&quot;₹&quot;#,##0\)"/>
    <numFmt numFmtId="164" formatCode="dd/mm/yy;@"/>
    <numFmt numFmtId="165" formatCode="&quot;₹&quot;#,##0.00"/>
    <numFmt numFmtId="166" formatCode="&quot;₹&quot;#,##0"/>
    <numFmt numFmtId="167" formatCode="dd/mm/yyyy"/>
    <numFmt numFmtId="168" formatCode="\₹#,##0"/>
    <numFmt numFmtId="169" formatCode="dd/mm/yyyy\ hh:mm"/>
    <numFmt numFmtId="170" formatCode="[&gt;=10000000]##\,##\,##\,##0.00;[&gt;=100000]##\,##\,##0.00;##,##0.00"/>
    <numFmt numFmtId="171" formatCode="[&gt;=10000000]\₹##\,##\,##\,##0;[&gt;=100000]\₹##\,##\,##0;\₹##,##0"/>
    <numFmt numFmtId="172" formatCode="[&gt;=10000000]##\,##\,##\,##0;[&gt;=100000]##\,##\,##0;##,##0"/>
  </numFmts>
  <fonts count="64" x14ac:knownFonts="1">
    <font>
      <sz val="12"/>
      <color theme="1"/>
      <name val="Aptos Narrow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i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2"/>
      <color theme="1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4"/>
      <color theme="1"/>
      <name val="Arial Narrow Bold"/>
    </font>
    <font>
      <b/>
      <sz val="16"/>
      <color theme="1"/>
      <name val="Arial"/>
      <family val="2"/>
    </font>
    <font>
      <sz val="16"/>
      <color theme="1"/>
      <name val="Aptos Narrow"/>
      <scheme val="minor"/>
    </font>
    <font>
      <sz val="16"/>
      <color theme="1"/>
      <name val="Arial"/>
      <family val="2"/>
    </font>
    <font>
      <sz val="14"/>
      <color theme="1"/>
      <name val="Arial"/>
      <family val="2"/>
    </font>
    <font>
      <b/>
      <sz val="16"/>
      <color rgb="FFFF9300"/>
      <name val="Arial"/>
      <family val="2"/>
    </font>
    <font>
      <b/>
      <sz val="18"/>
      <color theme="1"/>
      <name val="Times New Roman"/>
      <family val="1"/>
    </font>
    <font>
      <sz val="18"/>
      <color theme="1"/>
      <name val="Aptos Narrow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i/>
      <sz val="14"/>
      <color theme="1"/>
      <name val="Arial"/>
      <family val="2"/>
    </font>
    <font>
      <b/>
      <sz val="14"/>
      <color theme="1"/>
      <name val="Arial"/>
      <family val="2"/>
    </font>
    <font>
      <b/>
      <sz val="20"/>
      <color rgb="FFFF0000"/>
      <name val="Arial"/>
      <family val="2"/>
    </font>
    <font>
      <sz val="20"/>
      <color theme="1"/>
      <name val="Arial"/>
      <family val="2"/>
    </font>
    <font>
      <b/>
      <i/>
      <sz val="16"/>
      <color theme="1"/>
      <name val="Aptos Narrow"/>
      <scheme val="minor"/>
    </font>
    <font>
      <sz val="16"/>
      <color rgb="FFFF9300"/>
      <name val="Arial"/>
      <family val="2"/>
    </font>
    <font>
      <b/>
      <sz val="12"/>
      <color theme="1"/>
      <name val="Times New Roman"/>
      <family val="1"/>
    </font>
    <font>
      <sz val="12"/>
      <color theme="2"/>
      <name val="Aptos Narrow"/>
      <family val="2"/>
      <scheme val="minor"/>
    </font>
    <font>
      <sz val="18"/>
      <color theme="1"/>
      <name val="Times New Roman"/>
      <family val="1"/>
    </font>
    <font>
      <b/>
      <sz val="12"/>
      <color rgb="FF00B050"/>
      <name val="Times New Roman"/>
      <family val="1"/>
    </font>
    <font>
      <b/>
      <sz val="16"/>
      <color rgb="FF00B050"/>
      <name val="Times New Roman"/>
      <family val="1"/>
    </font>
    <font>
      <b/>
      <sz val="14"/>
      <color rgb="FF00B050"/>
      <name val="Times New Roman"/>
      <family val="1"/>
    </font>
    <font>
      <sz val="18"/>
      <color rgb="FF00B050"/>
      <name val="Times New Roman"/>
      <family val="1"/>
    </font>
    <font>
      <sz val="13"/>
      <color theme="1"/>
      <name val="Arial"/>
      <family val="2"/>
    </font>
    <font>
      <b/>
      <sz val="17"/>
      <color theme="1"/>
      <name val="Arial"/>
      <family val="2"/>
    </font>
    <font>
      <i/>
      <sz val="17"/>
      <color theme="1"/>
      <name val="Arial"/>
      <family val="2"/>
    </font>
    <font>
      <sz val="17"/>
      <color theme="1"/>
      <name val="Arial"/>
      <family val="2"/>
    </font>
    <font>
      <b/>
      <sz val="14"/>
      <color rgb="FF0000FF"/>
      <name val="Arial"/>
      <family val="2"/>
    </font>
    <font>
      <b/>
      <sz val="16"/>
      <color rgb="FF0000FF"/>
      <name val="Times New Roman"/>
      <family val="1"/>
    </font>
    <font>
      <b/>
      <sz val="16"/>
      <color rgb="FFE97132"/>
      <name val="Arial"/>
      <family val="2"/>
    </font>
    <font>
      <sz val="16"/>
      <color rgb="FF0000FF"/>
      <name val="Times New Roman"/>
      <family val="1"/>
    </font>
    <font>
      <sz val="16"/>
      <color rgb="FF0000FF"/>
      <name val="Arial"/>
      <family val="2"/>
    </font>
    <font>
      <b/>
      <i/>
      <sz val="14"/>
      <color theme="1"/>
      <name val="Arial"/>
      <family val="2"/>
    </font>
    <font>
      <sz val="12"/>
      <color rgb="FF000000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3"/>
      <color theme="1"/>
      <name val="Arial"/>
      <family val="2"/>
    </font>
    <font>
      <b/>
      <sz val="15"/>
      <color rgb="FF008000"/>
      <name val="Aptos Narrow"/>
      <family val="2"/>
      <scheme val="minor"/>
    </font>
    <font>
      <i/>
      <sz val="13"/>
      <color rgb="FF008000"/>
      <name val="Aptos Narrow"/>
      <family val="2"/>
      <scheme val="minor"/>
    </font>
    <font>
      <b/>
      <i/>
      <sz val="14"/>
      <color rgb="FF008000"/>
      <name val="Aptos Narrow"/>
      <scheme val="minor"/>
    </font>
    <font>
      <b/>
      <sz val="15"/>
      <color theme="1"/>
      <name val="Arial"/>
      <family val="2"/>
    </font>
    <font>
      <b/>
      <i/>
      <sz val="15"/>
      <color theme="1"/>
      <name val="Arial"/>
      <family val="2"/>
    </font>
    <font>
      <i/>
      <sz val="15"/>
      <color theme="1"/>
      <name val="Arial"/>
      <family val="2"/>
    </font>
    <font>
      <b/>
      <sz val="15"/>
      <color rgb="FFE97132"/>
      <name val="Arial"/>
      <family val="2"/>
    </font>
    <font>
      <b/>
      <sz val="19"/>
      <color theme="1"/>
      <name val="Arial"/>
      <family val="2"/>
    </font>
    <font>
      <b/>
      <sz val="19"/>
      <color rgb="FFFF0000"/>
      <name val="Arial"/>
      <family val="2"/>
    </font>
    <font>
      <b/>
      <sz val="11"/>
      <color rgb="FFFFFFFF"/>
      <name val="Arial"/>
      <family val="2"/>
    </font>
    <font>
      <b/>
      <sz val="11"/>
      <color rgb="FF808080"/>
      <name val="Aptos Narrow"/>
      <family val="2"/>
      <scheme val="minor"/>
    </font>
    <font>
      <b/>
      <sz val="11"/>
      <color rgb="FF000000"/>
      <name val="Arial"/>
      <family val="2"/>
    </font>
    <font>
      <sz val="14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4"/>
      <color rgb="FF000000"/>
      <name val="Times New Roman"/>
      <family val="1"/>
    </font>
    <font>
      <sz val="16"/>
      <color rgb="FF000000"/>
      <name val="Times New Roman"/>
      <family val="1"/>
    </font>
    <font>
      <i/>
      <sz val="16"/>
      <color rgb="FF000000"/>
      <name val="Times New Roman"/>
      <family val="1"/>
    </font>
    <font>
      <i/>
      <sz val="14"/>
      <color rgb="FF000000"/>
      <name val="Times New Roman"/>
      <family val="1"/>
    </font>
    <font>
      <b/>
      <sz val="16"/>
      <color rgb="FFE97132"/>
      <name val="Times New Roman"/>
      <family val="1"/>
    </font>
    <font>
      <b/>
      <sz val="14"/>
      <color rgb="FFE97132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6EA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1F4E79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medium">
        <color rgb="FF008000"/>
      </top>
      <bottom style="medium">
        <color rgb="FF008000"/>
      </bottom>
      <diagonal/>
    </border>
    <border>
      <left/>
      <right/>
      <top style="medium">
        <color rgb="FF008000"/>
      </top>
      <bottom style="medium">
        <color rgb="FF008000"/>
      </bottom>
      <diagonal/>
    </border>
    <border>
      <left/>
      <right style="medium">
        <color auto="1"/>
      </right>
      <top style="medium">
        <color rgb="FF008000"/>
      </top>
      <bottom style="medium">
        <color rgb="FF008000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1" fillId="0" borderId="0" xfId="0" applyFont="1"/>
    <xf numFmtId="0" fontId="6" fillId="0" borderId="0" xfId="0" applyFont="1"/>
    <xf numFmtId="2" fontId="0" fillId="0" borderId="0" xfId="0" applyNumberFormat="1"/>
    <xf numFmtId="2" fontId="7" fillId="0" borderId="0" xfId="0" applyNumberFormat="1" applyFont="1"/>
    <xf numFmtId="0" fontId="9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2" fillId="0" borderId="8" xfId="0" applyFont="1" applyBorder="1"/>
    <xf numFmtId="0" fontId="10" fillId="0" borderId="0" xfId="0" applyFont="1"/>
    <xf numFmtId="0" fontId="10" fillId="0" borderId="9" xfId="0" applyFont="1" applyBorder="1"/>
    <xf numFmtId="0" fontId="12" fillId="0" borderId="12" xfId="0" applyFont="1" applyBorder="1"/>
    <xf numFmtId="0" fontId="10" fillId="0" borderId="10" xfId="0" applyFont="1" applyBorder="1"/>
    <xf numFmtId="0" fontId="10" fillId="0" borderId="11" xfId="0" applyFont="1" applyBorder="1"/>
    <xf numFmtId="0" fontId="14" fillId="0" borderId="8" xfId="0" applyFont="1" applyBorder="1" applyAlignment="1">
      <alignment horizontal="left"/>
    </xf>
    <xf numFmtId="0" fontId="15" fillId="0" borderId="0" xfId="0" applyFont="1"/>
    <xf numFmtId="0" fontId="16" fillId="0" borderId="7" xfId="0" applyFont="1" applyBorder="1"/>
    <xf numFmtId="0" fontId="0" fillId="0" borderId="5" xfId="0" applyBorder="1"/>
    <xf numFmtId="0" fontId="0" fillId="0" borderId="6" xfId="0" applyBorder="1"/>
    <xf numFmtId="0" fontId="17" fillId="0" borderId="8" xfId="0" applyFont="1" applyBorder="1"/>
    <xf numFmtId="0" fontId="0" fillId="0" borderId="9" xfId="0" applyBorder="1"/>
    <xf numFmtId="0" fontId="18" fillId="0" borderId="8" xfId="0" applyFont="1" applyBorder="1"/>
    <xf numFmtId="0" fontId="0" fillId="0" borderId="8" xfId="0" applyBorder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19" fillId="0" borderId="1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22" fillId="0" borderId="2" xfId="0" applyFont="1" applyBorder="1"/>
    <xf numFmtId="0" fontId="0" fillId="0" borderId="3" xfId="0" applyBorder="1"/>
    <xf numFmtId="0" fontId="0" fillId="0" borderId="4" xfId="0" applyBorder="1"/>
    <xf numFmtId="0" fontId="16" fillId="0" borderId="8" xfId="0" applyFont="1" applyBorder="1"/>
    <xf numFmtId="0" fontId="14" fillId="0" borderId="0" xfId="0" applyFont="1" applyAlignment="1">
      <alignment horizontal="left"/>
    </xf>
    <xf numFmtId="0" fontId="16" fillId="0" borderId="2" xfId="0" applyFont="1" applyBorder="1"/>
    <xf numFmtId="0" fontId="16" fillId="0" borderId="12" xfId="0" applyFont="1" applyBorder="1"/>
    <xf numFmtId="0" fontId="17" fillId="0" borderId="7" xfId="0" applyFont="1" applyBorder="1"/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1" fillId="0" borderId="2" xfId="0" applyFont="1" applyBorder="1"/>
    <xf numFmtId="0" fontId="9" fillId="0" borderId="8" xfId="0" applyFont="1" applyBorder="1" applyProtection="1">
      <protection locked="0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165" fontId="0" fillId="0" borderId="0" xfId="0" applyNumberFormat="1"/>
    <xf numFmtId="165" fontId="25" fillId="0" borderId="0" xfId="0" applyNumberFormat="1" applyFont="1"/>
    <xf numFmtId="0" fontId="0" fillId="0" borderId="0" xfId="0" applyAlignment="1">
      <alignment horizontal="right"/>
    </xf>
    <xf numFmtId="0" fontId="26" fillId="0" borderId="1" xfId="0" applyFont="1" applyBorder="1" applyAlignment="1">
      <alignment horizontal="left"/>
    </xf>
    <xf numFmtId="0" fontId="26" fillId="0" borderId="1" xfId="0" applyFont="1" applyBorder="1" applyAlignment="1">
      <alignment horizontal="right"/>
    </xf>
    <xf numFmtId="166" fontId="26" fillId="0" borderId="1" xfId="0" applyNumberFormat="1" applyFont="1" applyBorder="1" applyAlignment="1">
      <alignment horizontal="right"/>
    </xf>
    <xf numFmtId="10" fontId="0" fillId="0" borderId="0" xfId="0" applyNumberFormat="1"/>
    <xf numFmtId="165" fontId="26" fillId="0" borderId="1" xfId="0" applyNumberFormat="1" applyFont="1" applyBorder="1" applyAlignment="1">
      <alignment horizontal="right"/>
    </xf>
    <xf numFmtId="0" fontId="26" fillId="0" borderId="0" xfId="0" applyFont="1"/>
    <xf numFmtId="0" fontId="27" fillId="0" borderId="1" xfId="0" applyFont="1" applyBorder="1" applyAlignment="1">
      <alignment wrapText="1"/>
    </xf>
    <xf numFmtId="165" fontId="28" fillId="0" borderId="1" xfId="0" applyNumberFormat="1" applyFont="1" applyBorder="1" applyAlignment="1">
      <alignment horizontal="center" vertical="center"/>
    </xf>
    <xf numFmtId="2" fontId="30" fillId="2" borderId="18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24" xfId="0" applyFont="1" applyBorder="1" applyAlignment="1">
      <alignment vertical="center"/>
    </xf>
    <xf numFmtId="0" fontId="16" fillId="0" borderId="27" xfId="0" applyFont="1" applyBorder="1" applyAlignment="1">
      <alignment vertical="center"/>
    </xf>
    <xf numFmtId="0" fontId="16" fillId="0" borderId="29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30" xfId="0" applyFont="1" applyBorder="1" applyAlignment="1">
      <alignment vertical="center"/>
    </xf>
    <xf numFmtId="0" fontId="0" fillId="0" borderId="27" xfId="0" applyBorder="1"/>
    <xf numFmtId="0" fontId="9" fillId="3" borderId="19" xfId="0" applyFont="1" applyFill="1" applyBorder="1" applyAlignment="1">
      <alignment horizontal="center" vertical="center"/>
    </xf>
    <xf numFmtId="0" fontId="9" fillId="3" borderId="35" xfId="0" applyFont="1" applyFill="1" applyBorder="1" applyAlignment="1">
      <alignment horizontal="center" vertical="center"/>
    </xf>
    <xf numFmtId="0" fontId="39" fillId="0" borderId="38" xfId="0" applyFont="1" applyBorder="1" applyAlignment="1">
      <alignment horizontal="center" vertical="center"/>
    </xf>
    <xf numFmtId="49" fontId="39" fillId="0" borderId="13" xfId="0" applyNumberFormat="1" applyFont="1" applyBorder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0" fontId="11" fillId="0" borderId="37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1" fillId="0" borderId="1" xfId="0" applyFont="1" applyBorder="1" applyAlignment="1">
      <alignment horizontal="right"/>
    </xf>
    <xf numFmtId="0" fontId="41" fillId="6" borderId="40" xfId="0" applyFont="1" applyFill="1" applyBorder="1"/>
    <xf numFmtId="9" fontId="7" fillId="0" borderId="0" xfId="0" applyNumberFormat="1" applyFont="1"/>
    <xf numFmtId="1" fontId="7" fillId="0" borderId="0" xfId="0" applyNumberFormat="1" applyFont="1"/>
    <xf numFmtId="1" fontId="0" fillId="0" borderId="0" xfId="0" applyNumberFormat="1"/>
    <xf numFmtId="0" fontId="11" fillId="0" borderId="14" xfId="0" applyFont="1" applyBorder="1" applyAlignment="1">
      <alignment horizontal="right"/>
    </xf>
    <xf numFmtId="0" fontId="51" fillId="4" borderId="42" xfId="0" applyFont="1" applyFill="1" applyBorder="1" applyAlignment="1">
      <alignment horizontal="right" vertical="center"/>
    </xf>
    <xf numFmtId="0" fontId="47" fillId="0" borderId="31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53" fillId="7" borderId="0" xfId="0" applyFont="1" applyFill="1" applyAlignment="1">
      <alignment horizontal="center" wrapText="1"/>
    </xf>
    <xf numFmtId="167" fontId="0" fillId="0" borderId="0" xfId="0" applyNumberFormat="1"/>
    <xf numFmtId="49" fontId="0" fillId="0" borderId="0" xfId="0" applyNumberFormat="1"/>
    <xf numFmtId="3" fontId="0" fillId="0" borderId="0" xfId="0" applyNumberFormat="1"/>
    <xf numFmtId="4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54" fillId="0" borderId="0" xfId="0" applyFont="1"/>
    <xf numFmtId="0" fontId="42" fillId="0" borderId="0" xfId="0" applyFont="1"/>
    <xf numFmtId="2" fontId="42" fillId="0" borderId="0" xfId="0" applyNumberFormat="1" applyFont="1"/>
    <xf numFmtId="1" fontId="55" fillId="0" borderId="0" xfId="0" applyNumberFormat="1" applyFont="1" applyAlignment="1">
      <alignment horizontal="center" wrapText="1"/>
    </xf>
    <xf numFmtId="0" fontId="55" fillId="0" borderId="0" xfId="0" applyFont="1" applyAlignment="1">
      <alignment horizontal="center" wrapText="1"/>
    </xf>
    <xf numFmtId="167" fontId="55" fillId="0" borderId="0" xfId="0" applyNumberFormat="1" applyFont="1" applyAlignment="1">
      <alignment horizontal="center" wrapText="1"/>
    </xf>
    <xf numFmtId="49" fontId="55" fillId="0" borderId="0" xfId="0" applyNumberFormat="1" applyFont="1" applyAlignment="1">
      <alignment horizontal="center" wrapText="1"/>
    </xf>
    <xf numFmtId="2" fontId="55" fillId="0" borderId="0" xfId="0" applyNumberFormat="1" applyFont="1" applyAlignment="1">
      <alignment horizontal="center" wrapText="1"/>
    </xf>
    <xf numFmtId="169" fontId="55" fillId="0" borderId="0" xfId="0" applyNumberFormat="1" applyFont="1" applyAlignment="1">
      <alignment horizontal="center" wrapText="1"/>
    </xf>
    <xf numFmtId="0" fontId="41" fillId="0" borderId="0" xfId="0" applyFont="1"/>
    <xf numFmtId="0" fontId="62" fillId="0" borderId="0" xfId="0" applyFont="1" applyAlignment="1">
      <alignment horizontal="left"/>
    </xf>
    <xf numFmtId="0" fontId="62" fillId="0" borderId="0" xfId="0" applyFont="1"/>
    <xf numFmtId="0" fontId="56" fillId="0" borderId="0" xfId="0" applyFont="1"/>
    <xf numFmtId="0" fontId="62" fillId="0" borderId="0" xfId="0" applyFont="1" applyAlignment="1">
      <alignment horizontal="right"/>
    </xf>
    <xf numFmtId="0" fontId="57" fillId="0" borderId="0" xfId="0" applyFont="1" applyAlignment="1" applyProtection="1">
      <alignment horizontal="left"/>
      <protection locked="0"/>
    </xf>
    <xf numFmtId="0" fontId="58" fillId="0" borderId="0" xfId="0" applyFont="1"/>
    <xf numFmtId="0" fontId="63" fillId="0" borderId="0" xfId="0" applyFont="1" applyAlignment="1">
      <alignment horizontal="center"/>
    </xf>
    <xf numFmtId="14" fontId="56" fillId="0" borderId="0" xfId="0" applyNumberFormat="1" applyFont="1" applyAlignment="1">
      <alignment horizontal="left"/>
    </xf>
    <xf numFmtId="0" fontId="59" fillId="0" borderId="0" xfId="0" applyFont="1" applyAlignment="1">
      <alignment horizontal="left"/>
    </xf>
    <xf numFmtId="0" fontId="62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/>
    <xf numFmtId="0" fontId="58" fillId="0" borderId="0" xfId="0" applyFont="1" applyAlignment="1">
      <alignment vertical="top"/>
    </xf>
    <xf numFmtId="0" fontId="57" fillId="0" borderId="1" xfId="0" applyFont="1" applyBorder="1" applyAlignment="1">
      <alignment horizontal="center" vertical="center"/>
    </xf>
    <xf numFmtId="164" fontId="59" fillId="0" borderId="1" xfId="0" applyNumberFormat="1" applyFont="1" applyBorder="1" applyAlignment="1" applyProtection="1">
      <alignment horizontal="center" vertical="center"/>
      <protection locked="0"/>
    </xf>
    <xf numFmtId="0" fontId="59" fillId="0" borderId="1" xfId="0" applyFont="1" applyBorder="1" applyAlignment="1" applyProtection="1">
      <alignment horizontal="center" vertical="center"/>
      <protection locked="0"/>
    </xf>
    <xf numFmtId="2" fontId="59" fillId="0" borderId="1" xfId="0" applyNumberFormat="1" applyFont="1" applyBorder="1" applyAlignment="1">
      <alignment horizontal="center" vertical="center"/>
    </xf>
    <xf numFmtId="5" fontId="5" fillId="0" borderId="1" xfId="0" applyNumberFormat="1" applyFont="1" applyBorder="1" applyAlignment="1">
      <alignment horizontal="right" vertical="center"/>
    </xf>
    <xf numFmtId="0" fontId="57" fillId="0" borderId="0" xfId="0" applyFont="1"/>
    <xf numFmtId="0" fontId="60" fillId="0" borderId="0" xfId="0" applyFont="1" applyProtection="1">
      <protection locked="0"/>
    </xf>
    <xf numFmtId="0" fontId="59" fillId="0" borderId="0" xfId="0" applyFont="1"/>
    <xf numFmtId="3" fontId="60" fillId="0" borderId="0" xfId="0" applyNumberFormat="1" applyFont="1" applyProtection="1">
      <protection locked="0"/>
    </xf>
    <xf numFmtId="172" fontId="39" fillId="0" borderId="13" xfId="0" applyNumberFormat="1" applyFont="1" applyBorder="1" applyAlignment="1">
      <alignment horizontal="center" vertical="center"/>
    </xf>
    <xf numFmtId="172" fontId="9" fillId="0" borderId="1" xfId="0" applyNumberFormat="1" applyFont="1" applyBorder="1" applyAlignment="1">
      <alignment horizontal="center" vertical="center"/>
    </xf>
    <xf numFmtId="172" fontId="42" fillId="0" borderId="0" xfId="0" applyNumberFormat="1" applyFont="1"/>
    <xf numFmtId="172" fontId="55" fillId="0" borderId="0" xfId="0" applyNumberFormat="1" applyFont="1" applyAlignment="1">
      <alignment horizontal="center" wrapText="1"/>
    </xf>
    <xf numFmtId="172" fontId="0" fillId="0" borderId="0" xfId="0" applyNumberFormat="1"/>
    <xf numFmtId="170" fontId="55" fillId="0" borderId="0" xfId="0" applyNumberFormat="1" applyFont="1" applyAlignment="1">
      <alignment horizontal="center" wrapText="1"/>
    </xf>
    <xf numFmtId="170" fontId="0" fillId="0" borderId="0" xfId="0" applyNumberFormat="1"/>
    <xf numFmtId="171" fontId="55" fillId="0" borderId="0" xfId="0" applyNumberFormat="1" applyFont="1" applyAlignment="1">
      <alignment horizontal="center" wrapText="1"/>
    </xf>
    <xf numFmtId="171" fontId="0" fillId="0" borderId="0" xfId="0" applyNumberFormat="1"/>
    <xf numFmtId="0" fontId="0" fillId="2" borderId="0" xfId="0" applyFill="1"/>
    <xf numFmtId="0" fontId="41" fillId="6" borderId="0" xfId="0" applyFont="1" applyFill="1"/>
    <xf numFmtId="0" fontId="0" fillId="0" borderId="40" xfId="0" applyBorder="1"/>
    <xf numFmtId="0" fontId="0" fillId="0" borderId="0" xfId="0" applyAlignment="1">
      <alignment horizontal="left"/>
    </xf>
    <xf numFmtId="164" fontId="57" fillId="0" borderId="0" xfId="0" applyNumberFormat="1" applyFont="1" applyAlignment="1">
      <alignment horizontal="left"/>
    </xf>
    <xf numFmtId="0" fontId="57" fillId="0" borderId="0" xfId="0" applyFont="1" applyAlignment="1" applyProtection="1">
      <alignment horizontal="left" vertical="center"/>
      <protection locked="0"/>
    </xf>
    <xf numFmtId="0" fontId="57" fillId="0" borderId="0" xfId="0" applyFont="1" applyAlignment="1">
      <alignment horizontal="left"/>
    </xf>
    <xf numFmtId="0" fontId="60" fillId="0" borderId="0" xfId="0" applyFont="1" applyAlignment="1">
      <alignment horizontal="center"/>
    </xf>
    <xf numFmtId="0" fontId="34" fillId="0" borderId="24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0" borderId="27" xfId="0" applyFont="1" applyBorder="1" applyAlignment="1">
      <alignment vertical="center"/>
    </xf>
    <xf numFmtId="0" fontId="43" fillId="0" borderId="25" xfId="0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0" borderId="28" xfId="0" applyFont="1" applyBorder="1" applyAlignment="1">
      <alignment horizontal="center" vertical="center"/>
    </xf>
    <xf numFmtId="0" fontId="44" fillId="5" borderId="29" xfId="0" applyFont="1" applyFill="1" applyBorder="1" applyAlignment="1">
      <alignment vertical="center" wrapText="1"/>
    </xf>
    <xf numFmtId="0" fontId="0" fillId="5" borderId="3" xfId="0" applyFill="1" applyBorder="1" applyAlignment="1">
      <alignment vertical="center" wrapText="1"/>
    </xf>
    <xf numFmtId="0" fontId="45" fillId="5" borderId="24" xfId="0" applyFont="1" applyFill="1" applyBorder="1" applyAlignment="1">
      <alignment vertical="center" wrapText="1"/>
    </xf>
    <xf numFmtId="0" fontId="42" fillId="5" borderId="0" xfId="0" applyFont="1" applyFill="1" applyAlignment="1">
      <alignment vertical="center" wrapText="1"/>
    </xf>
    <xf numFmtId="0" fontId="12" fillId="0" borderId="24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2" fillId="0" borderId="27" xfId="0" applyFont="1" applyBorder="1" applyAlignment="1">
      <alignment horizontal="right" vertical="center"/>
    </xf>
    <xf numFmtId="0" fontId="31" fillId="0" borderId="24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48" fillId="0" borderId="10" xfId="0" applyFont="1" applyBorder="1" applyAlignment="1">
      <alignment horizontal="left" vertical="center"/>
    </xf>
    <xf numFmtId="0" fontId="40" fillId="0" borderId="10" xfId="0" applyFont="1" applyBorder="1" applyAlignment="1">
      <alignment horizontal="left" vertical="center"/>
    </xf>
    <xf numFmtId="0" fontId="40" fillId="0" borderId="32" xfId="0" applyFont="1" applyBorder="1" applyAlignment="1">
      <alignment horizontal="left" vertical="center"/>
    </xf>
    <xf numFmtId="0" fontId="50" fillId="0" borderId="34" xfId="0" applyFont="1" applyBorder="1" applyAlignment="1">
      <alignment vertical="center"/>
    </xf>
    <xf numFmtId="0" fontId="50" fillId="0" borderId="5" xfId="0" applyFont="1" applyBorder="1" applyAlignment="1">
      <alignment vertical="center"/>
    </xf>
    <xf numFmtId="0" fontId="50" fillId="0" borderId="7" xfId="0" applyFont="1" applyBorder="1" applyAlignment="1">
      <alignment vertical="center"/>
    </xf>
    <xf numFmtId="0" fontId="50" fillId="0" borderId="36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27" xfId="0" applyFont="1" applyBorder="1" applyAlignment="1">
      <alignment vertical="center"/>
    </xf>
    <xf numFmtId="0" fontId="43" fillId="0" borderId="24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19" fillId="0" borderId="24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31" fillId="0" borderId="12" xfId="0" applyFont="1" applyBorder="1" applyAlignment="1">
      <alignment vertical="center"/>
    </xf>
    <xf numFmtId="0" fontId="31" fillId="0" borderId="32" xfId="0" applyFont="1" applyBorder="1" applyAlignment="1">
      <alignment vertical="center"/>
    </xf>
    <xf numFmtId="0" fontId="49" fillId="0" borderId="24" xfId="0" applyFont="1" applyBorder="1" applyAlignment="1">
      <alignment vertical="center"/>
    </xf>
    <xf numFmtId="0" fontId="4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19" fillId="0" borderId="27" xfId="0" applyFont="1" applyBorder="1" applyAlignment="1">
      <alignment horizontal="right" vertical="center"/>
    </xf>
    <xf numFmtId="0" fontId="31" fillId="0" borderId="2" xfId="0" applyFont="1" applyBorder="1" applyAlignment="1">
      <alignment vertical="center"/>
    </xf>
    <xf numFmtId="0" fontId="31" fillId="0" borderId="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170" fontId="11" fillId="0" borderId="1" xfId="0" applyNumberFormat="1" applyFont="1" applyBorder="1" applyAlignment="1">
      <alignment horizontal="right"/>
    </xf>
    <xf numFmtId="170" fontId="11" fillId="0" borderId="33" xfId="0" applyNumberFormat="1" applyFont="1" applyBorder="1" applyAlignment="1">
      <alignment horizontal="right"/>
    </xf>
    <xf numFmtId="170" fontId="11" fillId="0" borderId="14" xfId="0" applyNumberFormat="1" applyFont="1" applyBorder="1" applyAlignment="1">
      <alignment horizontal="right"/>
    </xf>
    <xf numFmtId="170" fontId="11" fillId="0" borderId="41" xfId="0" applyNumberFormat="1" applyFont="1" applyBorder="1" applyAlignment="1">
      <alignment horizontal="right"/>
    </xf>
    <xf numFmtId="171" fontId="52" fillId="4" borderId="43" xfId="0" applyNumberFormat="1" applyFont="1" applyFill="1" applyBorder="1" applyAlignment="1">
      <alignment horizontal="right" vertical="center"/>
    </xf>
    <xf numFmtId="171" fontId="51" fillId="4" borderId="44" xfId="0" applyNumberFormat="1" applyFont="1" applyFill="1" applyBorder="1" applyAlignment="1">
      <alignment horizontal="right"/>
    </xf>
    <xf numFmtId="0" fontId="46" fillId="5" borderId="45" xfId="0" applyFont="1" applyFill="1" applyBorder="1" applyAlignment="1">
      <alignment horizontal="left" vertical="center" wrapText="1"/>
    </xf>
    <xf numFmtId="0" fontId="0" fillId="0" borderId="46" xfId="0" applyBorder="1"/>
    <xf numFmtId="0" fontId="0" fillId="0" borderId="47" xfId="0" applyBorder="1"/>
    <xf numFmtId="0" fontId="9" fillId="0" borderId="1" xfId="0" applyFont="1" applyBorder="1" applyAlignment="1">
      <alignment horizontal="center" vertical="center"/>
    </xf>
    <xf numFmtId="170" fontId="9" fillId="0" borderId="1" xfId="0" applyNumberFormat="1" applyFont="1" applyBorder="1" applyAlignment="1">
      <alignment horizontal="right" vertical="center"/>
    </xf>
    <xf numFmtId="170" fontId="9" fillId="0" borderId="33" xfId="0" applyNumberFormat="1" applyFont="1" applyBorder="1" applyAlignment="1">
      <alignment horizontal="right" vertical="center"/>
    </xf>
    <xf numFmtId="0" fontId="9" fillId="3" borderId="35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39" fillId="0" borderId="13" xfId="0" applyFont="1" applyBorder="1" applyAlignment="1">
      <alignment vertical="center"/>
    </xf>
    <xf numFmtId="170" fontId="11" fillId="0" borderId="13" xfId="0" applyNumberFormat="1" applyFont="1" applyBorder="1" applyAlignment="1">
      <alignment horizontal="right" vertical="center"/>
    </xf>
    <xf numFmtId="170" fontId="11" fillId="0" borderId="39" xfId="0" applyNumberFormat="1" applyFont="1" applyBorder="1" applyAlignment="1">
      <alignment horizontal="right" vertical="center"/>
    </xf>
    <xf numFmtId="0" fontId="4" fillId="0" borderId="24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38" fillId="0" borderId="12" xfId="0" applyFont="1" applyBorder="1" applyAlignment="1">
      <alignment vertical="center"/>
    </xf>
    <xf numFmtId="0" fontId="38" fillId="0" borderId="10" xfId="0" applyFont="1" applyBorder="1" applyAlignment="1">
      <alignment vertical="center"/>
    </xf>
    <xf numFmtId="0" fontId="38" fillId="0" borderId="32" xfId="0" applyFont="1" applyBorder="1" applyAlignment="1">
      <alignment vertical="center"/>
    </xf>
    <xf numFmtId="0" fontId="37" fillId="0" borderId="29" xfId="0" applyFont="1" applyBorder="1" applyAlignment="1">
      <alignment vertical="center"/>
    </xf>
    <xf numFmtId="0" fontId="37" fillId="0" borderId="3" xfId="0" applyFont="1" applyBorder="1" applyAlignment="1">
      <alignment vertical="center"/>
    </xf>
    <xf numFmtId="0" fontId="37" fillId="0" borderId="2" xfId="0" applyFont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36" fillId="0" borderId="24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9" fillId="0" borderId="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67" fontId="35" fillId="0" borderId="1" xfId="0" applyNumberFormat="1" applyFont="1" applyBorder="1" applyAlignment="1">
      <alignment horizontal="center" vertical="center"/>
    </xf>
    <xf numFmtId="167" fontId="35" fillId="0" borderId="33" xfId="0" applyNumberFormat="1" applyFont="1" applyBorder="1" applyAlignment="1">
      <alignment horizontal="center" vertical="center"/>
    </xf>
    <xf numFmtId="167" fontId="19" fillId="0" borderId="1" xfId="0" applyNumberFormat="1" applyFont="1" applyBorder="1" applyAlignment="1">
      <alignment horizontal="center" vertical="center"/>
    </xf>
    <xf numFmtId="167" fontId="19" fillId="0" borderId="33" xfId="0" applyNumberFormat="1" applyFont="1" applyBorder="1" applyAlignment="1">
      <alignment horizontal="center" vertical="center"/>
    </xf>
    <xf numFmtId="0" fontId="33" fillId="0" borderId="24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9" fillId="3" borderId="23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33" xfId="0" applyFont="1" applyBorder="1" applyAlignment="1">
      <alignment horizontal="center" vertical="center"/>
    </xf>
    <xf numFmtId="0" fontId="32" fillId="0" borderId="24" xfId="0" applyFont="1" applyBorder="1" applyAlignment="1">
      <alignment vertical="center"/>
    </xf>
    <xf numFmtId="0" fontId="32" fillId="0" borderId="0" xfId="0" applyFont="1" applyAlignment="1">
      <alignment vertical="center"/>
    </xf>
    <xf numFmtId="0" fontId="9" fillId="0" borderId="2" xfId="0" applyFont="1" applyBorder="1" applyAlignment="1">
      <alignment horizontal="right"/>
    </xf>
    <xf numFmtId="0" fontId="9" fillId="0" borderId="3" xfId="0" applyFont="1" applyBorder="1" applyAlignment="1">
      <alignment horizontal="right"/>
    </xf>
    <xf numFmtId="0" fontId="9" fillId="0" borderId="4" xfId="0" applyFont="1" applyBorder="1" applyAlignment="1">
      <alignment horizontal="right"/>
    </xf>
    <xf numFmtId="0" fontId="11" fillId="0" borderId="12" xfId="0" applyFont="1" applyBorder="1" applyAlignment="1">
      <alignment horizontal="right"/>
    </xf>
    <xf numFmtId="0" fontId="11" fillId="0" borderId="10" xfId="0" applyFont="1" applyBorder="1" applyAlignment="1">
      <alignment horizontal="right"/>
    </xf>
    <xf numFmtId="0" fontId="11" fillId="0" borderId="11" xfId="0" applyFont="1" applyBorder="1" applyAlignment="1">
      <alignment horizontal="right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5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165" fontId="11" fillId="0" borderId="14" xfId="0" applyNumberFormat="1" applyFont="1" applyBorder="1" applyAlignment="1">
      <alignment horizontal="center" vertical="center"/>
    </xf>
    <xf numFmtId="165" fontId="11" fillId="0" borderId="15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166" fontId="11" fillId="0" borderId="8" xfId="0" applyNumberFormat="1" applyFont="1" applyBorder="1" applyAlignment="1">
      <alignment horizontal="center" vertical="center"/>
    </xf>
    <xf numFmtId="166" fontId="11" fillId="0" borderId="9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66" fontId="11" fillId="0" borderId="11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166" fontId="20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14" fontId="9" fillId="0" borderId="2" xfId="0" applyNumberFormat="1" applyFont="1" applyBorder="1" applyAlignment="1" applyProtection="1">
      <alignment horizontal="center" vertical="center"/>
      <protection locked="0"/>
    </xf>
    <xf numFmtId="14" fontId="9" fillId="0" borderId="4" xfId="0" applyNumberFormat="1" applyFont="1" applyBorder="1" applyAlignment="1" applyProtection="1">
      <alignment horizontal="center" vertical="center"/>
      <protection locked="0"/>
    </xf>
    <xf numFmtId="14" fontId="9" fillId="0" borderId="12" xfId="0" applyNumberFormat="1" applyFont="1" applyBorder="1" applyAlignment="1" applyProtection="1">
      <alignment horizontal="center" vertical="center"/>
      <protection locked="0"/>
    </xf>
    <xf numFmtId="14" fontId="9" fillId="0" borderId="11" xfId="0" applyNumberFormat="1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12" fillId="0" borderId="12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9" fillId="0" borderId="12" xfId="0" applyFont="1" applyBorder="1" applyAlignment="1" applyProtection="1">
      <alignment horizontal="center" vertical="center"/>
      <protection locked="0"/>
    </xf>
    <xf numFmtId="0" fontId="13" fillId="0" borderId="4" xfId="0" applyFont="1" applyBorder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166" fontId="12" fillId="0" borderId="14" xfId="0" applyNumberFormat="1" applyFont="1" applyBorder="1" applyAlignment="1" applyProtection="1">
      <alignment horizontal="center" vertical="center"/>
      <protection locked="0"/>
    </xf>
    <xf numFmtId="166" fontId="12" fillId="0" borderId="15" xfId="0" applyNumberFormat="1" applyFont="1" applyBorder="1" applyAlignment="1" applyProtection="1">
      <alignment horizontal="center" vertical="center"/>
      <protection locked="0"/>
    </xf>
    <xf numFmtId="166" fontId="12" fillId="0" borderId="13" xfId="0" applyNumberFormat="1" applyFont="1" applyBorder="1" applyAlignment="1" applyProtection="1">
      <alignment horizontal="center" vertical="center"/>
      <protection locked="0"/>
    </xf>
    <xf numFmtId="0" fontId="24" fillId="0" borderId="16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" xfId="0" applyFont="1" applyBorder="1" applyAlignment="1">
      <alignment horizontal="left"/>
    </xf>
    <xf numFmtId="0" fontId="29" fillId="2" borderId="19" xfId="0" applyFont="1" applyFill="1" applyBorder="1" applyAlignment="1">
      <alignment horizontal="center" vertical="center"/>
    </xf>
    <xf numFmtId="0" fontId="29" fillId="2" borderId="20" xfId="0" applyFont="1" applyFill="1" applyBorder="1" applyAlignment="1">
      <alignment horizontal="center" vertical="center"/>
    </xf>
  </cellXfs>
  <cellStyles count="1">
    <cellStyle name="Normal" xfId="0" builtinId="0"/>
  </cellStyles>
  <dxfs count="32">
    <dxf>
      <font>
        <color rgb="FF000000"/>
      </font>
      <fill>
        <patternFill patternType="none"/>
      </fill>
    </dxf>
    <dxf>
      <font>
        <color rgb="FF000000"/>
      </font>
      <numFmt numFmtId="169" formatCode="dd/mm/yyyy\ hh:mm"/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numFmt numFmtId="2" formatCode="0.00"/>
      <fill>
        <patternFill patternType="none"/>
      </fill>
    </dxf>
    <dxf>
      <font>
        <color rgb="FF000000"/>
      </font>
      <numFmt numFmtId="172" formatCode="[&gt;=10000000]##\,##\,##\,##0;[&gt;=100000]##\,##\,##0;##,##0"/>
      <fill>
        <patternFill patternType="none"/>
      </fill>
    </dxf>
    <dxf>
      <font>
        <color rgb="FF000000"/>
      </font>
      <numFmt numFmtId="171" formatCode="[&gt;=10000000]\₹##\,##\,##\,##0;[&gt;=100000]\₹##\,##\,##0;\₹##,##0"/>
      <fill>
        <patternFill patternType="none"/>
      </fill>
    </dxf>
    <dxf>
      <font>
        <color rgb="FF000000"/>
      </font>
      <numFmt numFmtId="170" formatCode="[&gt;=10000000]##\,##\,##\,##0.00;[&gt;=100000]##\,##\,##0.00;##,##0.00"/>
      <fill>
        <patternFill patternType="none"/>
      </fill>
    </dxf>
    <dxf>
      <font>
        <color rgb="FF000000"/>
      </font>
      <numFmt numFmtId="170" formatCode="[&gt;=10000000]##\,##\,##\,##0.00;[&gt;=100000]##\,##\,##0.00;##,##0.00"/>
      <fill>
        <patternFill patternType="none"/>
      </fill>
    </dxf>
    <dxf>
      <font>
        <color rgb="FF000000"/>
      </font>
      <numFmt numFmtId="2" formatCode="0.00"/>
      <fill>
        <patternFill patternType="none"/>
      </fill>
    </dxf>
    <dxf>
      <font>
        <color rgb="FF000000"/>
      </font>
      <numFmt numFmtId="2" formatCode="0.00"/>
      <fill>
        <patternFill patternType="none"/>
      </fill>
    </dxf>
    <dxf>
      <font>
        <color rgb="FF000000"/>
      </font>
      <numFmt numFmtId="2" formatCode="0.00"/>
      <fill>
        <patternFill patternType="none"/>
      </fill>
    </dxf>
    <dxf>
      <font>
        <color rgb="FF000000"/>
      </font>
      <numFmt numFmtId="172" formatCode="[&gt;=10000000]##\,##\,##\,##0;[&gt;=100000]##\,##\,##0;##,##0"/>
      <fill>
        <patternFill patternType="none"/>
      </fill>
    </dxf>
    <dxf>
      <font>
        <color rgb="FF000000"/>
      </font>
      <numFmt numFmtId="30" formatCode="@"/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numFmt numFmtId="167" formatCode="dd/mm/yyyy"/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numFmt numFmtId="167" formatCode="dd/mm/yyyy"/>
      <fill>
        <patternFill patternType="none"/>
      </fill>
    </dxf>
    <dxf>
      <font>
        <color rgb="FF000000"/>
      </font>
      <numFmt numFmtId="167" formatCode="dd/mm/yyyy"/>
      <fill>
        <patternFill patternType="none"/>
      </fill>
    </dxf>
    <dxf>
      <font>
        <color rgb="FF000000"/>
      </font>
      <fill>
        <patternFill patternType="none"/>
      </fill>
    </dxf>
    <dxf>
      <font>
        <color rgb="FF000000"/>
      </font>
      <numFmt numFmtId="1" formatCode="0"/>
      <fill>
        <patternFill patternType="none"/>
      </fill>
    </dxf>
    <dxf>
      <font>
        <color rgb="FF000000"/>
      </font>
      <fill>
        <patternFill patternType="none"/>
      </fill>
    </dxf>
    <dxf>
      <font>
        <b/>
        <sz val="11"/>
        <color rgb="FFFFFFFF"/>
        <name val="Arial"/>
      </font>
      <fill>
        <patternFill patternType="solid">
          <fgColor indexed="64"/>
          <bgColor rgb="FF1F4E79"/>
        </patternFill>
      </fill>
      <alignment horizontal="center" wrapText="1"/>
    </dxf>
    <dxf>
      <font>
        <color rgb="FF0000FF"/>
      </font>
      <numFmt numFmtId="2" formatCode="0.00"/>
    </dxf>
    <dxf>
      <font>
        <color rgb="FF0000FF"/>
      </font>
      <numFmt numFmtId="2" formatCode="0.00"/>
    </dxf>
    <dxf>
      <alignment horizontal="left" vertical="bottom" textRotation="0" wrapText="0" indent="0" justifyLastLine="0" shrinkToFit="0" readingOrder="0"/>
    </dxf>
    <dxf>
      <numFmt numFmtId="2" formatCode="0.00"/>
    </dxf>
    <dxf>
      <font>
        <strike val="0"/>
        <color theme="0"/>
      </font>
    </dxf>
    <dxf>
      <font>
        <strike val="0"/>
        <color theme="0"/>
      </font>
    </dxf>
  </dxfs>
  <tableStyles count="0" defaultTableStyle="TableStyleMedium2" defaultPivotStyle="PivotStyleLight16"/>
  <colors>
    <mruColors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302847</xdr:colOff>
      <xdr:row>42</xdr:row>
      <xdr:rowOff>92184</xdr:rowOff>
    </xdr:from>
    <xdr:to>
      <xdr:col>3</xdr:col>
      <xdr:colOff>161583</xdr:colOff>
      <xdr:row>45</xdr:row>
      <xdr:rowOff>212320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96632-1317-4919-9DA5-FB1684DD8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47" y="10074384"/>
          <a:ext cx="2007576" cy="834511"/>
        </a:xfrm>
        <a:prstGeom prst="rect">
          <a:avLst/>
        </a:prstGeom>
      </xdr:spPr>
    </xdr:pic>
    <xdr:clientData/>
  </xdr:twoCellAnchor>
  <xdr:twoCellAnchor editAs="oneCell">
    <xdr:from>
      <xdr:col>0</xdr:col>
      <xdr:colOff>58616</xdr:colOff>
      <xdr:row>0</xdr:row>
      <xdr:rowOff>0</xdr:rowOff>
    </xdr:from>
    <xdr:to>
      <xdr:col>7</xdr:col>
      <xdr:colOff>777240</xdr:colOff>
      <xdr:row>11</xdr:row>
      <xdr:rowOff>39077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EC39ECC-31B3-4F6D-92FE-0053502F3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616" y="0"/>
          <a:ext cx="7027984" cy="22107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</xdr:row>
          <xdr:rowOff>114300</xdr:rowOff>
        </xdr:from>
        <xdr:to>
          <xdr:col>11</xdr:col>
          <xdr:colOff>292100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12829</xdr:colOff>
      <xdr:row>43</xdr:row>
      <xdr:rowOff>38485</xdr:rowOff>
    </xdr:from>
    <xdr:to>
      <xdr:col>7</xdr:col>
      <xdr:colOff>1821617</xdr:colOff>
      <xdr:row>46</xdr:row>
      <xdr:rowOff>38485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D83C02-81E6-54A8-4759-46F67D586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465" y="15676162"/>
          <a:ext cx="3335354" cy="129565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25400</xdr:rowOff>
    </xdr:from>
    <xdr:to>
      <xdr:col>8</xdr:col>
      <xdr:colOff>12827</xdr:colOff>
      <xdr:row>0</xdr:row>
      <xdr:rowOff>3302000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80E8EDB-A664-DB4B-A3B1-24ABE6937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25400"/>
          <a:ext cx="14470302" cy="3276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711200</xdr:colOff>
          <xdr:row>0</xdr:row>
          <xdr:rowOff>660400</xdr:rowOff>
        </xdr:from>
        <xdr:to>
          <xdr:col>13</xdr:col>
          <xdr:colOff>685800</xdr:colOff>
          <xdr:row>0</xdr:row>
          <xdr:rowOff>1346200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Print and Log 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762000</xdr:colOff>
          <xdr:row>0</xdr:row>
          <xdr:rowOff>673100</xdr:rowOff>
        </xdr:from>
        <xdr:to>
          <xdr:col>17</xdr:col>
          <xdr:colOff>266700</xdr:colOff>
          <xdr:row>0</xdr:row>
          <xdr:rowOff>1295400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Re-Print Pis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173182</xdr:colOff>
      <xdr:row>39</xdr:row>
      <xdr:rowOff>88900</xdr:rowOff>
    </xdr:from>
    <xdr:to>
      <xdr:col>7</xdr:col>
      <xdr:colOff>661170</xdr:colOff>
      <xdr:row>43</xdr:row>
      <xdr:rowOff>182033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C27600-04B6-2149-B1DD-4453C747F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4082" y="8966200"/>
          <a:ext cx="2227888" cy="905933"/>
        </a:xfrm>
        <a:prstGeom prst="rect">
          <a:avLst/>
        </a:prstGeom>
      </xdr:spPr>
    </xdr:pic>
    <xdr:clientData/>
  </xdr:twoCellAnchor>
  <xdr:twoCellAnchor editAs="oneCell">
    <xdr:from>
      <xdr:col>0</xdr:col>
      <xdr:colOff>8467</xdr:colOff>
      <xdr:row>0</xdr:row>
      <xdr:rowOff>0</xdr:rowOff>
    </xdr:from>
    <xdr:to>
      <xdr:col>7</xdr:col>
      <xdr:colOff>880533</xdr:colOff>
      <xdr:row>11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EE1ADC-5969-724B-BCBB-6EBBB767C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467" y="0"/>
          <a:ext cx="7272866" cy="2235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173182</xdr:colOff>
      <xdr:row>39</xdr:row>
      <xdr:rowOff>88900</xdr:rowOff>
    </xdr:from>
    <xdr:to>
      <xdr:col>7</xdr:col>
      <xdr:colOff>745836</xdr:colOff>
      <xdr:row>43</xdr:row>
      <xdr:rowOff>182033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E29C6C-B573-6448-8272-13676134B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2182" y="9182100"/>
          <a:ext cx="2223654" cy="905933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0</xdr:rowOff>
    </xdr:from>
    <xdr:to>
      <xdr:col>7</xdr:col>
      <xdr:colOff>812800</xdr:colOff>
      <xdr:row>11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A8889-2F47-8E4F-9772-476A81FC5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00" y="0"/>
          <a:ext cx="7048500" cy="2235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173182</xdr:colOff>
      <xdr:row>39</xdr:row>
      <xdr:rowOff>88900</xdr:rowOff>
    </xdr:from>
    <xdr:to>
      <xdr:col>7</xdr:col>
      <xdr:colOff>661170</xdr:colOff>
      <xdr:row>43</xdr:row>
      <xdr:rowOff>182033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4B3A9F-6275-F640-A07D-1D4757A12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4082" y="9207500"/>
          <a:ext cx="2227888" cy="905933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0</xdr:rowOff>
    </xdr:from>
    <xdr:to>
      <xdr:col>7</xdr:col>
      <xdr:colOff>762000</xdr:colOff>
      <xdr:row>11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57CB8C-0AFE-374F-80F4-C22B7795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300" y="0"/>
          <a:ext cx="7048500" cy="2235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ubhamkhetan/Library/Mobile%20Documents/com~apple~CloudDocs/Vriddhi%20Fuels/Master%20Ledger.xlsm" TargetMode="External"/><Relationship Id="rId1" Type="http://schemas.openxmlformats.org/officeDocument/2006/relationships/externalLinkPath" Target="Master%20Ledg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Master Paid"/>
      <sheetName val="Outstanding"/>
      <sheetName val="Lakhanpur RCP_Bulk"/>
      <sheetName val="Ankita Air Group_Bulk"/>
      <sheetName val="DBL_Bulk"/>
      <sheetName val="OMPL_Bulk"/>
      <sheetName val="SMC_Bulk"/>
      <sheetName val="Aryan_Bulk"/>
      <sheetName val="Ultratech_Bulk"/>
      <sheetName val="Shyam Metalics_Bulk"/>
      <sheetName val="Billing"/>
      <sheetName val="Tanker Master"/>
      <sheetName val="HSD Bill"/>
      <sheetName val="SSM"/>
      <sheetName val="Sudarshan"/>
      <sheetName val="RSA"/>
      <sheetName val="SSFC"/>
      <sheetName val="String"/>
      <sheetName val="PPTE"/>
      <sheetName val="OMPL Retail"/>
      <sheetName val="STEELS &amp; CARRIERS"/>
      <sheetName val="Simar Infra"/>
      <sheetName val="Shivaay"/>
      <sheetName val="AKV Logistics"/>
      <sheetName val="Bhatia Energy"/>
      <sheetName val="Keshav Minerals"/>
      <sheetName val="Pine Labs"/>
      <sheetName val="Animesh Builders"/>
      <sheetName val="Samlai Logistics"/>
      <sheetName val="SHRI LAL KHETAN"/>
      <sheetName val="SBS"/>
      <sheetName val="RSM"/>
      <sheetName val="Jyoti Ranjan Dash"/>
      <sheetName val="Natwar Khetan"/>
      <sheetName val="Ekdant"/>
      <sheetName val="MRD"/>
      <sheetName val="Indiabuild"/>
      <sheetName val="ECBPL"/>
      <sheetName val="HSD Sale"/>
      <sheetName val="HSD Daily"/>
      <sheetName val="MS Sale"/>
      <sheetName val="MS Daily"/>
      <sheetName val="XG Sale"/>
      <sheetName val="Other Sale"/>
      <sheetName val="HSD FY Summary"/>
      <sheetName val="MS FY Summary"/>
      <sheetName val="OIC FS JSG"/>
      <sheetName val="Customer GST"/>
      <sheetName val="TN Roadline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AJ5" t="str">
            <v>O326212575</v>
          </cell>
        </row>
      </sheetData>
      <sheetData sheetId="7">
        <row r="5">
          <cell r="AK5" t="str">
            <v/>
          </cell>
          <cell r="AM5" t="str">
            <v>4500216903</v>
          </cell>
        </row>
      </sheetData>
      <sheetData sheetId="8"/>
      <sheetData sheetId="9"/>
      <sheetData sheetId="10">
        <row r="5">
          <cell r="AJ5">
            <v>2110036253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816CA3-65F3-4869-8940-090F97E7A0D2}" name="Customers" displayName="Customers" ref="A1:M32" totalsRowShown="0">
  <autoFilter ref="A1:M32" xr:uid="{8F816CA3-65F3-4869-8940-090F97E7A0D2}"/>
  <sortState xmlns:xlrd2="http://schemas.microsoft.com/office/spreadsheetml/2017/richdata2" ref="A2:M32">
    <sortCondition ref="A1:A32"/>
  </sortState>
  <tableColumns count="13">
    <tableColumn id="1" xr3:uid="{7A527D45-0E9A-46D8-A341-7D79CCEE2DC5}" name="Company"/>
    <tableColumn id="2" xr3:uid="{906FE728-8ACB-4B23-A23F-B54B8A7013E6}" name="HSD" dataDxfId="29">
      <calculatedColumnFormula>_xlfn.XLOOKUP(Customers[[#This Row],[Price Tier]],RateCard[Price Tier],RateCard[Rate],"")</calculatedColumnFormula>
    </tableColumn>
    <tableColumn id="3" xr3:uid="{79FB8CE2-7C29-4D82-ADD4-2B33BC9102A3}" name="Address 1"/>
    <tableColumn id="4" xr3:uid="{51DC50B2-AE95-45DE-B9F5-357F4E9AB129}" name="Address 2"/>
    <tableColumn id="5" xr3:uid="{C240A5B7-76EF-49A9-97AA-DEDFFCC350B3}" name="Address 3"/>
    <tableColumn id="6" xr3:uid="{024C59EC-EA16-45B2-909A-B66971A8ABBA}" name="Payment 1"/>
    <tableColumn id="7" xr3:uid="{00D07E83-A6FD-4C45-99BF-BC98BF642ED1}" name="Payment 2"/>
    <tableColumn id="8" xr3:uid="{21634069-C494-4448-91C6-3531C4140EA3}" name="Payment 3"/>
    <tableColumn id="9" xr3:uid="{D6CF75BE-5045-47A1-8E1C-B5C2FF08E844}" name="Payment 4"/>
    <tableColumn id="10" xr3:uid="{0F18E6B9-398F-485B-BF2B-D4103F710409}" name="Payment 5"/>
    <tableColumn id="11" xr3:uid="{6C764E43-4D20-4FC4-9498-CC4A7CF014DC}" name="PO Label"/>
    <tableColumn id="12" xr3:uid="{4813B412-A30C-432C-AAC8-3E99F4E9B7DE}" name="PO No." dataDxfId="28"/>
    <tableColumn id="13" xr3:uid="{74EE7DBC-D03A-4D69-925F-F8FE42818139}" name="Price T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CFCB9BA-6D03-6940-81BE-53A0D2E1CC24}" name="RateCard" displayName="RateCard" ref="O1:P9" totalsRowShown="0">
  <autoFilter ref="O1:P9" xr:uid="{5CFCB9BA-6D03-6940-81BE-53A0D2E1CC24}"/>
  <tableColumns count="2">
    <tableColumn id="1" xr3:uid="{2A3C1EE7-BC65-AF4A-921F-BBA7CA11EEA5}" name="Price Tier"/>
    <tableColumn id="2" xr3:uid="{FF269E05-B326-5641-967E-DDCA5C7B556D}" name="Rate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859766-4411-BF47-94B8-8B44DC6FB8F4}" name="ProductRates" displayName="ProductRates" ref="R1:S3" totalsRowShown="0">
  <autoFilter ref="R1:S3" xr:uid="{41859766-4411-BF47-94B8-8B44DC6FB8F4}"/>
  <tableColumns count="2">
    <tableColumn id="1" xr3:uid="{5080AF11-4529-934B-B622-1C641C5BB26D}" name="Product"/>
    <tableColumn id="2" xr3:uid="{35651826-B184-3E47-BC18-B0D7B9C02578}" name="Rate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BED53B-E0DA-EC44-B7C1-3FFFD7575471}" name="FuelTypes" displayName="FuelTypes" ref="U1:U4" totalsRowShown="0">
  <autoFilter ref="U1:U4" xr:uid="{C4BED53B-E0DA-EC44-B7C1-3FFFD7575471}"/>
  <tableColumns count="1">
    <tableColumn id="1" xr3:uid="{AADD333F-D7AD-EE40-9148-214436086BDB}" name="Fuel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ED9CC2-D221-334E-B560-419560F30135}" name="PILog" displayName="PILog" ref="A1:X5" totalsRowShown="0" headerRowDxfId="25" dataDxfId="24">
  <autoFilter ref="A1:X5" xr:uid="{6CED9CC2-D221-334E-B560-419560F30135}"/>
  <tableColumns count="24">
    <tableColumn id="1" xr3:uid="{4C874880-48F4-9F4F-B702-CEA0F14156A0}" name="Log ID" dataDxfId="23"/>
    <tableColumn id="2" xr3:uid="{0DEAC5B4-2EF2-B042-9EB0-B622CFC8C85E}" name="PI No." dataDxfId="22"/>
    <tableColumn id="3" xr3:uid="{C010A01D-3DEB-F942-8E51-AF7FDE12D11D}" name="PI Date" dataDxfId="21"/>
    <tableColumn id="4" xr3:uid="{96BB3BA9-7A2A-A84F-97AA-4FEA60212308}" name="Valid Up To" dataDxfId="20"/>
    <tableColumn id="5" xr3:uid="{121CC6A8-4844-DD4C-B74B-3DDFCD7A2EC4}" name="Customer" dataDxfId="19"/>
    <tableColumn id="6" xr3:uid="{61A34BA5-4FD8-204E-BC3C-395DA61B68BE}" name="Buyer GSTIN" dataDxfId="18"/>
    <tableColumn id="7" xr3:uid="{0AD19470-0A54-6343-BF9B-977E27E18C81}" name="Place of Supply" dataDxfId="17"/>
    <tableColumn id="8" xr3:uid="{90C902AA-BC59-EA4F-A4C2-D04D501435BF}" name="P.O. No." dataDxfId="16"/>
    <tableColumn id="9" xr3:uid="{B3857A84-C393-0247-AC60-E99D41DC3D83}" name="P.O. Date" dataDxfId="15"/>
    <tableColumn id="10" xr3:uid="{946885BC-C5FF-7849-9795-ED73263A6DC7}" name="Description" dataDxfId="14"/>
    <tableColumn id="11" xr3:uid="{080735FA-1085-574F-A7CC-D89C9D641C95}" name="HSN Code" dataDxfId="13"/>
    <tableColumn id="12" xr3:uid="{9D6AE9C2-7F0D-8143-8F58-CB9328C93FC9}" name="Quantity (Ltr)" dataDxfId="12"/>
    <tableColumn id="13" xr3:uid="{8D5E81E6-3213-3243-BDE8-2423B83CDD33}" name="Rate (₹/Ltr)" dataDxfId="11"/>
    <tableColumn id="14" xr3:uid="{41BC8A46-383F-DC48-854E-2C3E295D66C0}" name="IOCL RSP (₹/Ltr)" dataDxfId="10"/>
    <tableColumn id="15" xr3:uid="{442AF33B-3CB4-5144-B529-884B0D3C2FF3}" name="Discount (₹/Ltr)" dataDxfId="9">
      <calculatedColumnFormula>IF(N2="","",N2-M2)</calculatedColumnFormula>
    </tableColumn>
    <tableColumn id="16" xr3:uid="{7BAB733A-2D6D-FF41-ACDC-98C0EB368CD7}" name="Sub Total (₹)" dataDxfId="8"/>
    <tableColumn id="17" xr3:uid="{298EF66E-9A88-E34E-830C-AA73665EA423}" name="Round Off (₹)" dataDxfId="7"/>
    <tableColumn id="18" xr3:uid="{16A55552-00FE-074E-AF22-522D29803677}" name="Grand Total (₹)" dataDxfId="6"/>
    <tableColumn id="19" xr3:uid="{AB2C9363-D597-2940-96B4-2CBDC7823837}" name="XtraPower Points" dataDxfId="5"/>
    <tableColumn id="20" xr3:uid="{F5C6F8E7-CCA5-C149-83F9-01878FC1A5D0}" name="Effective Rate (₹/Ltr)" dataDxfId="4">
      <calculatedColumnFormula>IF(L2=0,"",(R2-S2)/L2)</calculatedColumnFormula>
    </tableColumn>
    <tableColumn id="21" xr3:uid="{1308E0B3-F013-4C4E-8749-80D6D3245C43}" name="Amount in Words" dataDxfId="3"/>
    <tableColumn id="22" xr3:uid="{09439C9D-3C24-DB4B-B094-F7BFE83039A3}" name="Contact Person" dataDxfId="2"/>
    <tableColumn id="23" xr3:uid="{3158942D-E77C-9545-9EFB-CF97A1E3AA6A}" name="Printed On" dataDxfId="1"/>
    <tableColumn id="24" xr3:uid="{6AEDD36E-C080-2A4E-B27E-7FB214BE9AB7}" name="Printed By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7CD1F367-6AD2-4234-B755-96F2A92881B6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009c0156-7347-4007-806c-3581c09926b0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2B73BD0E-179E-1F47-B8FE-E08AB5AFD7F8}">
  <we:reference id="wa200010725" version="1.0.0.1" store="en-GB" storeType="OMEX"/>
  <we:alternateReferences>
    <we:reference id="WA200010725" version="1.0.0.1" store="" storeType="OMEX"/>
  </we:alternateReferences>
  <we:properties>
    <we:property name="claude.fileId" value="&quot;14383e57-da58-4208-8327-0b9beb114e8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DF30-6ED1-4405-AAD1-BCE7C50E1251}">
  <sheetPr codeName="Sheet46">
    <pageSetUpPr fitToPage="1"/>
  </sheetPr>
  <dimension ref="A1:H51"/>
  <sheetViews>
    <sheetView showGridLines="0" zoomScale="125" zoomScaleNormal="130" workbookViewId="0">
      <selection activeCell="E20" sqref="E20"/>
    </sheetView>
  </sheetViews>
  <sheetFormatPr defaultColWidth="10.8515625" defaultRowHeight="16.5" x14ac:dyDescent="0.25"/>
  <cols>
    <col min="1" max="1" width="4.19140625" customWidth="1"/>
    <col min="2" max="2" width="12.328125" customWidth="1"/>
    <col min="3" max="3" width="11.7109375" customWidth="1"/>
    <col min="4" max="4" width="17.5078125" customWidth="1"/>
    <col min="5" max="5" width="11.21875" customWidth="1"/>
    <col min="6" max="6" width="11.34375" customWidth="1"/>
    <col min="7" max="7" width="14.55078125" customWidth="1"/>
    <col min="8" max="8" width="10.8515625" customWidth="1"/>
  </cols>
  <sheetData>
    <row r="1" spans="1:8" x14ac:dyDescent="0.25">
      <c r="A1" s="96"/>
      <c r="B1" s="96"/>
      <c r="C1" s="96"/>
      <c r="D1" s="96"/>
      <c r="E1" s="96"/>
      <c r="F1" s="96"/>
      <c r="G1" s="96"/>
      <c r="H1" s="96"/>
    </row>
    <row r="2" spans="1:8" x14ac:dyDescent="0.25">
      <c r="A2" s="96"/>
      <c r="B2" s="96"/>
      <c r="C2" s="96"/>
      <c r="D2" s="96"/>
      <c r="E2" s="96"/>
      <c r="F2" s="96"/>
      <c r="G2" s="96"/>
      <c r="H2" s="96"/>
    </row>
    <row r="3" spans="1:8" x14ac:dyDescent="0.25">
      <c r="A3" s="96"/>
      <c r="B3" s="96"/>
      <c r="C3" s="96"/>
      <c r="D3" s="96"/>
      <c r="E3" s="96"/>
      <c r="F3" s="96"/>
      <c r="G3" s="96"/>
      <c r="H3" s="96"/>
    </row>
    <row r="4" spans="1:8" x14ac:dyDescent="0.25">
      <c r="A4" s="96"/>
      <c r="B4" s="96"/>
      <c r="C4" s="96"/>
      <c r="D4" s="96"/>
      <c r="E4" s="96"/>
      <c r="F4" s="96"/>
      <c r="G4" s="96"/>
      <c r="H4" s="96"/>
    </row>
    <row r="5" spans="1:8" x14ac:dyDescent="0.25">
      <c r="A5" s="96"/>
      <c r="B5" s="96"/>
      <c r="C5" s="96"/>
      <c r="D5" s="96"/>
      <c r="E5" s="96"/>
      <c r="F5" s="96"/>
      <c r="G5" s="96"/>
      <c r="H5" s="96"/>
    </row>
    <row r="6" spans="1:8" x14ac:dyDescent="0.25">
      <c r="A6" s="96"/>
      <c r="B6" s="96"/>
      <c r="C6" s="96"/>
      <c r="D6" s="96"/>
      <c r="E6" s="96"/>
      <c r="F6" s="96"/>
      <c r="G6" s="96"/>
      <c r="H6" s="96"/>
    </row>
    <row r="7" spans="1:8" x14ac:dyDescent="0.25">
      <c r="A7" s="96"/>
      <c r="B7" s="96"/>
      <c r="C7" s="96"/>
      <c r="D7" s="96"/>
      <c r="E7" s="96"/>
      <c r="F7" s="96"/>
      <c r="G7" s="96"/>
      <c r="H7" s="96"/>
    </row>
    <row r="8" spans="1:8" x14ac:dyDescent="0.25">
      <c r="A8" s="96"/>
      <c r="B8" s="96"/>
      <c r="C8" s="96"/>
      <c r="D8" s="96"/>
      <c r="E8" s="96"/>
      <c r="F8" s="96"/>
      <c r="G8" s="96"/>
      <c r="H8" s="96"/>
    </row>
    <row r="9" spans="1:8" x14ac:dyDescent="0.25">
      <c r="A9" s="96"/>
      <c r="B9" s="96"/>
      <c r="C9" s="96"/>
      <c r="D9" s="96"/>
      <c r="E9" s="96"/>
      <c r="F9" s="96"/>
      <c r="G9" s="96"/>
      <c r="H9" s="96"/>
    </row>
    <row r="10" spans="1:8" x14ac:dyDescent="0.25">
      <c r="A10" s="96"/>
      <c r="B10" s="96"/>
      <c r="C10" s="96"/>
      <c r="D10" s="96"/>
      <c r="E10" s="96"/>
      <c r="F10" s="96"/>
      <c r="G10" s="96"/>
      <c r="H10" s="96"/>
    </row>
    <row r="11" spans="1:8" ht="14.1" customHeight="1" x14ac:dyDescent="0.25">
      <c r="A11" s="96"/>
      <c r="B11" s="96"/>
      <c r="C11" s="96"/>
      <c r="D11" s="96"/>
      <c r="E11" s="96"/>
      <c r="F11" s="96"/>
      <c r="G11" s="96"/>
      <c r="H11" s="96"/>
    </row>
    <row r="12" spans="1:8" ht="21" x14ac:dyDescent="0.25">
      <c r="A12" s="96"/>
      <c r="B12" s="97" t="s">
        <v>50</v>
      </c>
      <c r="C12" s="98"/>
      <c r="D12" s="98"/>
      <c r="E12" s="99"/>
      <c r="F12" s="100" t="s">
        <v>51</v>
      </c>
      <c r="G12" s="132">
        <f>B20</f>
        <v>46264</v>
      </c>
      <c r="H12" s="132"/>
    </row>
    <row r="13" spans="1:8" ht="21" x14ac:dyDescent="0.25">
      <c r="A13" s="96"/>
      <c r="B13" s="101" t="s">
        <v>100</v>
      </c>
      <c r="C13" s="102"/>
      <c r="D13" s="102"/>
      <c r="E13" s="99"/>
      <c r="F13" s="99"/>
      <c r="G13" s="103"/>
      <c r="H13" s="104"/>
    </row>
    <row r="14" spans="1:8" ht="21" x14ac:dyDescent="0.25">
      <c r="A14" s="96"/>
      <c r="B14" s="105" t="str">
        <f>_xlfn.XLOOKUP($B$13,Customers[Company],Customers[Address 1]," ")</f>
        <v>Vill – Pandloi , P.O - Lapanga</v>
      </c>
      <c r="C14" s="99"/>
      <c r="D14" s="99"/>
      <c r="E14" s="99"/>
      <c r="F14" s="99"/>
      <c r="G14" s="99"/>
      <c r="H14" s="99"/>
    </row>
    <row r="15" spans="1:8" ht="21.95" customHeight="1" x14ac:dyDescent="0.25">
      <c r="A15" s="96"/>
      <c r="B15" s="105" t="str">
        <f>_xlfn.XLOOKUP($B$13,Customers[Company],Customers[Address 2]," ")</f>
        <v>Sambalpur.</v>
      </c>
      <c r="C15" s="99"/>
      <c r="D15" s="99"/>
      <c r="E15" s="99"/>
      <c r="F15" s="106" t="s">
        <v>52</v>
      </c>
      <c r="G15" s="133" t="s">
        <v>63</v>
      </c>
      <c r="H15" s="133"/>
    </row>
    <row r="16" spans="1:8" ht="21" x14ac:dyDescent="0.25">
      <c r="A16" s="96"/>
      <c r="B16" s="107" t="str">
        <f>_xlfn.XLOOKUP($B$13,Customers[Company],Customers[Address 3]," ")</f>
        <v>GSTIN : 21AAHCS5842A1ZT</v>
      </c>
      <c r="C16" s="99"/>
      <c r="D16" s="99"/>
      <c r="E16" s="99"/>
      <c r="F16" s="99"/>
      <c r="G16" s="99"/>
      <c r="H16" s="99"/>
    </row>
    <row r="17" spans="1:8" ht="18.75" x14ac:dyDescent="0.25">
      <c r="A17" s="96"/>
      <c r="B17" s="108"/>
      <c r="C17" s="99"/>
      <c r="D17" s="99"/>
      <c r="E17" s="99"/>
      <c r="F17" s="99"/>
      <c r="G17" s="99"/>
      <c r="H17" s="99"/>
    </row>
    <row r="18" spans="1:8" ht="18.75" x14ac:dyDescent="0.25">
      <c r="A18" s="96"/>
      <c r="B18" s="109" t="s">
        <v>160</v>
      </c>
      <c r="C18" s="99"/>
      <c r="D18" s="99"/>
      <c r="E18" s="99"/>
      <c r="F18" s="99"/>
      <c r="G18" s="99"/>
      <c r="H18" s="99"/>
    </row>
    <row r="19" spans="1:8" ht="24" customHeight="1" x14ac:dyDescent="0.25">
      <c r="A19" s="96"/>
      <c r="B19" s="110" t="s">
        <v>53</v>
      </c>
      <c r="C19" s="110" t="s">
        <v>54</v>
      </c>
      <c r="D19" s="110" t="s">
        <v>103</v>
      </c>
      <c r="E19" s="110" t="s">
        <v>55</v>
      </c>
      <c r="F19" s="110" t="s">
        <v>56</v>
      </c>
      <c r="G19" s="110" t="s">
        <v>57</v>
      </c>
      <c r="H19" s="99"/>
    </row>
    <row r="20" spans="1:8" ht="24.95" customHeight="1" x14ac:dyDescent="0.25">
      <c r="A20" s="96"/>
      <c r="B20" s="111">
        <v>46264</v>
      </c>
      <c r="C20" s="112">
        <v>2586</v>
      </c>
      <c r="D20" s="112" t="s">
        <v>263</v>
      </c>
      <c r="E20" s="112">
        <v>18000</v>
      </c>
      <c r="F20" s="113">
        <f>IF(G15="High Speed Diesel",_xlfn.XLOOKUP($B$13,Customers[Company],Customers[HSD],""),_xlfn.XLOOKUP(G15,ProductRates[Product],ProductRates[Rate],""))</f>
        <v>99.5</v>
      </c>
      <c r="G20" s="114">
        <f>TRUNC(E20*F20,0)</f>
        <v>1791000</v>
      </c>
      <c r="H20" s="99"/>
    </row>
    <row r="21" spans="1:8" x14ac:dyDescent="0.25">
      <c r="A21" s="96"/>
      <c r="B21" s="96"/>
      <c r="C21" s="96"/>
      <c r="D21" s="96"/>
      <c r="E21" s="96"/>
      <c r="F21" s="96"/>
      <c r="G21" s="96"/>
      <c r="H21" s="96"/>
    </row>
    <row r="22" spans="1:8" x14ac:dyDescent="0.25">
      <c r="A22" s="96"/>
      <c r="B22" s="96"/>
      <c r="C22" s="96"/>
      <c r="D22" s="96"/>
      <c r="E22" s="96"/>
      <c r="F22" s="96"/>
      <c r="G22" s="96"/>
      <c r="H22" s="96"/>
    </row>
    <row r="23" spans="1:8" ht="21" x14ac:dyDescent="0.25">
      <c r="A23" s="96"/>
      <c r="B23" s="115" t="str">
        <f>_xlfn.XLOOKUP($B$13,Customers[Company],Customers[PO Label]," ")</f>
        <v>P.O. No.:</v>
      </c>
      <c r="C23" s="134">
        <f>_xlfn.XLOOKUP($B$13,Customers[Company],Customers[PO No.]," ")</f>
        <v>2110036253</v>
      </c>
      <c r="D23" s="134"/>
      <c r="E23" s="99"/>
      <c r="F23" s="99"/>
      <c r="G23" s="99"/>
      <c r="H23" s="99"/>
    </row>
    <row r="24" spans="1:8" ht="18.75" x14ac:dyDescent="0.25">
      <c r="A24" s="96"/>
      <c r="B24" s="99"/>
      <c r="C24" s="99"/>
      <c r="D24" s="99"/>
      <c r="E24" s="99"/>
      <c r="F24" s="99"/>
      <c r="G24" s="99"/>
      <c r="H24" s="99"/>
    </row>
    <row r="25" spans="1:8" ht="21" x14ac:dyDescent="0.25">
      <c r="A25" s="96"/>
      <c r="B25" s="107" t="str">
        <f>IF(AND(G15="High Speed Diesel", E20&gt;3000), "Density-", "")</f>
        <v>Density-</v>
      </c>
      <c r="C25" s="116"/>
      <c r="D25" s="117"/>
      <c r="E25" s="117"/>
      <c r="F25" s="117"/>
      <c r="G25" s="99"/>
      <c r="H25" s="99"/>
    </row>
    <row r="26" spans="1:8" ht="21" x14ac:dyDescent="0.25">
      <c r="A26" s="96"/>
      <c r="B26" s="117"/>
      <c r="C26" s="117"/>
      <c r="D26" s="117"/>
      <c r="E26" s="117"/>
      <c r="F26" s="117"/>
      <c r="G26" s="99"/>
      <c r="H26" s="99"/>
    </row>
    <row r="27" spans="1:8" ht="21" x14ac:dyDescent="0.25">
      <c r="A27" s="96"/>
      <c r="B27" s="117"/>
      <c r="C27" s="117"/>
      <c r="D27" s="117"/>
      <c r="E27" s="117"/>
      <c r="F27" s="117"/>
      <c r="G27" s="99"/>
      <c r="H27" s="99"/>
    </row>
    <row r="28" spans="1:8" ht="21" x14ac:dyDescent="0.25">
      <c r="A28" s="96"/>
      <c r="B28" s="107" t="str">
        <f>IF(AND(G15="High Speed Diesel", E20&gt;2000), "Seal No-", "")</f>
        <v>Seal No-</v>
      </c>
      <c r="C28" s="118"/>
      <c r="D28" s="117"/>
      <c r="E28" s="117"/>
      <c r="F28" s="117"/>
      <c r="G28" s="99"/>
      <c r="H28" s="99"/>
    </row>
    <row r="29" spans="1:8" ht="21" x14ac:dyDescent="0.25">
      <c r="A29" s="96"/>
      <c r="B29" s="117"/>
      <c r="C29" s="117"/>
      <c r="D29" s="117"/>
      <c r="E29" s="117"/>
      <c r="F29" s="117"/>
      <c r="G29" s="99"/>
      <c r="H29" s="99"/>
    </row>
    <row r="30" spans="1:8" ht="21" x14ac:dyDescent="0.25">
      <c r="A30" s="96"/>
      <c r="B30" s="117"/>
      <c r="C30" s="117"/>
      <c r="D30" s="117"/>
      <c r="E30" s="117"/>
      <c r="F30" s="117"/>
      <c r="G30" s="99"/>
      <c r="H30" s="99"/>
    </row>
    <row r="31" spans="1:8" ht="21" x14ac:dyDescent="0.25">
      <c r="A31" s="96"/>
      <c r="B31" s="117"/>
      <c r="C31" s="117"/>
      <c r="D31" s="117"/>
      <c r="E31" s="117"/>
      <c r="F31" s="117"/>
      <c r="G31" s="99"/>
      <c r="H31" s="99"/>
    </row>
    <row r="32" spans="1:8" ht="21" x14ac:dyDescent="0.25">
      <c r="A32" s="96"/>
      <c r="B32" s="115" t="str">
        <f>_xlfn.XLOOKUP($B$13,Customers[Company],Customers[Payment 1]," ")</f>
        <v>Payment Details for XtraPower Account:</v>
      </c>
      <c r="C32" s="117"/>
      <c r="D32" s="117"/>
      <c r="E32" s="117"/>
      <c r="F32" s="117"/>
      <c r="G32" s="99"/>
      <c r="H32" s="99"/>
    </row>
    <row r="33" spans="1:8" ht="21" x14ac:dyDescent="0.25">
      <c r="A33" s="96"/>
      <c r="B33" s="117" t="str">
        <f>_xlfn.XLOOKUP($B$13,Customers[Company],Customers[Payment 2]," ")</f>
        <v>Virtual Account No. – IOCLXPP1005218882</v>
      </c>
      <c r="C33" s="117"/>
      <c r="D33" s="117"/>
      <c r="E33" s="117"/>
      <c r="F33" s="117"/>
      <c r="G33" s="99"/>
      <c r="H33" s="99"/>
    </row>
    <row r="34" spans="1:8" ht="21" x14ac:dyDescent="0.25">
      <c r="A34" s="96"/>
      <c r="B34" s="117" t="str">
        <f>_xlfn.XLOOKUP($B$13,Customers[Company],Customers[Payment 3]," ")</f>
        <v>IFS Code – HDFC0000240</v>
      </c>
      <c r="C34" s="117"/>
      <c r="D34" s="117"/>
      <c r="E34" s="117"/>
      <c r="F34" s="117"/>
      <c r="G34" s="99"/>
      <c r="H34" s="99"/>
    </row>
    <row r="35" spans="1:8" ht="21" x14ac:dyDescent="0.25">
      <c r="A35" s="96"/>
      <c r="B35" s="117" t="str">
        <f>_xlfn.XLOOKUP($B$13,Customers[Company],Customers[Payment 4]," ")</f>
        <v>Branch Name– HDFC Sandoz Branch, Worli, Mumbai</v>
      </c>
      <c r="C35" s="117"/>
      <c r="D35" s="117"/>
      <c r="E35" s="117"/>
      <c r="F35" s="117"/>
      <c r="G35" s="99"/>
      <c r="H35" s="99"/>
    </row>
    <row r="36" spans="1:8" ht="21" x14ac:dyDescent="0.25">
      <c r="A36" s="96"/>
      <c r="B36" s="117" t="str">
        <f>_xlfn.XLOOKUP($B$13,Customers[Company],Customers[Payment 5]," ")</f>
        <v>Beneficiary Name – Indian Oil Corporation Limited</v>
      </c>
      <c r="C36" s="117"/>
      <c r="D36" s="117"/>
      <c r="E36" s="117"/>
      <c r="F36" s="117"/>
      <c r="G36" s="99"/>
      <c r="H36" s="99"/>
    </row>
    <row r="37" spans="1:8" ht="18.75" x14ac:dyDescent="0.25">
      <c r="A37" s="96"/>
      <c r="B37" s="99"/>
      <c r="C37" s="99"/>
      <c r="D37" s="99"/>
      <c r="E37" s="99"/>
      <c r="F37" s="99"/>
      <c r="G37" s="99"/>
      <c r="H37" s="99"/>
    </row>
    <row r="38" spans="1:8" ht="18.75" x14ac:dyDescent="0.25">
      <c r="A38" s="96"/>
      <c r="B38" s="99"/>
      <c r="C38" s="99"/>
      <c r="D38" s="99"/>
      <c r="E38" s="99"/>
      <c r="F38" s="99"/>
      <c r="G38" s="99"/>
      <c r="H38" s="99"/>
    </row>
    <row r="39" spans="1:8" ht="18.75" x14ac:dyDescent="0.25">
      <c r="A39" s="96"/>
      <c r="B39" s="99"/>
      <c r="C39" s="99"/>
      <c r="D39" s="99"/>
      <c r="E39" s="99"/>
      <c r="F39" s="99"/>
      <c r="G39" s="99"/>
      <c r="H39" s="99"/>
    </row>
    <row r="40" spans="1:8" ht="18.75" x14ac:dyDescent="0.25">
      <c r="A40" s="96"/>
      <c r="B40" s="99"/>
      <c r="C40" s="99"/>
      <c r="D40" s="99"/>
      <c r="E40" s="99"/>
      <c r="F40" s="99"/>
      <c r="G40" s="99"/>
      <c r="H40" s="99"/>
    </row>
    <row r="41" spans="1:8" ht="18.75" x14ac:dyDescent="0.25">
      <c r="A41" s="96"/>
      <c r="B41" s="99"/>
      <c r="C41" s="99"/>
      <c r="D41" s="99"/>
      <c r="E41" s="99"/>
      <c r="F41" s="99"/>
      <c r="G41" s="99"/>
      <c r="H41" s="99"/>
    </row>
    <row r="42" spans="1:8" ht="18.75" x14ac:dyDescent="0.25">
      <c r="A42" s="96"/>
      <c r="B42" s="99"/>
      <c r="C42" s="99"/>
      <c r="D42" s="99"/>
      <c r="E42" s="99"/>
      <c r="F42" s="99"/>
      <c r="G42" s="99"/>
      <c r="H42" s="99"/>
    </row>
    <row r="43" spans="1:8" ht="18.75" x14ac:dyDescent="0.25">
      <c r="A43" s="96"/>
      <c r="B43" s="99"/>
      <c r="C43" s="99"/>
      <c r="D43" s="99"/>
      <c r="E43" s="99"/>
      <c r="F43" s="99"/>
      <c r="G43" s="99"/>
      <c r="H43" s="99"/>
    </row>
    <row r="44" spans="1:8" ht="18.75" x14ac:dyDescent="0.25">
      <c r="A44" s="96"/>
      <c r="B44" s="99"/>
      <c r="C44" s="99"/>
      <c r="D44" s="99"/>
      <c r="E44" s="99"/>
      <c r="F44" s="99"/>
      <c r="G44" s="99"/>
      <c r="H44" s="99"/>
    </row>
    <row r="45" spans="1:8" ht="18.75" x14ac:dyDescent="0.25">
      <c r="A45" s="96"/>
      <c r="B45" s="99"/>
      <c r="C45" s="99"/>
      <c r="D45" s="99"/>
      <c r="E45" s="99"/>
      <c r="F45" s="99"/>
      <c r="G45" s="99"/>
      <c r="H45" s="99"/>
    </row>
    <row r="46" spans="1:8" ht="18.75" x14ac:dyDescent="0.25">
      <c r="A46" s="96"/>
      <c r="B46" s="99"/>
      <c r="C46" s="99"/>
      <c r="D46" s="99"/>
      <c r="E46" s="99"/>
      <c r="F46" s="99"/>
      <c r="G46" s="99"/>
      <c r="H46" s="99"/>
    </row>
    <row r="47" spans="1:8" ht="21" x14ac:dyDescent="0.25">
      <c r="A47" s="96"/>
      <c r="B47" s="117" t="s">
        <v>59</v>
      </c>
      <c r="C47" s="117"/>
      <c r="D47" s="117"/>
      <c r="E47" s="117"/>
      <c r="F47" s="117"/>
      <c r="G47" s="135" t="s">
        <v>60</v>
      </c>
      <c r="H47" s="135"/>
    </row>
    <row r="48" spans="1:8" ht="18.75" x14ac:dyDescent="0.25">
      <c r="B48" s="1"/>
      <c r="C48" s="1"/>
      <c r="D48" s="1"/>
      <c r="E48" s="1"/>
      <c r="F48" s="1"/>
      <c r="G48" s="1"/>
      <c r="H48" s="1"/>
    </row>
    <row r="49" spans="2:8" ht="18.75" x14ac:dyDescent="0.25">
      <c r="B49" s="1"/>
      <c r="C49" s="1"/>
      <c r="D49" s="1"/>
      <c r="E49" s="1"/>
      <c r="F49" s="1"/>
      <c r="G49" s="1"/>
      <c r="H49" s="1"/>
    </row>
    <row r="50" spans="2:8" ht="18.75" x14ac:dyDescent="0.25">
      <c r="B50" s="1"/>
      <c r="C50" s="1"/>
      <c r="D50" s="1"/>
      <c r="E50" s="1"/>
      <c r="F50" s="1"/>
      <c r="G50" s="1"/>
      <c r="H50" s="1"/>
    </row>
    <row r="51" spans="2:8" ht="18.75" x14ac:dyDescent="0.25">
      <c r="B51" s="1"/>
      <c r="C51" s="1"/>
      <c r="D51" s="1"/>
      <c r="E51" s="1"/>
      <c r="F51" s="1"/>
      <c r="G51" s="1"/>
      <c r="H51" s="1"/>
    </row>
  </sheetData>
  <sheetProtection sheet="1" objects="1" scenarios="1"/>
  <mergeCells count="4">
    <mergeCell ref="G12:H12"/>
    <mergeCell ref="G15:H15"/>
    <mergeCell ref="C23:D23"/>
    <mergeCell ref="G47:H47"/>
  </mergeCells>
  <conditionalFormatting sqref="B25:C25">
    <cfRule type="expression" dxfId="31" priority="2">
      <formula>$G$15="Motor Spirit"</formula>
    </cfRule>
  </conditionalFormatting>
  <conditionalFormatting sqref="B28:D28 C29">
    <cfRule type="expression" dxfId="30" priority="1">
      <formula>$G$15="Motor Spirit"</formula>
    </cfRule>
  </conditionalFormatting>
  <dataValidations count="2">
    <dataValidation type="list" allowBlank="1" showInputMessage="1" showErrorMessage="1" errorTitle="Select a customer" error="Please pick a customer from the dropdown list. Type part of the name to filter, then choose a match." sqref="B13" xr:uid="{55BE64D0-BA39-4440-8EE3-545B27CABAEE}">
      <formula1>CustomerNames</formula1>
    </dataValidation>
    <dataValidation type="list" allowBlank="1" showInputMessage="1" showErrorMessage="1" sqref="G15" xr:uid="{CDE546AE-7D45-114B-8CBF-D37A80042C1A}">
      <formula1>FuelTypeList</formula1>
    </dataValidation>
  </dataValidations>
  <printOptions horizontalCentered="1"/>
  <pageMargins left="0.28000000000000003" right="0.28000000000000003" top="0.28000000000000003" bottom="0.28000000000000003" header="0" footer="0"/>
  <pageSetup paperSize="9" scale="97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BillPDFs">
                <anchor moveWithCells="1" sizeWithCells="1">
                  <from>
                    <xdr:col>9</xdr:col>
                    <xdr:colOff>25400</xdr:colOff>
                    <xdr:row>1</xdr:row>
                    <xdr:rowOff>114300</xdr:rowOff>
                  </from>
                  <to>
                    <xdr:col>11</xdr:col>
                    <xdr:colOff>292100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FCECE-2905-2E42-8757-6BEEB7BA9964}">
  <sheetPr codeName="Sheet1">
    <pageSetUpPr fitToPage="1"/>
  </sheetPr>
  <dimension ref="A1:K49"/>
  <sheetViews>
    <sheetView showGridLines="0" topLeftCell="A30" zoomScale="99" workbookViewId="0">
      <selection activeCell="E45" sqref="E45"/>
    </sheetView>
  </sheetViews>
  <sheetFormatPr defaultColWidth="10.8515625" defaultRowHeight="16.5" x14ac:dyDescent="0.25"/>
  <cols>
    <col min="1" max="1" width="9.98828125" style="57" customWidth="1"/>
    <col min="2" max="2" width="28.359375" style="57" customWidth="1"/>
    <col min="3" max="3" width="25.03125" style="57" customWidth="1"/>
    <col min="4" max="4" width="29.71484375" style="57" customWidth="1"/>
    <col min="5" max="5" width="28.359375" style="57" customWidth="1"/>
    <col min="6" max="6" width="24.16796875" style="57" customWidth="1"/>
    <col min="7" max="7" width="19.9765625" style="57" customWidth="1"/>
    <col min="8" max="8" width="24.16796875" style="57" customWidth="1"/>
  </cols>
  <sheetData>
    <row r="1" spans="1:8" ht="261.95" customHeight="1" thickBot="1" x14ac:dyDescent="0.3"/>
    <row r="2" spans="1:8" ht="30" customHeight="1" x14ac:dyDescent="0.25">
      <c r="A2" s="227" t="s">
        <v>161</v>
      </c>
      <c r="B2" s="228"/>
      <c r="C2" s="228"/>
      <c r="D2" s="228"/>
      <c r="E2" s="228"/>
      <c r="F2" s="228"/>
      <c r="G2" s="228"/>
      <c r="H2" s="229"/>
    </row>
    <row r="3" spans="1:8" ht="8.1" customHeight="1" x14ac:dyDescent="0.25">
      <c r="A3" s="60"/>
      <c r="B3" s="61"/>
      <c r="C3" s="61"/>
      <c r="D3" s="61"/>
      <c r="E3" s="61"/>
      <c r="F3" s="61"/>
      <c r="G3" s="61"/>
      <c r="H3" s="62"/>
    </row>
    <row r="4" spans="1:8" ht="24" customHeight="1" x14ac:dyDescent="0.25">
      <c r="A4" s="232" t="s">
        <v>162</v>
      </c>
      <c r="B4" s="233"/>
      <c r="C4" s="233"/>
      <c r="D4" s="233"/>
      <c r="E4" s="218" t="s">
        <v>165</v>
      </c>
      <c r="F4" s="218"/>
      <c r="G4" s="230" t="s">
        <v>265</v>
      </c>
      <c r="H4" s="231"/>
    </row>
    <row r="5" spans="1:8" ht="24" customHeight="1" x14ac:dyDescent="0.25">
      <c r="A5" s="225" t="s">
        <v>163</v>
      </c>
      <c r="B5" s="226"/>
      <c r="C5" s="226"/>
      <c r="D5" s="226"/>
      <c r="E5" s="218" t="s">
        <v>53</v>
      </c>
      <c r="F5" s="218"/>
      <c r="G5" s="221">
        <v>46262</v>
      </c>
      <c r="H5" s="222"/>
    </row>
    <row r="6" spans="1:8" ht="24" customHeight="1" x14ac:dyDescent="0.25">
      <c r="A6" s="136" t="s">
        <v>203</v>
      </c>
      <c r="B6" s="137"/>
      <c r="C6" s="137"/>
      <c r="D6" s="137"/>
      <c r="E6" s="218" t="s">
        <v>205</v>
      </c>
      <c r="F6" s="218"/>
      <c r="G6" s="223">
        <f>IF(DAY(G5)&lt;=15,DATE(YEAR(G5),MONTH(G5),15),EOMONTH(G5,0))</f>
        <v>46265</v>
      </c>
      <c r="H6" s="224"/>
    </row>
    <row r="7" spans="1:8" ht="24" customHeight="1" x14ac:dyDescent="0.25">
      <c r="A7" s="136" t="s">
        <v>164</v>
      </c>
      <c r="B7" s="137"/>
      <c r="C7" s="137"/>
      <c r="D7" s="137"/>
      <c r="E7" s="218" t="s">
        <v>166</v>
      </c>
      <c r="F7" s="218"/>
      <c r="G7" s="219" t="s">
        <v>266</v>
      </c>
      <c r="H7" s="220"/>
    </row>
    <row r="8" spans="1:8" ht="24" customHeight="1" x14ac:dyDescent="0.25">
      <c r="A8" s="136" t="s">
        <v>204</v>
      </c>
      <c r="B8" s="137"/>
      <c r="C8" s="137"/>
      <c r="D8" s="137"/>
      <c r="E8" s="218" t="s">
        <v>167</v>
      </c>
      <c r="F8" s="218"/>
      <c r="G8" s="221"/>
      <c r="H8" s="222"/>
    </row>
    <row r="9" spans="1:8" ht="26.1" customHeight="1" x14ac:dyDescent="0.25">
      <c r="A9" s="136" t="s">
        <v>115</v>
      </c>
      <c r="B9" s="137"/>
      <c r="C9" s="137"/>
      <c r="D9" s="137"/>
      <c r="E9" s="218" t="s">
        <v>168</v>
      </c>
      <c r="F9" s="218"/>
      <c r="G9" s="219" t="s">
        <v>169</v>
      </c>
      <c r="H9" s="220"/>
    </row>
    <row r="10" spans="1:8" ht="9.9499999999999993" customHeight="1" x14ac:dyDescent="0.25">
      <c r="A10" s="58"/>
      <c r="H10" s="59"/>
    </row>
    <row r="11" spans="1:8" ht="24" customHeight="1" x14ac:dyDescent="0.25">
      <c r="A11" s="209" t="s">
        <v>117</v>
      </c>
      <c r="B11" s="210"/>
      <c r="C11" s="210"/>
      <c r="D11" s="210"/>
      <c r="E11" s="211" t="s">
        <v>170</v>
      </c>
      <c r="F11" s="210"/>
      <c r="G11" s="210"/>
      <c r="H11" s="212"/>
    </row>
    <row r="12" spans="1:8" ht="24" customHeight="1" x14ac:dyDescent="0.25">
      <c r="A12" s="213" t="s">
        <v>87</v>
      </c>
      <c r="B12" s="214"/>
      <c r="C12" s="214"/>
      <c r="D12" s="214"/>
      <c r="E12" s="215" t="str">
        <f>A12</f>
        <v>Aryan Ispat &amp; Power Private Ltd.</v>
      </c>
      <c r="F12" s="216"/>
      <c r="G12" s="216"/>
      <c r="H12" s="217"/>
    </row>
    <row r="13" spans="1:8" ht="24" customHeight="1" x14ac:dyDescent="0.25">
      <c r="A13" s="196" t="str">
        <f>_xlfn.XLOOKUP($A$12,Customers[Company],Customers[Address 1]," ")</f>
        <v>Sambalpur.</v>
      </c>
      <c r="B13" s="197"/>
      <c r="C13" s="197"/>
      <c r="D13" s="197"/>
      <c r="E13" s="198" t="str">
        <f>A13</f>
        <v>Sambalpur.</v>
      </c>
      <c r="F13" s="197"/>
      <c r="G13" s="197"/>
      <c r="H13" s="199"/>
    </row>
    <row r="14" spans="1:8" ht="24" customHeight="1" x14ac:dyDescent="0.25">
      <c r="A14" s="196" t="str">
        <f>_xlfn.XLOOKUP($A$12,Customers[Company],Customers[Address 2]," ")</f>
        <v>GSTIN: 21AAECA5656R1ZB</v>
      </c>
      <c r="B14" s="197"/>
      <c r="C14" s="197"/>
      <c r="D14" s="197"/>
      <c r="E14" s="198" t="str">
        <f>A14</f>
        <v>GSTIN: 21AAECA5656R1ZB</v>
      </c>
      <c r="F14" s="197"/>
      <c r="G14" s="197"/>
      <c r="H14" s="199"/>
    </row>
    <row r="15" spans="1:8" ht="24" customHeight="1" x14ac:dyDescent="0.25">
      <c r="A15" s="200" t="str">
        <f>_xlfn.XLOOKUP($A$12,Customers[Company],Customers[Address 3]," ")</f>
        <v xml:space="preserve"> </v>
      </c>
      <c r="B15" s="201"/>
      <c r="C15" s="201"/>
      <c r="D15" s="201"/>
      <c r="E15" s="202" t="str">
        <f>A15</f>
        <v xml:space="preserve"> </v>
      </c>
      <c r="F15" s="201"/>
      <c r="G15" s="201"/>
      <c r="H15" s="203"/>
    </row>
    <row r="16" spans="1:8" ht="24" customHeight="1" x14ac:dyDescent="0.25">
      <c r="A16" s="204" t="s">
        <v>171</v>
      </c>
      <c r="B16" s="205"/>
      <c r="C16" s="205"/>
      <c r="D16" s="205"/>
      <c r="E16" s="206" t="s">
        <v>172</v>
      </c>
      <c r="F16" s="207"/>
      <c r="G16" s="207"/>
      <c r="H16" s="208"/>
    </row>
    <row r="17" spans="1:11" ht="9.9499999999999993" customHeight="1" thickBot="1" x14ac:dyDescent="0.3">
      <c r="A17" s="58"/>
      <c r="H17" s="59"/>
    </row>
    <row r="18" spans="1:11" ht="26.1" customHeight="1" thickBot="1" x14ac:dyDescent="0.3">
      <c r="A18" s="64" t="s">
        <v>121</v>
      </c>
      <c r="B18" s="191" t="s">
        <v>135</v>
      </c>
      <c r="C18" s="191"/>
      <c r="D18" s="65" t="s">
        <v>173</v>
      </c>
      <c r="E18" s="65" t="s">
        <v>143</v>
      </c>
      <c r="F18" s="65" t="s">
        <v>174</v>
      </c>
      <c r="G18" s="191" t="s">
        <v>175</v>
      </c>
      <c r="H18" s="192"/>
    </row>
    <row r="19" spans="1:11" ht="32.1" customHeight="1" x14ac:dyDescent="0.25">
      <c r="A19" s="66">
        <v>1</v>
      </c>
      <c r="B19" s="193" t="s">
        <v>124</v>
      </c>
      <c r="C19" s="193"/>
      <c r="D19" s="67" t="s">
        <v>202</v>
      </c>
      <c r="E19" s="119">
        <v>12000</v>
      </c>
      <c r="F19" s="68">
        <f>IFERROR(_xlfn.XLOOKUP($A$12,Customers[Company],Customers[HSD]),0)</f>
        <v>99.74</v>
      </c>
      <c r="G19" s="194">
        <f>IF(E19="","",TRUNC(E19*F19,0))</f>
        <v>1196880</v>
      </c>
      <c r="H19" s="195"/>
    </row>
    <row r="20" spans="1:11" ht="26.1" customHeight="1" x14ac:dyDescent="0.25">
      <c r="A20" s="69"/>
      <c r="B20" s="188" t="s">
        <v>125</v>
      </c>
      <c r="C20" s="188"/>
      <c r="D20" s="70"/>
      <c r="E20" s="120">
        <f>SUM(E19:E19)</f>
        <v>12000</v>
      </c>
      <c r="F20" s="70"/>
      <c r="G20" s="189">
        <f>SUM(G19:G19)</f>
        <v>1196880</v>
      </c>
      <c r="H20" s="190"/>
    </row>
    <row r="21" spans="1:11" ht="9.9499999999999993" customHeight="1" x14ac:dyDescent="0.25">
      <c r="A21" s="58"/>
      <c r="H21" s="59"/>
    </row>
    <row r="22" spans="1:11" ht="21.95" customHeight="1" x14ac:dyDescent="0.25">
      <c r="A22" s="166" t="s">
        <v>176</v>
      </c>
      <c r="B22" s="167"/>
      <c r="C22" s="167"/>
      <c r="D22" s="167"/>
      <c r="E22" s="167"/>
      <c r="F22"/>
      <c r="G22"/>
      <c r="H22" s="63"/>
    </row>
    <row r="23" spans="1:11" ht="26.1" customHeight="1" x14ac:dyDescent="0.25">
      <c r="A23" s="166" t="s">
        <v>177</v>
      </c>
      <c r="B23" s="167"/>
      <c r="C23" s="167"/>
      <c r="D23" s="167"/>
      <c r="E23" s="167"/>
      <c r="F23" s="71" t="s">
        <v>178</v>
      </c>
      <c r="G23" s="179">
        <f>G20</f>
        <v>1196880</v>
      </c>
      <c r="H23" s="180"/>
    </row>
    <row r="24" spans="1:11" ht="39.950000000000003" customHeight="1" thickBot="1" x14ac:dyDescent="0.3">
      <c r="A24" s="143" t="str">
        <f>IF(HSD_RSP-$F$19&lt;=0,"Rate as per prevailing IOCL Retail Selling Price at our RO: Rs."&amp;TEXT($F$19,"0.00")&amp;"/Ltr","Retail Selling Price at our RO: Rs."&amp;TEXT(HSD_RSP,"0.00")&amp;"/Ltr      Less: Special Discount Rs."&amp;TEXT(HSD_RSP-$F$19,"0.00")&amp;"/Ltr      Net Offer Price: Rs."&amp;TEXT($F$19,"0.00")&amp;"/Ltr")</f>
        <v>Retail Selling Price at our RO: Rs.100.74/Ltr      Less: Special Discount Rs.1.00/Ltr      Net Offer Price: Rs.99.74/Ltr</v>
      </c>
      <c r="B24" s="144"/>
      <c r="C24" s="144"/>
      <c r="D24" s="144"/>
      <c r="E24" s="144"/>
      <c r="F24" s="76" t="s">
        <v>179</v>
      </c>
      <c r="G24" s="181">
        <f>ROUND(G23,0)-G23</f>
        <v>0</v>
      </c>
      <c r="H24" s="182"/>
      <c r="J24" s="87" t="s">
        <v>245</v>
      </c>
    </row>
    <row r="25" spans="1:11" ht="36" customHeight="1" thickBot="1" x14ac:dyDescent="0.3">
      <c r="A25" s="145" t="str">
        <f>IF(HSD_RSP-$F$19&lt;=0,"Price is revised in line with every IOCL price revision. Delivery at your site is free of cost.","Total benefit passed on to you on this supply: Rs."&amp;TEXT($E$20*(HSD_RSP-$F$19),"#,##0")&amp;" (on "&amp;TEXT($E$20,"#,##0")&amp;" Ltr). Discount is applied on the prevailing IOCL RSP at every price revision.")</f>
        <v>Total benefit passed on to you on this supply: Rs.12,000 (on 12,000 Ltr). Discount is applied on the prevailing IOCL RSP at every price revision.</v>
      </c>
      <c r="B25" s="146"/>
      <c r="C25" s="146"/>
      <c r="D25" s="146"/>
      <c r="E25" s="146"/>
      <c r="F25" s="77" t="s">
        <v>226</v>
      </c>
      <c r="G25" s="183">
        <f>ROUND(G23,0)</f>
        <v>1196880</v>
      </c>
      <c r="H25" s="184"/>
      <c r="J25" s="88" t="s">
        <v>246</v>
      </c>
      <c r="K25" s="121">
        <f>IF(ISNUMBER(SEARCH("XtraPower",_xlfn.XLOOKUP($A$12,Customers[Company],Customers[Payment 1],""))),$G$25/100*XP_Net/100,0)</f>
        <v>0</v>
      </c>
    </row>
    <row r="26" spans="1:11" ht="38.1" customHeight="1" thickBot="1" x14ac:dyDescent="0.3">
      <c r="A26" s="185" t="str">
        <f>IF($K$25&gt;0,"XtraPower Benefit: Earn "&amp;TEXT(XP_Points,"0")&amp;" paise of XtraPower points per Rs.100 paid; after "&amp;TEXT(XP_TDS,"0%")&amp;" TDS deducted by IOCL, net "&amp;TEXT(XP_Net,"0")&amp;" paise per Rs.100 - approx. "&amp;TEXT($K$25,"#,##0")&amp;" points on this supply. Effective price after points: Rs."&amp;TEXT($K$26,"0.00")&amp;"/Ltr.","")</f>
        <v/>
      </c>
      <c r="B26" s="186"/>
      <c r="C26" s="186"/>
      <c r="D26" s="186"/>
      <c r="E26" s="186"/>
      <c r="F26" s="186"/>
      <c r="G26" s="186"/>
      <c r="H26" s="187"/>
      <c r="J26" s="88" t="s">
        <v>247</v>
      </c>
      <c r="K26" s="89">
        <f>IF($E$20=0,"",($G$25-$K$25)/$E$20)</f>
        <v>99.74</v>
      </c>
    </row>
    <row r="27" spans="1:11" ht="27.95" customHeight="1" x14ac:dyDescent="0.25">
      <c r="A27" s="78" t="s">
        <v>180</v>
      </c>
      <c r="B27" s="79"/>
      <c r="C27" s="155" t="str" cm="1">
        <f t="array" ref="C27">_xlfn.LET(_xlpm.n,ROUND(G25,0),_xlpm.o,{"One","Two","Three","Four","Five","Six","Seven","Eight","Nine","Ten","Eleven","Twelve","Thirteen","Fourteen","Fifteen","Sixteen","Seventeen","Eighteen","Nineteen"},_xlpm.t,{"Twenty","Thirty","Forty","Fifty","Sixty","Seventy","Eighty","Ninety"},_xlpm.cr,INT(_xlpm.n/10000000),_xlpm.lk,MOD(INT(_xlpm.n/100000),100),_xlpm.th,MOD(INT(_xlpm.n/1000),100),_xlpm.hd,MOD(INT(_xlpm.n/100),10),_xlpm.rs,MOD(_xlpm.n,100),IF(_xlpm.n=0,"Rupees Zero Only",TRIM("Rupees "&amp;IF(_xlpm.cr&gt;0,IF(_xlpm.cr=0,"",IF(_xlpm.cr&lt;20,INDEX(_xlpm.o,_xlpm.cr),TRIM(INDEX(_xlpm.t,INT(_xlpm.cr/10)-1)&amp;" "&amp;IF(MOD(_xlpm.cr,10)=0,"",INDEX(_xlpm.o,MOD(_xlpm.cr,10))))))&amp;" Crore ","")&amp;IF(_xlpm.lk&gt;0,IF(_xlpm.lk=0,"",IF(_xlpm.lk&lt;20,INDEX(_xlpm.o,_xlpm.lk),TRIM(INDEX(_xlpm.t,INT(_xlpm.lk/10)-1)&amp;" "&amp;IF(MOD(_xlpm.lk,10)=0,"",INDEX(_xlpm.o,MOD(_xlpm.lk,10))))))&amp;" Lakh ","")&amp;IF(_xlpm.th&gt;0,IF(_xlpm.th=0,"",IF(_xlpm.th&lt;20,INDEX(_xlpm.o,_xlpm.th),TRIM(INDEX(_xlpm.t,INT(_xlpm.th/10)-1)&amp;" "&amp;IF(MOD(_xlpm.th,10)=0,"",INDEX(_xlpm.o,MOD(_xlpm.th,10))))))&amp;" Thousand ","")&amp;IF(_xlpm.hd&gt;0,INDEX(_xlpm.o,_xlpm.hd)&amp;" Hundred ","")&amp;IF(_xlpm.rs&gt;0,IF(_xlpm.rs=0,"",IF(_xlpm.rs&lt;20,INDEX(_xlpm.o,_xlpm.rs),TRIM(INDEX(_xlpm.t,INT(_xlpm.rs/10)-1)&amp;" "&amp;IF(MOD(_xlpm.rs,10)=0,"",INDEX(_xlpm.o,MOD(_xlpm.rs,10))))))&amp;" ","")&amp;"Only")))</f>
        <v>Rupees Eleven Lakh Ninety Six Thousand Eight Hundred Eighty Only</v>
      </c>
      <c r="D27" s="156"/>
      <c r="E27" s="156"/>
      <c r="F27" s="156"/>
      <c r="G27" s="156"/>
      <c r="H27" s="157"/>
    </row>
    <row r="28" spans="1:11" ht="9.9499999999999993" customHeight="1" x14ac:dyDescent="0.25">
      <c r="A28" s="58"/>
      <c r="H28" s="59"/>
    </row>
    <row r="29" spans="1:11" ht="18.75" x14ac:dyDescent="0.25">
      <c r="A29" s="158" t="s">
        <v>181</v>
      </c>
      <c r="B29" s="159"/>
      <c r="C29" s="159"/>
      <c r="D29" s="159"/>
      <c r="E29" s="160" t="s">
        <v>187</v>
      </c>
      <c r="F29" s="159"/>
      <c r="G29" s="159"/>
      <c r="H29" s="161"/>
    </row>
    <row r="30" spans="1:11" ht="21" customHeight="1" x14ac:dyDescent="0.25">
      <c r="A30" s="162" t="str">
        <f>_xlfn.XLOOKUP($A$12,Customers[Company],Customers[Payment 2]," ")</f>
        <v>Account No. – 59217010101010</v>
      </c>
      <c r="B30" s="163"/>
      <c r="C30" s="163"/>
      <c r="D30" s="163"/>
      <c r="E30" s="176" t="s">
        <v>188</v>
      </c>
      <c r="F30" s="177"/>
      <c r="G30" s="177"/>
      <c r="H30" s="178"/>
    </row>
    <row r="31" spans="1:11" ht="21" customHeight="1" x14ac:dyDescent="0.25">
      <c r="A31" s="162" t="str">
        <f>_xlfn.XLOOKUP($A$12,Customers[Company],Customers[Payment 3]," ")</f>
        <v xml:space="preserve">IFSC Code – HDFC0000763 </v>
      </c>
      <c r="B31" s="163"/>
      <c r="C31" s="163"/>
      <c r="D31" s="163"/>
      <c r="E31" s="164" t="s">
        <v>189</v>
      </c>
      <c r="F31" s="152"/>
      <c r="G31" s="152"/>
      <c r="H31" s="165"/>
    </row>
    <row r="32" spans="1:11" ht="21" customHeight="1" x14ac:dyDescent="0.25">
      <c r="A32" s="162" t="str">
        <f>_xlfn.XLOOKUP($A$12,Customers[Company],Customers[Payment 4]," ")</f>
        <v>Branch Name- HDFC BANK LTD, JHARSUGUDA</v>
      </c>
      <c r="B32" s="163"/>
      <c r="C32" s="163"/>
      <c r="D32" s="163"/>
      <c r="E32" s="164" t="s">
        <v>190</v>
      </c>
      <c r="F32" s="152"/>
      <c r="G32" s="152"/>
      <c r="H32" s="165"/>
    </row>
    <row r="33" spans="1:8" ht="21" customHeight="1" x14ac:dyDescent="0.25">
      <c r="A33" s="162" t="str">
        <f>_xlfn.XLOOKUP($A$12,Customers[Company],Customers[Payment 5]," ")</f>
        <v>Benerficiary Name- VRIDDHI FUELS</v>
      </c>
      <c r="B33" s="163"/>
      <c r="C33" s="163"/>
      <c r="D33" s="163"/>
      <c r="E33" s="164" t="s">
        <v>191</v>
      </c>
      <c r="F33" s="152"/>
      <c r="G33" s="152"/>
      <c r="H33" s="165"/>
    </row>
    <row r="34" spans="1:8" ht="21" customHeight="1" x14ac:dyDescent="0.25">
      <c r="A34" s="166" t="s">
        <v>182</v>
      </c>
      <c r="B34" s="167"/>
      <c r="C34" s="167"/>
      <c r="D34" s="167"/>
      <c r="E34" s="164" t="s">
        <v>206</v>
      </c>
      <c r="F34" s="152"/>
      <c r="G34" s="152"/>
      <c r="H34" s="165"/>
    </row>
    <row r="35" spans="1:8" ht="21" customHeight="1" x14ac:dyDescent="0.25">
      <c r="A35" s="58"/>
      <c r="E35" s="164" t="s">
        <v>207</v>
      </c>
      <c r="F35" s="152"/>
      <c r="G35" s="152"/>
      <c r="H35" s="165"/>
    </row>
    <row r="36" spans="1:8" ht="21" customHeight="1" x14ac:dyDescent="0.25">
      <c r="A36" s="168" t="s">
        <v>183</v>
      </c>
      <c r="B36" s="169"/>
      <c r="C36" s="169"/>
      <c r="D36" s="169"/>
      <c r="E36" s="164" t="s">
        <v>192</v>
      </c>
      <c r="F36" s="152"/>
      <c r="G36" s="152"/>
      <c r="H36" s="165"/>
    </row>
    <row r="37" spans="1:8" ht="21" customHeight="1" x14ac:dyDescent="0.25">
      <c r="A37" s="151" t="s">
        <v>184</v>
      </c>
      <c r="B37" s="152"/>
      <c r="C37" s="152"/>
      <c r="D37" s="152"/>
      <c r="E37" s="164" t="s">
        <v>193</v>
      </c>
      <c r="F37" s="152"/>
      <c r="G37" s="152"/>
      <c r="H37" s="165"/>
    </row>
    <row r="38" spans="1:8" ht="21" customHeight="1" x14ac:dyDescent="0.25">
      <c r="A38" s="151" t="s">
        <v>185</v>
      </c>
      <c r="B38" s="152"/>
      <c r="C38" s="152"/>
      <c r="D38" s="152"/>
      <c r="E38" s="164" t="s">
        <v>194</v>
      </c>
      <c r="F38" s="152"/>
      <c r="G38" s="152"/>
      <c r="H38" s="165"/>
    </row>
    <row r="39" spans="1:8" ht="21" customHeight="1" x14ac:dyDescent="0.25">
      <c r="A39" s="153" t="s">
        <v>186</v>
      </c>
      <c r="B39" s="154"/>
      <c r="C39" s="154"/>
      <c r="D39" s="154"/>
      <c r="E39" s="164" t="s">
        <v>195</v>
      </c>
      <c r="F39" s="152"/>
      <c r="G39" s="152"/>
      <c r="H39" s="165"/>
    </row>
    <row r="40" spans="1:8" ht="21" customHeight="1" x14ac:dyDescent="0.25">
      <c r="A40" s="58"/>
      <c r="E40" s="164" t="s">
        <v>196</v>
      </c>
      <c r="F40" s="152"/>
      <c r="G40" s="152"/>
      <c r="H40" s="165"/>
    </row>
    <row r="41" spans="1:8" ht="21" customHeight="1" x14ac:dyDescent="0.25">
      <c r="A41" s="58"/>
      <c r="E41" s="170" t="s">
        <v>197</v>
      </c>
      <c r="F41" s="154"/>
      <c r="G41" s="154"/>
      <c r="H41" s="171"/>
    </row>
    <row r="42" spans="1:8" ht="21" customHeight="1" x14ac:dyDescent="0.25">
      <c r="A42" s="58"/>
      <c r="E42" s="138"/>
      <c r="F42" s="138"/>
      <c r="G42" s="138"/>
      <c r="H42" s="139"/>
    </row>
    <row r="43" spans="1:8" ht="26.1" customHeight="1" x14ac:dyDescent="0.25">
      <c r="A43" s="172" t="s">
        <v>198</v>
      </c>
      <c r="B43" s="173"/>
      <c r="C43" s="173"/>
      <c r="D43" s="173"/>
      <c r="F43" s="174" t="s">
        <v>59</v>
      </c>
      <c r="G43" s="174"/>
      <c r="H43" s="175"/>
    </row>
    <row r="44" spans="1:8" ht="20.100000000000001" customHeight="1" x14ac:dyDescent="0.25">
      <c r="A44" s="58"/>
      <c r="H44" s="59"/>
    </row>
    <row r="45" spans="1:8" ht="62.1" customHeight="1" x14ac:dyDescent="0.25">
      <c r="A45" s="58"/>
      <c r="H45" s="59"/>
    </row>
    <row r="46" spans="1:8" ht="20.100000000000001" customHeight="1" x14ac:dyDescent="0.25">
      <c r="A46" s="58"/>
      <c r="H46" s="59"/>
    </row>
    <row r="47" spans="1:8" ht="27.95" customHeight="1" x14ac:dyDescent="0.25">
      <c r="A47" s="147" t="s">
        <v>199</v>
      </c>
      <c r="B47" s="148"/>
      <c r="C47" s="148"/>
      <c r="D47" s="148"/>
      <c r="F47" s="149" t="s">
        <v>200</v>
      </c>
      <c r="G47" s="149"/>
      <c r="H47" s="150"/>
    </row>
    <row r="48" spans="1:8" ht="20.100000000000001" customHeight="1" x14ac:dyDescent="0.25">
      <c r="A48" s="58"/>
      <c r="H48" s="59"/>
    </row>
    <row r="49" spans="1:8" ht="20.100000000000001" customHeight="1" thickBot="1" x14ac:dyDescent="0.3">
      <c r="A49" s="140" t="s">
        <v>201</v>
      </c>
      <c r="B49" s="141"/>
      <c r="C49" s="141"/>
      <c r="D49" s="141"/>
      <c r="E49" s="141"/>
      <c r="F49" s="141"/>
      <c r="G49" s="141"/>
      <c r="H49" s="142"/>
    </row>
  </sheetData>
  <mergeCells count="75">
    <mergeCell ref="E6:F6"/>
    <mergeCell ref="G6:H6"/>
    <mergeCell ref="A5:D5"/>
    <mergeCell ref="A6:D6"/>
    <mergeCell ref="A2:H2"/>
    <mergeCell ref="E4:F4"/>
    <mergeCell ref="G4:H4"/>
    <mergeCell ref="E5:F5"/>
    <mergeCell ref="G5:H5"/>
    <mergeCell ref="A4:D4"/>
    <mergeCell ref="E7:F7"/>
    <mergeCell ref="G7:H7"/>
    <mergeCell ref="E8:F8"/>
    <mergeCell ref="G8:H8"/>
    <mergeCell ref="E9:F9"/>
    <mergeCell ref="G9:H9"/>
    <mergeCell ref="A11:D11"/>
    <mergeCell ref="E11:H11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B20:C20"/>
    <mergeCell ref="G20:H20"/>
    <mergeCell ref="B18:C18"/>
    <mergeCell ref="G18:H18"/>
    <mergeCell ref="B19:C19"/>
    <mergeCell ref="G19:H19"/>
    <mergeCell ref="A32:D32"/>
    <mergeCell ref="E30:H30"/>
    <mergeCell ref="E31:H31"/>
    <mergeCell ref="E32:H32"/>
    <mergeCell ref="A22:E22"/>
    <mergeCell ref="A23:E23"/>
    <mergeCell ref="G23:H23"/>
    <mergeCell ref="G24:H24"/>
    <mergeCell ref="G25:H25"/>
    <mergeCell ref="A26:H26"/>
    <mergeCell ref="E39:H39"/>
    <mergeCell ref="E40:H40"/>
    <mergeCell ref="E41:H41"/>
    <mergeCell ref="A43:D43"/>
    <mergeCell ref="F43:H43"/>
    <mergeCell ref="E38:H38"/>
    <mergeCell ref="A33:D33"/>
    <mergeCell ref="A34:D34"/>
    <mergeCell ref="A36:D36"/>
    <mergeCell ref="A37:D37"/>
    <mergeCell ref="E33:H33"/>
    <mergeCell ref="E34:H34"/>
    <mergeCell ref="E35:H35"/>
    <mergeCell ref="E36:H36"/>
    <mergeCell ref="E37:H37"/>
    <mergeCell ref="A7:D7"/>
    <mergeCell ref="A8:D8"/>
    <mergeCell ref="A9:D9"/>
    <mergeCell ref="E42:H42"/>
    <mergeCell ref="A49:H49"/>
    <mergeCell ref="A24:E24"/>
    <mergeCell ref="A25:E25"/>
    <mergeCell ref="A47:D47"/>
    <mergeCell ref="F47:H47"/>
    <mergeCell ref="A38:D38"/>
    <mergeCell ref="A39:D39"/>
    <mergeCell ref="C27:H27"/>
    <mergeCell ref="A29:D29"/>
    <mergeCell ref="E29:H29"/>
    <mergeCell ref="A30:D30"/>
    <mergeCell ref="A31:D31"/>
  </mergeCells>
  <dataValidations count="2">
    <dataValidation type="list" allowBlank="1" showInputMessage="1" showErrorMessage="1" sqref="B19" xr:uid="{6972BD26-CE07-B241-BC06-935BD6E0B530}">
      <formula1>"High Speed Diesel (HSD),Motor Spirit (Petrol),XtraGreen Diesel,Lubricants"</formula1>
    </dataValidation>
    <dataValidation type="list" allowBlank="1" showInputMessage="1" showErrorMessage="1" sqref="A12" xr:uid="{646E274E-1600-994A-B8B8-F3FFD8BF5417}">
      <formula1>CustomerNames</formula1>
    </dataValidation>
  </dataValidations>
  <printOptions horizontalCentered="1"/>
  <pageMargins left="0.28000000000000003" right="0.28000000000000003" top="0.28000000000000003" bottom="0.28000000000000003" header="0.3" footer="0.3"/>
  <pageSetup paperSize="9" scale="48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PrintAndLogPI">
                <anchor moveWithCells="1" sizeWithCells="1">
                  <from>
                    <xdr:col>10</xdr:col>
                    <xdr:colOff>711200</xdr:colOff>
                    <xdr:row>0</xdr:row>
                    <xdr:rowOff>660400</xdr:rowOff>
                  </from>
                  <to>
                    <xdr:col>13</xdr:col>
                    <xdr:colOff>685800</xdr:colOff>
                    <xdr:row>0</xdr:row>
                    <xdr:rowOff>1346200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eprintPIs">
                <anchor moveWithCells="1" sizeWithCells="1">
                  <from>
                    <xdr:col>14</xdr:col>
                    <xdr:colOff>762000</xdr:colOff>
                    <xdr:row>0</xdr:row>
                    <xdr:rowOff>673100</xdr:rowOff>
                  </from>
                  <to>
                    <xdr:col>17</xdr:col>
                    <xdr:colOff>266700</xdr:colOff>
                    <xdr:row>0</xdr:row>
                    <xdr:rowOff>1295400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EE7C-8839-42D9-BA0B-5C8EEB61FAFA}">
  <sheetPr codeName="Sheet2"/>
  <dimension ref="A1:AA32"/>
  <sheetViews>
    <sheetView zoomScale="120" zoomScaleNormal="120" workbookViewId="0">
      <selection activeCell="L4" sqref="L4"/>
    </sheetView>
  </sheetViews>
  <sheetFormatPr defaultColWidth="8.875" defaultRowHeight="16.5" x14ac:dyDescent="0.25"/>
  <cols>
    <col min="1" max="1" width="39.953125" customWidth="1"/>
    <col min="2" max="2" width="9.125" customWidth="1"/>
    <col min="3" max="5" width="25.03125" customWidth="1"/>
    <col min="6" max="10" width="26.6328125" customWidth="1"/>
    <col min="11" max="12" width="15.04296875" customWidth="1"/>
    <col min="14" max="14" width="12.20703125" customWidth="1"/>
    <col min="15" max="16" width="18.37109375" customWidth="1"/>
    <col min="18" max="19" width="19.9765625" customWidth="1"/>
    <col min="21" max="21" width="19.9765625" customWidth="1"/>
    <col min="23" max="23" width="38.34765625" customWidth="1"/>
    <col min="24" max="24" width="11.7109375" customWidth="1"/>
    <col min="26" max="26" width="38.34765625" customWidth="1"/>
    <col min="27" max="27" width="21.703125" customWidth="1"/>
  </cols>
  <sheetData>
    <row r="1" spans="1:2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104</v>
      </c>
      <c r="L1" t="s">
        <v>105</v>
      </c>
      <c r="M1" t="s">
        <v>107</v>
      </c>
      <c r="O1" t="s">
        <v>107</v>
      </c>
      <c r="P1" t="s">
        <v>252</v>
      </c>
      <c r="R1" t="s">
        <v>253</v>
      </c>
      <c r="S1" t="s">
        <v>252</v>
      </c>
      <c r="U1" t="s">
        <v>254</v>
      </c>
      <c r="W1" s="2" t="s">
        <v>239</v>
      </c>
      <c r="Z1" s="2" t="s">
        <v>256</v>
      </c>
      <c r="AA1" s="128" t="s">
        <v>12</v>
      </c>
    </row>
    <row r="2" spans="1:27" x14ac:dyDescent="0.25">
      <c r="A2" t="s">
        <v>72</v>
      </c>
      <c r="B2" s="3">
        <f>_xlfn.XLOOKUP(Customers[[#This Row],[Price Tier]],RateCard[Price Tier],RateCard[Rate],"")</f>
        <v>100.74</v>
      </c>
      <c r="C2" t="s">
        <v>28</v>
      </c>
      <c r="D2" t="s">
        <v>22</v>
      </c>
      <c r="E2" t="s">
        <v>86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106</v>
      </c>
      <c r="L2" s="131" t="s">
        <v>106</v>
      </c>
      <c r="M2" t="s">
        <v>2</v>
      </c>
      <c r="O2" t="s">
        <v>2</v>
      </c>
      <c r="P2" s="4">
        <v>100.74</v>
      </c>
      <c r="R2" t="s">
        <v>11</v>
      </c>
      <c r="S2" s="4">
        <v>109.01</v>
      </c>
      <c r="U2" t="s">
        <v>63</v>
      </c>
      <c r="W2" t="s">
        <v>222</v>
      </c>
      <c r="X2" s="74">
        <v>40</v>
      </c>
    </row>
    <row r="3" spans="1:27" x14ac:dyDescent="0.25">
      <c r="A3" t="s">
        <v>87</v>
      </c>
      <c r="B3" s="3">
        <f>_xlfn.XLOOKUP(Customers[[#This Row],[Price Tier]],RateCard[Price Tier],RateCard[Rate],"")</f>
        <v>99.74</v>
      </c>
      <c r="C3" t="s">
        <v>77</v>
      </c>
      <c r="D3" t="s">
        <v>88</v>
      </c>
      <c r="E3" t="s">
        <v>106</v>
      </c>
      <c r="F3" t="s">
        <v>15</v>
      </c>
      <c r="G3" t="s">
        <v>16</v>
      </c>
      <c r="H3" t="s">
        <v>17</v>
      </c>
      <c r="I3" t="s">
        <v>18</v>
      </c>
      <c r="J3" t="s">
        <v>19</v>
      </c>
      <c r="K3" t="s">
        <v>58</v>
      </c>
      <c r="L3" s="131" t="s">
        <v>266</v>
      </c>
      <c r="M3" t="s">
        <v>267</v>
      </c>
      <c r="O3" t="s">
        <v>12</v>
      </c>
      <c r="P3" s="4">
        <v>99.5</v>
      </c>
      <c r="R3" t="s">
        <v>89</v>
      </c>
      <c r="S3" s="4">
        <v>106.34</v>
      </c>
      <c r="U3" t="s">
        <v>11</v>
      </c>
      <c r="W3" t="s">
        <v>223</v>
      </c>
      <c r="X3" s="73">
        <v>0.1</v>
      </c>
      <c r="Z3" s="2" t="s">
        <v>257</v>
      </c>
    </row>
    <row r="4" spans="1:27" x14ac:dyDescent="0.25">
      <c r="A4" t="s">
        <v>66</v>
      </c>
      <c r="B4" s="3">
        <f>_xlfn.XLOOKUP(Customers[[#This Row],[Price Tier]],RateCard[Price Tier],RateCard[Rate],"")</f>
        <v>99.5</v>
      </c>
      <c r="C4" t="s">
        <v>21</v>
      </c>
      <c r="D4" t="s">
        <v>22</v>
      </c>
      <c r="E4" t="s">
        <v>106</v>
      </c>
      <c r="F4" t="s">
        <v>213</v>
      </c>
      <c r="G4" t="s">
        <v>212</v>
      </c>
      <c r="H4" t="s">
        <v>209</v>
      </c>
      <c r="I4" t="s">
        <v>210</v>
      </c>
      <c r="J4" t="s">
        <v>211</v>
      </c>
      <c r="K4" t="s">
        <v>106</v>
      </c>
      <c r="L4" s="131" t="s">
        <v>106</v>
      </c>
      <c r="M4" t="s">
        <v>12</v>
      </c>
      <c r="O4" t="s">
        <v>20</v>
      </c>
      <c r="P4" s="4">
        <v>100.74</v>
      </c>
      <c r="U4" t="s">
        <v>89</v>
      </c>
      <c r="W4" t="s">
        <v>224</v>
      </c>
      <c r="X4" s="75">
        <f>X2*(1-X3)</f>
        <v>36</v>
      </c>
      <c r="Z4" t="str" cm="1">
        <f t="array" ref="Z4:Z22">_xlfn._xlws.FILTER(Customers[Company],Customers[Price Tier]=$AA$1)</f>
        <v>Babylon Logistics PVT LTD</v>
      </c>
    </row>
    <row r="5" spans="1:27" x14ac:dyDescent="0.25">
      <c r="A5" t="s">
        <v>90</v>
      </c>
      <c r="B5" s="3">
        <f>_xlfn.XLOOKUP(Customers[[#This Row],[Price Tier]],RateCard[Price Tier],RateCard[Rate],"")</f>
        <v>99.5</v>
      </c>
      <c r="C5" t="s">
        <v>24</v>
      </c>
      <c r="D5" t="s">
        <v>25</v>
      </c>
      <c r="E5" t="s">
        <v>79</v>
      </c>
      <c r="F5" t="s">
        <v>213</v>
      </c>
      <c r="G5" t="s">
        <v>214</v>
      </c>
      <c r="H5" t="s">
        <v>209</v>
      </c>
      <c r="I5" t="s">
        <v>210</v>
      </c>
      <c r="J5" t="s">
        <v>211</v>
      </c>
      <c r="K5" t="s">
        <v>106</v>
      </c>
      <c r="L5" s="131" t="s">
        <v>106</v>
      </c>
      <c r="M5" t="s">
        <v>12</v>
      </c>
      <c r="O5" t="s">
        <v>23</v>
      </c>
      <c r="P5" s="4">
        <v>99.5</v>
      </c>
      <c r="Z5" t="str">
        <v>Bhaskar Earthmover Private Limited</v>
      </c>
    </row>
    <row r="6" spans="1:27" x14ac:dyDescent="0.25">
      <c r="A6" t="s">
        <v>92</v>
      </c>
      <c r="B6" s="3">
        <f>_xlfn.XLOOKUP(Customers[[#This Row],[Price Tier]],RateCard[Price Tier],RateCard[Rate],"")</f>
        <v>99.5</v>
      </c>
      <c r="C6" t="s">
        <v>24</v>
      </c>
      <c r="D6" t="s">
        <v>25</v>
      </c>
      <c r="E6" t="s">
        <v>80</v>
      </c>
      <c r="F6" t="s">
        <v>213</v>
      </c>
      <c r="G6" t="s">
        <v>215</v>
      </c>
      <c r="H6" t="s">
        <v>209</v>
      </c>
      <c r="I6" t="s">
        <v>210</v>
      </c>
      <c r="J6" t="s">
        <v>211</v>
      </c>
      <c r="K6" t="s">
        <v>106</v>
      </c>
      <c r="L6" s="131" t="s">
        <v>106</v>
      </c>
      <c r="M6" t="s">
        <v>12</v>
      </c>
      <c r="O6" t="s">
        <v>26</v>
      </c>
      <c r="P6" s="4">
        <v>99.5</v>
      </c>
      <c r="W6" t="s">
        <v>255</v>
      </c>
      <c r="X6" s="3">
        <f>_xlfn.XLOOKUP("HSD RSP",RateCard[Price Tier],RateCard[Rate],"")</f>
        <v>100.74</v>
      </c>
      <c r="Z6" t="str">
        <v>Bkd Logistics Private Limited</v>
      </c>
    </row>
    <row r="7" spans="1:27" x14ac:dyDescent="0.25">
      <c r="A7" t="s">
        <v>258</v>
      </c>
      <c r="B7" s="3">
        <f>_xlfn.XLOOKUP(Customers[[#This Row],[Price Tier]],RateCard[Price Tier],RateCard[Rate],"")</f>
        <v>99.99</v>
      </c>
      <c r="C7" t="s">
        <v>260</v>
      </c>
      <c r="D7" t="s">
        <v>261</v>
      </c>
      <c r="E7" t="s">
        <v>262</v>
      </c>
      <c r="F7" t="s">
        <v>15</v>
      </c>
      <c r="G7" t="s">
        <v>16</v>
      </c>
      <c r="H7" t="s">
        <v>17</v>
      </c>
      <c r="I7" t="s">
        <v>18</v>
      </c>
      <c r="J7" t="s">
        <v>19</v>
      </c>
      <c r="K7" t="s">
        <v>106</v>
      </c>
      <c r="L7" s="131" t="s">
        <v>106</v>
      </c>
      <c r="M7" t="s">
        <v>259</v>
      </c>
      <c r="O7" t="s">
        <v>27</v>
      </c>
      <c r="P7" s="4">
        <v>99.5</v>
      </c>
      <c r="Z7" t="str">
        <v>Great River Coy Private Limited</v>
      </c>
    </row>
    <row r="8" spans="1:27" x14ac:dyDescent="0.25">
      <c r="A8" t="s">
        <v>101</v>
      </c>
      <c r="B8" s="3">
        <f>_xlfn.XLOOKUP(Customers[[#This Row],[Price Tier]],RateCard[Price Tier],RateCard[Rate],"")</f>
        <v>99.5</v>
      </c>
      <c r="C8" t="s">
        <v>28</v>
      </c>
      <c r="D8" t="s">
        <v>22</v>
      </c>
      <c r="E8" t="s">
        <v>81</v>
      </c>
      <c r="F8" t="s">
        <v>15</v>
      </c>
      <c r="G8" t="s">
        <v>16</v>
      </c>
      <c r="H8" t="s">
        <v>17</v>
      </c>
      <c r="I8" t="s">
        <v>18</v>
      </c>
      <c r="J8" t="s">
        <v>19</v>
      </c>
      <c r="K8" t="s">
        <v>106</v>
      </c>
      <c r="L8" s="131" t="s">
        <v>106</v>
      </c>
      <c r="M8" t="s">
        <v>12</v>
      </c>
      <c r="O8" t="s">
        <v>259</v>
      </c>
      <c r="P8" s="4">
        <f>P2-0.75</f>
        <v>99.99</v>
      </c>
      <c r="Z8" t="str">
        <v>Grk Logistics Private Limited</v>
      </c>
    </row>
    <row r="9" spans="1:27" x14ac:dyDescent="0.25">
      <c r="A9" t="s">
        <v>94</v>
      </c>
      <c r="B9" s="3">
        <f>_xlfn.XLOOKUP(Customers[[#This Row],[Price Tier]],RateCard[Price Tier],RateCard[Rate],"")</f>
        <v>99.5</v>
      </c>
      <c r="C9" t="s">
        <v>28</v>
      </c>
      <c r="D9" t="s">
        <v>22</v>
      </c>
      <c r="E9" t="s">
        <v>82</v>
      </c>
      <c r="F9" t="s">
        <v>15</v>
      </c>
      <c r="G9" t="s">
        <v>16</v>
      </c>
      <c r="H9" t="s">
        <v>17</v>
      </c>
      <c r="I9" t="s">
        <v>18</v>
      </c>
      <c r="J9" t="s">
        <v>19</v>
      </c>
      <c r="K9" t="s">
        <v>106</v>
      </c>
      <c r="L9" s="131" t="s">
        <v>106</v>
      </c>
      <c r="M9" t="s">
        <v>12</v>
      </c>
      <c r="O9" t="s">
        <v>267</v>
      </c>
      <c r="P9" s="4">
        <f>P2-1</f>
        <v>99.74</v>
      </c>
      <c r="Z9" t="str">
        <v>Harnoor Logistics Private Limited</v>
      </c>
    </row>
    <row r="10" spans="1:27" x14ac:dyDescent="0.25">
      <c r="A10" t="s">
        <v>102</v>
      </c>
      <c r="B10" s="3">
        <f>_xlfn.XLOOKUP(Customers[[#This Row],[Price Tier]],RateCard[Price Tier],RateCard[Rate],"")</f>
        <v>99.5</v>
      </c>
      <c r="C10" t="s">
        <v>29</v>
      </c>
      <c r="D10" t="s">
        <v>30</v>
      </c>
      <c r="E10" t="s">
        <v>83</v>
      </c>
      <c r="F10" t="s">
        <v>15</v>
      </c>
      <c r="G10" t="s">
        <v>16</v>
      </c>
      <c r="H10" t="s">
        <v>17</v>
      </c>
      <c r="I10" t="s">
        <v>18</v>
      </c>
      <c r="J10" t="s">
        <v>19</v>
      </c>
      <c r="K10" t="s">
        <v>106</v>
      </c>
      <c r="L10" s="131" t="s">
        <v>106</v>
      </c>
      <c r="M10" t="s">
        <v>12</v>
      </c>
      <c r="Z10" t="str">
        <v>Ib Logistics Private Limited</v>
      </c>
    </row>
    <row r="11" spans="1:27" x14ac:dyDescent="0.25">
      <c r="A11" t="s">
        <v>95</v>
      </c>
      <c r="B11" s="3">
        <f>_xlfn.XLOOKUP(Customers[[#This Row],[Price Tier]],RateCard[Price Tier],RateCard[Rate],"")</f>
        <v>99.5</v>
      </c>
      <c r="C11" t="s">
        <v>29</v>
      </c>
      <c r="D11" t="s">
        <v>30</v>
      </c>
      <c r="E11" t="s">
        <v>106</v>
      </c>
      <c r="F11" s="129" t="s">
        <v>213</v>
      </c>
      <c r="G11" s="129" t="s">
        <v>216</v>
      </c>
      <c r="H11" s="129" t="s">
        <v>209</v>
      </c>
      <c r="I11" s="129" t="s">
        <v>210</v>
      </c>
      <c r="J11" s="129" t="s">
        <v>211</v>
      </c>
      <c r="K11" t="s">
        <v>106</v>
      </c>
      <c r="L11" s="131" t="s">
        <v>106</v>
      </c>
      <c r="M11" t="s">
        <v>12</v>
      </c>
      <c r="Z11" t="str">
        <v>Jay Hanuman Transport and Multipurpose Co-Operative Society Ltd</v>
      </c>
    </row>
    <row r="12" spans="1:27" x14ac:dyDescent="0.25">
      <c r="A12" t="s">
        <v>96</v>
      </c>
      <c r="B12" s="3">
        <f>_xlfn.XLOOKUP(Customers[[#This Row],[Price Tier]],RateCard[Price Tier],RateCard[Rate],"")</f>
        <v>99.5</v>
      </c>
      <c r="C12" t="s">
        <v>28</v>
      </c>
      <c r="D12" t="s">
        <v>22</v>
      </c>
      <c r="E12" t="s">
        <v>74</v>
      </c>
      <c r="F12" t="s">
        <v>15</v>
      </c>
      <c r="G12" t="s">
        <v>16</v>
      </c>
      <c r="H12" t="s">
        <v>17</v>
      </c>
      <c r="I12" t="s">
        <v>18</v>
      </c>
      <c r="J12" t="s">
        <v>19</v>
      </c>
      <c r="K12" t="s">
        <v>106</v>
      </c>
      <c r="L12" s="131" t="s">
        <v>106</v>
      </c>
      <c r="M12" t="s">
        <v>12</v>
      </c>
      <c r="Z12" t="str">
        <v>LN LOGISTICS PVT LTD</v>
      </c>
    </row>
    <row r="13" spans="1:27" x14ac:dyDescent="0.25">
      <c r="A13" t="s">
        <v>31</v>
      </c>
      <c r="B13" s="3">
        <f>_xlfn.XLOOKUP(Customers[[#This Row],[Price Tier]],RateCard[Price Tier],RateCard[Rate],"")</f>
        <v>100.74</v>
      </c>
      <c r="C13" t="s">
        <v>13</v>
      </c>
      <c r="D13" t="s">
        <v>14</v>
      </c>
      <c r="E13" t="s">
        <v>106</v>
      </c>
      <c r="F13" t="s">
        <v>15</v>
      </c>
      <c r="G13" t="s">
        <v>16</v>
      </c>
      <c r="H13" t="s">
        <v>17</v>
      </c>
      <c r="I13" t="s">
        <v>18</v>
      </c>
      <c r="J13" t="s">
        <v>19</v>
      </c>
      <c r="K13" t="s">
        <v>106</v>
      </c>
      <c r="L13" s="131" t="s">
        <v>106</v>
      </c>
      <c r="M13" t="s">
        <v>2</v>
      </c>
      <c r="Z13" t="str">
        <v>MA AUTOMOBILE</v>
      </c>
    </row>
    <row r="14" spans="1:27" x14ac:dyDescent="0.25">
      <c r="A14" t="s">
        <v>32</v>
      </c>
      <c r="B14" s="3">
        <f>_xlfn.XLOOKUP(Customers[[#This Row],[Price Tier]],RateCard[Price Tier],RateCard[Rate],"")</f>
        <v>99.5</v>
      </c>
      <c r="C14" t="s">
        <v>21</v>
      </c>
      <c r="D14" t="s">
        <v>22</v>
      </c>
      <c r="E14" t="s">
        <v>106</v>
      </c>
      <c r="F14" t="s">
        <v>15</v>
      </c>
      <c r="G14" t="s">
        <v>16</v>
      </c>
      <c r="H14" t="s">
        <v>17</v>
      </c>
      <c r="I14" t="s">
        <v>18</v>
      </c>
      <c r="J14" t="s">
        <v>19</v>
      </c>
      <c r="K14" t="s">
        <v>106</v>
      </c>
      <c r="L14" s="131" t="s">
        <v>106</v>
      </c>
      <c r="M14" t="s">
        <v>12</v>
      </c>
      <c r="Z14" t="str">
        <v>Maa Karni Earthmover Private Limited</v>
      </c>
    </row>
    <row r="15" spans="1:27" x14ac:dyDescent="0.25">
      <c r="A15" t="s">
        <v>71</v>
      </c>
      <c r="B15" s="3">
        <f>_xlfn.XLOOKUP(Customers[[#This Row],[Price Tier]],RateCard[Price Tier],RateCard[Rate],"")</f>
        <v>100.74</v>
      </c>
      <c r="C15" t="s">
        <v>13</v>
      </c>
      <c r="D15" t="s">
        <v>14</v>
      </c>
      <c r="E15" t="s">
        <v>106</v>
      </c>
      <c r="F15" t="s">
        <v>15</v>
      </c>
      <c r="G15" t="s">
        <v>16</v>
      </c>
      <c r="H15" t="s">
        <v>17</v>
      </c>
      <c r="I15" t="s">
        <v>18</v>
      </c>
      <c r="J15" t="s">
        <v>19</v>
      </c>
      <c r="K15" t="s">
        <v>106</v>
      </c>
      <c r="L15" s="131" t="s">
        <v>106</v>
      </c>
      <c r="M15" t="s">
        <v>2</v>
      </c>
      <c r="Z15" t="str">
        <v>Maheshanand Logistics Private Limited</v>
      </c>
    </row>
    <row r="16" spans="1:27" x14ac:dyDescent="0.25">
      <c r="A16" t="s">
        <v>70</v>
      </c>
      <c r="B16" s="3">
        <f>_xlfn.XLOOKUP(Customers[[#This Row],[Price Tier]],RateCard[Price Tier],RateCard[Rate],"")</f>
        <v>100.74</v>
      </c>
      <c r="C16" t="s">
        <v>13</v>
      </c>
      <c r="D16" t="s">
        <v>14</v>
      </c>
      <c r="E16" t="s">
        <v>106</v>
      </c>
      <c r="F16" t="s">
        <v>15</v>
      </c>
      <c r="G16" t="s">
        <v>16</v>
      </c>
      <c r="H16" t="s">
        <v>17</v>
      </c>
      <c r="I16" t="s">
        <v>18</v>
      </c>
      <c r="J16" t="s">
        <v>19</v>
      </c>
      <c r="K16" t="s">
        <v>106</v>
      </c>
      <c r="L16" s="131" t="s">
        <v>106</v>
      </c>
      <c r="M16" t="s">
        <v>2</v>
      </c>
      <c r="Z16" t="str">
        <v>Pentane Logistics PVT LTD</v>
      </c>
    </row>
    <row r="17" spans="1:26" x14ac:dyDescent="0.25">
      <c r="A17" t="s">
        <v>68</v>
      </c>
      <c r="B17" s="3">
        <f>_xlfn.XLOOKUP(Customers[[#This Row],[Price Tier]],RateCard[Price Tier],RateCard[Rate],"")</f>
        <v>100.74</v>
      </c>
      <c r="C17" t="s">
        <v>45</v>
      </c>
      <c r="D17" t="s">
        <v>46</v>
      </c>
      <c r="E17" t="s">
        <v>47</v>
      </c>
      <c r="F17" t="s">
        <v>15</v>
      </c>
      <c r="G17" t="s">
        <v>16</v>
      </c>
      <c r="H17" t="s">
        <v>17</v>
      </c>
      <c r="I17" t="s">
        <v>18</v>
      </c>
      <c r="J17" t="s">
        <v>19</v>
      </c>
      <c r="K17" t="s">
        <v>58</v>
      </c>
      <c r="L17" s="131" t="s">
        <v>106</v>
      </c>
      <c r="M17" t="s">
        <v>20</v>
      </c>
      <c r="Z17" t="str">
        <v>Rm3d Mining and Logistics Private Limited</v>
      </c>
    </row>
    <row r="18" spans="1:26" x14ac:dyDescent="0.25">
      <c r="A18" t="s">
        <v>33</v>
      </c>
      <c r="B18" s="3">
        <f>_xlfn.XLOOKUP(Customers[[#This Row],[Price Tier]],RateCard[Price Tier],RateCard[Rate],"")</f>
        <v>99.5</v>
      </c>
      <c r="C18" t="s">
        <v>21</v>
      </c>
      <c r="D18" t="s">
        <v>22</v>
      </c>
      <c r="E18" t="s">
        <v>106</v>
      </c>
      <c r="F18" s="130" t="s">
        <v>15</v>
      </c>
      <c r="G18" s="130" t="s">
        <v>16</v>
      </c>
      <c r="H18" s="130" t="s">
        <v>17</v>
      </c>
      <c r="I18" s="130" t="s">
        <v>18</v>
      </c>
      <c r="J18" s="130" t="s">
        <v>19</v>
      </c>
      <c r="K18" t="s">
        <v>106</v>
      </c>
      <c r="L18" s="131" t="s">
        <v>106</v>
      </c>
      <c r="M18" t="s">
        <v>12</v>
      </c>
      <c r="Z18" t="str">
        <v>S K Trading</v>
      </c>
    </row>
    <row r="19" spans="1:26" x14ac:dyDescent="0.25">
      <c r="A19" t="s">
        <v>91</v>
      </c>
      <c r="B19" s="3">
        <f>_xlfn.XLOOKUP(Customers[[#This Row],[Price Tier]],RateCard[Price Tier],RateCard[Rate],"")</f>
        <v>99.5</v>
      </c>
      <c r="C19" t="s">
        <v>24</v>
      </c>
      <c r="D19" t="s">
        <v>25</v>
      </c>
      <c r="E19" t="s">
        <v>84</v>
      </c>
      <c r="F19" s="72" t="s">
        <v>213</v>
      </c>
      <c r="G19" s="72" t="s">
        <v>217</v>
      </c>
      <c r="H19" s="72" t="s">
        <v>209</v>
      </c>
      <c r="I19" s="72" t="s">
        <v>210</v>
      </c>
      <c r="J19" s="72" t="s">
        <v>211</v>
      </c>
      <c r="K19" t="s">
        <v>106</v>
      </c>
      <c r="L19" s="131" t="s">
        <v>106</v>
      </c>
      <c r="M19" t="s">
        <v>12</v>
      </c>
      <c r="Z19" t="str">
        <v>Samarpan Logistics PVT LTD</v>
      </c>
    </row>
    <row r="20" spans="1:26" x14ac:dyDescent="0.25">
      <c r="A20" t="s">
        <v>97</v>
      </c>
      <c r="B20" s="3">
        <f>_xlfn.XLOOKUP(Customers[[#This Row],[Price Tier]],RateCard[Price Tier],RateCard[Rate],"")</f>
        <v>99.5</v>
      </c>
      <c r="C20" t="s">
        <v>28</v>
      </c>
      <c r="D20" t="s">
        <v>22</v>
      </c>
      <c r="E20" t="s">
        <v>106</v>
      </c>
      <c r="F20" s="129" t="s">
        <v>213</v>
      </c>
      <c r="G20" s="129" t="s">
        <v>218</v>
      </c>
      <c r="H20" s="129" t="s">
        <v>209</v>
      </c>
      <c r="I20" s="129" t="s">
        <v>210</v>
      </c>
      <c r="J20" s="129" t="s">
        <v>211</v>
      </c>
      <c r="K20" t="s">
        <v>106</v>
      </c>
      <c r="L20" s="131" t="s">
        <v>106</v>
      </c>
      <c r="M20" t="s">
        <v>12</v>
      </c>
      <c r="Z20" t="str">
        <v>SANIR ENTERPRISES</v>
      </c>
    </row>
    <row r="21" spans="1:26" x14ac:dyDescent="0.25">
      <c r="A21" t="s">
        <v>64</v>
      </c>
      <c r="B21" s="3">
        <f>_xlfn.XLOOKUP(Customers[[#This Row],[Price Tier]],RateCard[Price Tier],RateCard[Rate],"")</f>
        <v>99.5</v>
      </c>
      <c r="C21" t="s">
        <v>34</v>
      </c>
      <c r="D21" t="s">
        <v>35</v>
      </c>
      <c r="E21" t="s">
        <v>36</v>
      </c>
      <c r="F21" s="130" t="s">
        <v>15</v>
      </c>
      <c r="G21" s="130" t="s">
        <v>16</v>
      </c>
      <c r="H21" s="130" t="s">
        <v>17</v>
      </c>
      <c r="I21" s="130" t="s">
        <v>18</v>
      </c>
      <c r="J21" s="130" t="s">
        <v>19</v>
      </c>
      <c r="K21" t="s">
        <v>58</v>
      </c>
      <c r="L21" s="131" t="str">
        <f>[1]OMPL_Bulk!$AJ$5</f>
        <v>O326212575</v>
      </c>
      <c r="M21" t="s">
        <v>27</v>
      </c>
      <c r="Z21" t="str">
        <v>Shiva Enterprises</v>
      </c>
    </row>
    <row r="22" spans="1:26" x14ac:dyDescent="0.25">
      <c r="A22" t="s">
        <v>65</v>
      </c>
      <c r="B22" s="3">
        <f>_xlfn.XLOOKUP(Customers[[#This Row],[Price Tier]],RateCard[Price Tier],RateCard[Rate],"")</f>
        <v>99.5</v>
      </c>
      <c r="C22" t="s">
        <v>21</v>
      </c>
      <c r="D22" t="s">
        <v>22</v>
      </c>
      <c r="E22" t="s">
        <v>106</v>
      </c>
      <c r="F22" s="129" t="s">
        <v>213</v>
      </c>
      <c r="G22" s="129" t="s">
        <v>219</v>
      </c>
      <c r="H22" s="129" t="s">
        <v>209</v>
      </c>
      <c r="I22" s="129" t="s">
        <v>210</v>
      </c>
      <c r="J22" s="129" t="s">
        <v>211</v>
      </c>
      <c r="K22" t="s">
        <v>106</v>
      </c>
      <c r="L22" s="131" t="s">
        <v>106</v>
      </c>
      <c r="M22" t="s">
        <v>12</v>
      </c>
      <c r="Z22" t="str">
        <v>Virendra Logistics Private Limited</v>
      </c>
    </row>
    <row r="23" spans="1:26" x14ac:dyDescent="0.25">
      <c r="A23" t="s">
        <v>98</v>
      </c>
      <c r="B23" s="3">
        <f>_xlfn.XLOOKUP(Customers[[#This Row],[Price Tier]],RateCard[Price Tier],RateCard[Rate],"")</f>
        <v>99.5</v>
      </c>
      <c r="C23" t="s">
        <v>24</v>
      </c>
      <c r="D23" t="s">
        <v>25</v>
      </c>
      <c r="E23" t="s">
        <v>85</v>
      </c>
      <c r="F23" t="s">
        <v>213</v>
      </c>
      <c r="G23" t="s">
        <v>220</v>
      </c>
      <c r="H23" t="s">
        <v>209</v>
      </c>
      <c r="I23" t="s">
        <v>210</v>
      </c>
      <c r="J23" t="s">
        <v>211</v>
      </c>
      <c r="K23" t="s">
        <v>106</v>
      </c>
      <c r="L23" s="131" t="s">
        <v>106</v>
      </c>
      <c r="M23" t="s">
        <v>12</v>
      </c>
    </row>
    <row r="24" spans="1:26" x14ac:dyDescent="0.25">
      <c r="A24" t="s">
        <v>75</v>
      </c>
      <c r="B24" s="3">
        <f>_xlfn.XLOOKUP(Customers[[#This Row],[Price Tier]],RateCard[Price Tier],RateCard[Rate],"")</f>
        <v>99.5</v>
      </c>
      <c r="C24" t="s">
        <v>24</v>
      </c>
      <c r="D24" t="s">
        <v>25</v>
      </c>
      <c r="E24" t="s">
        <v>76</v>
      </c>
      <c r="F24" t="s">
        <v>15</v>
      </c>
      <c r="G24" t="s">
        <v>16</v>
      </c>
      <c r="H24" t="s">
        <v>17</v>
      </c>
      <c r="I24" t="s">
        <v>18</v>
      </c>
      <c r="J24" t="s">
        <v>19</v>
      </c>
      <c r="K24" t="s">
        <v>106</v>
      </c>
      <c r="L24" s="131" t="s">
        <v>106</v>
      </c>
      <c r="M24" t="s">
        <v>12</v>
      </c>
    </row>
    <row r="25" spans="1:26" x14ac:dyDescent="0.25">
      <c r="A25" t="s">
        <v>99</v>
      </c>
      <c r="B25" s="3">
        <f>_xlfn.XLOOKUP(Customers[[#This Row],[Price Tier]],RateCard[Price Tier],RateCard[Rate],"")</f>
        <v>100.74</v>
      </c>
      <c r="C25" t="s">
        <v>24</v>
      </c>
      <c r="D25" t="s">
        <v>25</v>
      </c>
      <c r="E25" t="s">
        <v>48</v>
      </c>
      <c r="F25" t="s">
        <v>15</v>
      </c>
      <c r="G25" t="s">
        <v>16</v>
      </c>
      <c r="H25" t="s">
        <v>17</v>
      </c>
      <c r="I25" t="s">
        <v>18</v>
      </c>
      <c r="J25" t="s">
        <v>19</v>
      </c>
      <c r="K25" t="s">
        <v>106</v>
      </c>
      <c r="L25" s="131" t="s">
        <v>106</v>
      </c>
      <c r="M25" t="s">
        <v>2</v>
      </c>
    </row>
    <row r="26" spans="1:26" x14ac:dyDescent="0.25">
      <c r="A26" t="s">
        <v>69</v>
      </c>
      <c r="B26" s="3">
        <f>_xlfn.XLOOKUP(Customers[[#This Row],[Price Tier]],RateCard[Price Tier],RateCard[Rate],"")</f>
        <v>99.5</v>
      </c>
      <c r="C26" t="s">
        <v>28</v>
      </c>
      <c r="D26" t="s">
        <v>22</v>
      </c>
      <c r="E26" t="s">
        <v>106</v>
      </c>
      <c r="F26" t="s">
        <v>15</v>
      </c>
      <c r="G26" t="s">
        <v>16</v>
      </c>
      <c r="H26" t="s">
        <v>17</v>
      </c>
      <c r="I26" t="s">
        <v>18</v>
      </c>
      <c r="J26" t="s">
        <v>19</v>
      </c>
      <c r="K26" t="s">
        <v>106</v>
      </c>
      <c r="L26" s="131" t="s">
        <v>106</v>
      </c>
      <c r="M26" t="s">
        <v>12</v>
      </c>
    </row>
    <row r="27" spans="1:26" x14ac:dyDescent="0.25">
      <c r="A27" t="s">
        <v>44</v>
      </c>
      <c r="B27" s="3">
        <f>_xlfn.XLOOKUP(Customers[[#This Row],[Price Tier]],RateCard[Price Tier],RateCard[Rate],"")</f>
        <v>99.5</v>
      </c>
      <c r="C27" t="s">
        <v>21</v>
      </c>
      <c r="D27" t="s">
        <v>22</v>
      </c>
      <c r="E27" t="s">
        <v>106</v>
      </c>
      <c r="F27" t="s">
        <v>15</v>
      </c>
      <c r="G27" t="s">
        <v>16</v>
      </c>
      <c r="H27" t="s">
        <v>17</v>
      </c>
      <c r="I27" t="s">
        <v>18</v>
      </c>
      <c r="J27" t="s">
        <v>19</v>
      </c>
      <c r="K27" t="s">
        <v>106</v>
      </c>
      <c r="L27" s="131" t="s">
        <v>106</v>
      </c>
      <c r="M27" t="s">
        <v>12</v>
      </c>
    </row>
    <row r="28" spans="1:26" x14ac:dyDescent="0.25">
      <c r="A28" t="s">
        <v>67</v>
      </c>
      <c r="B28" s="3">
        <f>_xlfn.XLOOKUP(Customers[[#This Row],[Price Tier]],RateCard[Price Tier],RateCard[Rate],"")</f>
        <v>99.5</v>
      </c>
      <c r="C28" t="s">
        <v>28</v>
      </c>
      <c r="D28" t="s">
        <v>22</v>
      </c>
      <c r="E28" t="s">
        <v>106</v>
      </c>
      <c r="F28" t="s">
        <v>15</v>
      </c>
      <c r="G28" t="s">
        <v>16</v>
      </c>
      <c r="H28" t="s">
        <v>17</v>
      </c>
      <c r="I28" t="s">
        <v>18</v>
      </c>
      <c r="J28" t="s">
        <v>19</v>
      </c>
      <c r="K28" t="s">
        <v>106</v>
      </c>
      <c r="L28" s="131" t="s">
        <v>106</v>
      </c>
      <c r="M28" t="s">
        <v>12</v>
      </c>
    </row>
    <row r="29" spans="1:26" x14ac:dyDescent="0.25">
      <c r="A29" t="s">
        <v>100</v>
      </c>
      <c r="B29" s="3">
        <f>_xlfn.XLOOKUP(Customers[[#This Row],[Price Tier]],RateCard[Price Tier],RateCard[Rate],"")</f>
        <v>99.5</v>
      </c>
      <c r="C29" t="s">
        <v>41</v>
      </c>
      <c r="D29" t="s">
        <v>77</v>
      </c>
      <c r="E29" t="s">
        <v>42</v>
      </c>
      <c r="F29" t="s">
        <v>213</v>
      </c>
      <c r="G29" t="s">
        <v>208</v>
      </c>
      <c r="H29" t="s">
        <v>209</v>
      </c>
      <c r="I29" t="s">
        <v>210</v>
      </c>
      <c r="J29" t="s">
        <v>211</v>
      </c>
      <c r="K29" t="s">
        <v>58</v>
      </c>
      <c r="L29" s="131">
        <f>'[1]Shyam Metalics_Bulk'!$AJ$5</f>
        <v>2110036253</v>
      </c>
      <c r="M29" t="s">
        <v>26</v>
      </c>
    </row>
    <row r="30" spans="1:26" x14ac:dyDescent="0.25">
      <c r="A30" t="s">
        <v>61</v>
      </c>
      <c r="B30" s="3">
        <f>_xlfn.XLOOKUP(Customers[[#This Row],[Price Tier]],RateCard[Price Tier],RateCard[Rate],"")</f>
        <v>99.5</v>
      </c>
      <c r="C30" t="s">
        <v>43</v>
      </c>
      <c r="D30" t="s">
        <v>14</v>
      </c>
      <c r="E30" t="s">
        <v>73</v>
      </c>
      <c r="F30" t="s">
        <v>15</v>
      </c>
      <c r="G30" t="s">
        <v>37</v>
      </c>
      <c r="H30" t="s">
        <v>38</v>
      </c>
      <c r="I30" t="s">
        <v>39</v>
      </c>
      <c r="J30" t="s">
        <v>40</v>
      </c>
      <c r="K30" t="s">
        <v>58</v>
      </c>
      <c r="L30" s="131" t="str">
        <f>[1]SMC_Bulk!$AM$5</f>
        <v>4500216903</v>
      </c>
      <c r="M30" t="s">
        <v>23</v>
      </c>
    </row>
    <row r="31" spans="1:26" x14ac:dyDescent="0.25">
      <c r="A31" t="s">
        <v>62</v>
      </c>
      <c r="B31" s="3">
        <f>_xlfn.XLOOKUP(Customers[[#This Row],[Price Tier]],RateCard[Price Tier],RateCard[Rate],"")</f>
        <v>99.5</v>
      </c>
      <c r="C31" t="s">
        <v>49</v>
      </c>
      <c r="D31" t="s">
        <v>14</v>
      </c>
      <c r="E31" t="s">
        <v>73</v>
      </c>
      <c r="F31" t="s">
        <v>15</v>
      </c>
      <c r="G31" t="s">
        <v>37</v>
      </c>
      <c r="H31" t="s">
        <v>38</v>
      </c>
      <c r="I31" t="s">
        <v>39</v>
      </c>
      <c r="J31" t="s">
        <v>40</v>
      </c>
      <c r="K31" t="s">
        <v>58</v>
      </c>
      <c r="L31" s="131" t="str">
        <f>[1]SMC_Bulk!$AK$5</f>
        <v/>
      </c>
      <c r="M31" t="s">
        <v>23</v>
      </c>
    </row>
    <row r="32" spans="1:26" x14ac:dyDescent="0.25">
      <c r="A32" t="s">
        <v>93</v>
      </c>
      <c r="B32" s="3">
        <f>_xlfn.XLOOKUP(Customers[[#This Row],[Price Tier]],RateCard[Price Tier],RateCard[Rate],"")</f>
        <v>99.5</v>
      </c>
      <c r="C32" t="s">
        <v>24</v>
      </c>
      <c r="D32" t="s">
        <v>25</v>
      </c>
      <c r="E32" t="s">
        <v>78</v>
      </c>
      <c r="F32" t="s">
        <v>213</v>
      </c>
      <c r="G32" t="s">
        <v>221</v>
      </c>
      <c r="H32" t="s">
        <v>209</v>
      </c>
      <c r="I32" t="s">
        <v>210</v>
      </c>
      <c r="J32" t="s">
        <v>211</v>
      </c>
      <c r="K32" t="s">
        <v>106</v>
      </c>
      <c r="L32" s="131" t="s">
        <v>106</v>
      </c>
      <c r="M32" t="s">
        <v>12</v>
      </c>
    </row>
  </sheetData>
  <dataValidations count="1">
    <dataValidation type="list" allowBlank="1" showInputMessage="1" showErrorMessage="1" sqref="M2:M32 AA1" xr:uid="{E618339F-1687-EF43-AF7E-489CB96D2365}">
      <formula1>TierList</formula1>
    </dataValidation>
  </dataValidations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3D98-5883-AB42-B249-9A5D3E282162}">
  <sheetPr codeName="Sheet6">
    <pageSetUpPr fitToPage="1"/>
  </sheetPr>
  <dimension ref="A12:H45"/>
  <sheetViews>
    <sheetView showGridLines="0" tabSelected="1" topLeftCell="B5" zoomScale="150" zoomScaleNormal="150" workbookViewId="0">
      <selection activeCell="G15" sqref="G15:H16"/>
    </sheetView>
  </sheetViews>
  <sheetFormatPr defaultColWidth="10.8515625" defaultRowHeight="16.5" x14ac:dyDescent="0.25"/>
  <cols>
    <col min="1" max="1" width="8.13671875" customWidth="1"/>
    <col min="2" max="3" width="12.20703125" customWidth="1"/>
    <col min="4" max="4" width="15.53515625" customWidth="1"/>
    <col min="5" max="5" width="13.19140625" customWidth="1"/>
    <col min="6" max="6" width="11.9609375" customWidth="1"/>
    <col min="7" max="7" width="10.8515625" customWidth="1"/>
    <col min="8" max="8" width="11.7109375" customWidth="1"/>
  </cols>
  <sheetData>
    <row r="12" spans="1:8" ht="18.75" x14ac:dyDescent="0.25">
      <c r="A12" s="296" t="s">
        <v>108</v>
      </c>
      <c r="B12" s="296"/>
      <c r="C12" s="296"/>
      <c r="D12" s="296"/>
      <c r="E12" s="296"/>
      <c r="F12" s="296"/>
      <c r="G12" s="296"/>
      <c r="H12" s="296"/>
    </row>
    <row r="14" spans="1:8" ht="21" x14ac:dyDescent="0.3">
      <c r="A14" s="5" t="s">
        <v>109</v>
      </c>
      <c r="B14" s="6"/>
      <c r="C14" s="6"/>
      <c r="D14" s="7"/>
      <c r="E14" s="297" t="s">
        <v>110</v>
      </c>
      <c r="F14" s="298"/>
      <c r="G14" s="299" t="s">
        <v>53</v>
      </c>
      <c r="H14" s="298"/>
    </row>
    <row r="15" spans="1:8" ht="21" x14ac:dyDescent="0.3">
      <c r="A15" s="8" t="s">
        <v>111</v>
      </c>
      <c r="B15" s="9"/>
      <c r="C15" s="9"/>
      <c r="D15" s="10"/>
      <c r="E15" s="300" t="s">
        <v>269</v>
      </c>
      <c r="F15" s="276"/>
      <c r="G15" s="303">
        <v>46265</v>
      </c>
      <c r="H15" s="304"/>
    </row>
    <row r="16" spans="1:8" ht="21" x14ac:dyDescent="0.3">
      <c r="A16" s="8" t="s">
        <v>112</v>
      </c>
      <c r="B16" s="9"/>
      <c r="C16" s="9"/>
      <c r="D16" s="10"/>
      <c r="E16" s="301"/>
      <c r="F16" s="302"/>
      <c r="G16" s="305"/>
      <c r="H16" s="306"/>
    </row>
    <row r="17" spans="1:8" ht="21" x14ac:dyDescent="0.3">
      <c r="A17" s="8" t="s">
        <v>113</v>
      </c>
      <c r="B17" s="9"/>
      <c r="C17" s="9"/>
      <c r="D17" s="10"/>
      <c r="E17" s="292" t="s">
        <v>114</v>
      </c>
      <c r="F17" s="293"/>
      <c r="G17" s="294">
        <v>2588</v>
      </c>
      <c r="H17" s="295"/>
    </row>
    <row r="18" spans="1:8" ht="21" x14ac:dyDescent="0.3">
      <c r="A18" s="11" t="s">
        <v>115</v>
      </c>
      <c r="B18" s="12"/>
      <c r="C18" s="12"/>
      <c r="D18" s="13"/>
      <c r="E18" s="273" t="s">
        <v>116</v>
      </c>
      <c r="F18" s="274"/>
      <c r="G18" s="275" t="s">
        <v>270</v>
      </c>
      <c r="H18" s="276"/>
    </row>
    <row r="19" spans="1:8" ht="20.100000000000001" customHeight="1" x14ac:dyDescent="0.25">
      <c r="A19" s="277" t="s">
        <v>117</v>
      </c>
      <c r="B19" s="278"/>
      <c r="C19" s="278"/>
      <c r="D19" s="278"/>
      <c r="E19" s="281" t="s">
        <v>118</v>
      </c>
      <c r="F19" s="282"/>
      <c r="G19" s="282"/>
      <c r="H19" s="283"/>
    </row>
    <row r="20" spans="1:8" x14ac:dyDescent="0.25">
      <c r="A20" s="279"/>
      <c r="B20" s="280"/>
      <c r="C20" s="280"/>
      <c r="D20" s="280"/>
      <c r="E20" s="284"/>
      <c r="F20" s="285"/>
      <c r="G20" s="285"/>
      <c r="H20" s="286"/>
    </row>
    <row r="21" spans="1:8" ht="24.75" x14ac:dyDescent="0.35">
      <c r="A21" s="14" t="s">
        <v>64</v>
      </c>
      <c r="B21" s="15"/>
      <c r="E21" s="16" t="s">
        <v>119</v>
      </c>
      <c r="F21" s="17"/>
      <c r="G21" s="17"/>
      <c r="H21" s="18"/>
    </row>
    <row r="22" spans="1:8" ht="21" x14ac:dyDescent="0.3">
      <c r="A22" s="8" t="str">
        <f>_xlfn.XLOOKUP(A21,Customers[Company],Customers[Address 1])</f>
        <v>J.L.No. 184, Marakuta,</v>
      </c>
      <c r="B22" s="9"/>
      <c r="C22" s="9"/>
      <c r="E22" s="16" t="s">
        <v>120</v>
      </c>
      <c r="F22" s="17"/>
      <c r="G22" s="17"/>
      <c r="H22" s="18"/>
    </row>
    <row r="23" spans="1:8" ht="21" x14ac:dyDescent="0.3">
      <c r="A23" s="8" t="str">
        <f>_xlfn.XLOOKUP(A21,Customers[Company],Customers[Address 2])</f>
        <v>Industrial Estate Jharsuguda.</v>
      </c>
      <c r="B23" s="9"/>
      <c r="C23" s="9"/>
      <c r="E23" s="19"/>
      <c r="H23" s="20"/>
    </row>
    <row r="24" spans="1:8" ht="18.75" x14ac:dyDescent="0.25">
      <c r="A24" s="21" t="str">
        <f>_xlfn.XLOOKUP(A21,Customers[Company],Customers[Address 3])</f>
        <v>GSTIN : 21AAACO8663L1Z8</v>
      </c>
      <c r="E24" s="22"/>
      <c r="H24" s="20"/>
    </row>
    <row r="25" spans="1:8" x14ac:dyDescent="0.25">
      <c r="A25" s="22"/>
      <c r="E25" s="22"/>
      <c r="H25" s="20"/>
    </row>
    <row r="26" spans="1:8" x14ac:dyDescent="0.25">
      <c r="A26" s="23"/>
      <c r="B26" s="24"/>
      <c r="C26" s="24"/>
      <c r="D26" s="24"/>
      <c r="E26" s="23"/>
      <c r="F26" s="24"/>
      <c r="G26" s="24"/>
      <c r="H26" s="25"/>
    </row>
    <row r="27" spans="1:8" ht="18" x14ac:dyDescent="0.25">
      <c r="A27" s="26" t="s">
        <v>121</v>
      </c>
      <c r="B27" s="287" t="s">
        <v>122</v>
      </c>
      <c r="C27" s="288"/>
      <c r="D27" s="289"/>
      <c r="E27" s="27" t="s">
        <v>55</v>
      </c>
      <c r="F27" s="28" t="s">
        <v>123</v>
      </c>
      <c r="G27" s="290" t="s">
        <v>57</v>
      </c>
      <c r="H27" s="291"/>
    </row>
    <row r="28" spans="1:8" ht="15.95" customHeight="1" x14ac:dyDescent="0.25">
      <c r="A28" s="240">
        <v>1</v>
      </c>
      <c r="B28" s="243" t="s">
        <v>124</v>
      </c>
      <c r="C28" s="244"/>
      <c r="D28" s="245"/>
      <c r="E28" s="252">
        <v>15</v>
      </c>
      <c r="F28" s="255">
        <v>99.5</v>
      </c>
      <c r="G28" s="258">
        <f>E28*F28</f>
        <v>1492.5</v>
      </c>
      <c r="H28" s="259"/>
    </row>
    <row r="29" spans="1:8" ht="15.95" customHeight="1" x14ac:dyDescent="0.25">
      <c r="A29" s="241"/>
      <c r="B29" s="246"/>
      <c r="C29" s="247"/>
      <c r="D29" s="248"/>
      <c r="E29" s="253"/>
      <c r="F29" s="256"/>
      <c r="G29" s="260"/>
      <c r="H29" s="261"/>
    </row>
    <row r="30" spans="1:8" ht="15.95" customHeight="1" x14ac:dyDescent="0.25">
      <c r="A30" s="241"/>
      <c r="B30" s="246"/>
      <c r="C30" s="247"/>
      <c r="D30" s="248"/>
      <c r="E30" s="253"/>
      <c r="F30" s="256"/>
      <c r="G30" s="260"/>
      <c r="H30" s="261"/>
    </row>
    <row r="31" spans="1:8" ht="15.95" customHeight="1" x14ac:dyDescent="0.25">
      <c r="A31" s="241"/>
      <c r="B31" s="246"/>
      <c r="C31" s="247"/>
      <c r="D31" s="248"/>
      <c r="E31" s="253"/>
      <c r="F31" s="256"/>
      <c r="G31" s="260"/>
      <c r="H31" s="261"/>
    </row>
    <row r="32" spans="1:8" ht="15.95" customHeight="1" x14ac:dyDescent="0.25">
      <c r="A32" s="241"/>
      <c r="B32" s="246"/>
      <c r="C32" s="247"/>
      <c r="D32" s="248"/>
      <c r="E32" s="253"/>
      <c r="F32" s="256"/>
      <c r="G32" s="260"/>
      <c r="H32" s="261"/>
    </row>
    <row r="33" spans="1:8" ht="15.95" customHeight="1" x14ac:dyDescent="0.25">
      <c r="A33" s="241"/>
      <c r="B33" s="249"/>
      <c r="C33" s="250"/>
      <c r="D33" s="251"/>
      <c r="E33" s="254"/>
      <c r="F33" s="257"/>
      <c r="G33" s="262"/>
      <c r="H33" s="263"/>
    </row>
    <row r="34" spans="1:8" ht="15.95" customHeight="1" x14ac:dyDescent="0.25">
      <c r="A34" s="241"/>
      <c r="B34" s="264" t="s">
        <v>125</v>
      </c>
      <c r="C34" s="265"/>
      <c r="D34" s="266"/>
      <c r="E34" s="270"/>
      <c r="F34" s="270"/>
      <c r="G34" s="272">
        <f>G28</f>
        <v>1492.5</v>
      </c>
      <c r="H34" s="266"/>
    </row>
    <row r="35" spans="1:8" ht="15.95" customHeight="1" x14ac:dyDescent="0.25">
      <c r="A35" s="242"/>
      <c r="B35" s="267"/>
      <c r="C35" s="268"/>
      <c r="D35" s="269"/>
      <c r="E35" s="271"/>
      <c r="F35" s="271"/>
      <c r="G35" s="267"/>
      <c r="H35" s="269"/>
    </row>
    <row r="36" spans="1:8" ht="21" x14ac:dyDescent="0.3">
      <c r="A36" s="29" t="s">
        <v>126</v>
      </c>
      <c r="B36" s="30"/>
      <c r="C36" s="30"/>
      <c r="D36" s="30"/>
      <c r="E36" s="30"/>
      <c r="F36" s="30"/>
      <c r="G36" s="30"/>
      <c r="H36" s="31"/>
    </row>
    <row r="37" spans="1:8" ht="18.75" x14ac:dyDescent="0.25">
      <c r="A37" s="8" t="str">
        <f>_xlfn.TEXTJOIN("", TRUE, "Material found short in Quanitity of ", E28, " Ltr"," for Invoice No: ",G17," &amp; PO: ",G18)</f>
        <v>Material found short in Quanitity of 15 Ltr for Invoice No: 2588 &amp; PO: O326212575</v>
      </c>
      <c r="H37" s="20"/>
    </row>
    <row r="38" spans="1:8" ht="18.75" x14ac:dyDescent="0.25">
      <c r="A38" s="8" t="str">
        <f>_xlfn.TEXTJOIN("", TRUE,"Kindly Debit Amount of ",G34,"/- in our account")</f>
        <v>Kindly Debit Amount of 1492.5/- in our account</v>
      </c>
      <c r="H38" s="20"/>
    </row>
    <row r="39" spans="1:8" ht="20.25" x14ac:dyDescent="0.25">
      <c r="A39" s="22"/>
      <c r="F39" s="234" t="s">
        <v>59</v>
      </c>
      <c r="G39" s="235"/>
      <c r="H39" s="236"/>
    </row>
    <row r="40" spans="1:8" x14ac:dyDescent="0.25">
      <c r="A40" s="22"/>
      <c r="F40" s="22"/>
      <c r="H40" s="20"/>
    </row>
    <row r="41" spans="1:8" x14ac:dyDescent="0.25">
      <c r="A41" s="22"/>
      <c r="F41" s="22"/>
      <c r="H41" s="20"/>
    </row>
    <row r="42" spans="1:8" x14ac:dyDescent="0.25">
      <c r="A42" s="22"/>
      <c r="F42" s="22"/>
      <c r="H42" s="20"/>
    </row>
    <row r="43" spans="1:8" x14ac:dyDescent="0.25">
      <c r="A43" s="22"/>
      <c r="F43" s="22"/>
      <c r="H43" s="20"/>
    </row>
    <row r="44" spans="1:8" x14ac:dyDescent="0.25">
      <c r="A44" s="22"/>
      <c r="F44" s="22"/>
      <c r="H44" s="20"/>
    </row>
    <row r="45" spans="1:8" ht="20.25" x14ac:dyDescent="0.25">
      <c r="A45" s="23"/>
      <c r="B45" s="24"/>
      <c r="C45" s="24"/>
      <c r="D45" s="24"/>
      <c r="E45" s="24"/>
      <c r="F45" s="237" t="s">
        <v>127</v>
      </c>
      <c r="G45" s="238"/>
      <c r="H45" s="239"/>
    </row>
  </sheetData>
  <sheetProtection sheet="1" selectLockedCells="1"/>
  <mergeCells count="24">
    <mergeCell ref="E17:F17"/>
    <mergeCell ref="G17:H17"/>
    <mergeCell ref="A12:H12"/>
    <mergeCell ref="E14:F14"/>
    <mergeCell ref="G14:H14"/>
    <mergeCell ref="E15:F16"/>
    <mergeCell ref="G15:H16"/>
    <mergeCell ref="E18:F18"/>
    <mergeCell ref="G18:H18"/>
    <mergeCell ref="A19:D20"/>
    <mergeCell ref="E19:H20"/>
    <mergeCell ref="B27:D27"/>
    <mergeCell ref="G27:H27"/>
    <mergeCell ref="F39:H39"/>
    <mergeCell ref="F45:H45"/>
    <mergeCell ref="A28:A35"/>
    <mergeCell ref="B28:D33"/>
    <mergeCell ref="E28:E33"/>
    <mergeCell ref="F28:F33"/>
    <mergeCell ref="G28:H33"/>
    <mergeCell ref="B34:D35"/>
    <mergeCell ref="E34:E35"/>
    <mergeCell ref="F34:F35"/>
    <mergeCell ref="G34:H35"/>
  </mergeCells>
  <printOptions horizontalCentered="1" verticalCentered="1"/>
  <pageMargins left="0" right="0" top="0.25" bottom="0.25" header="0" footer="0"/>
  <pageSetup paperSize="9" scale="8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114F6-CD89-8345-BE49-B7E183E07223}">
  <sheetPr codeName="Sheet4">
    <pageSetUpPr fitToPage="1"/>
  </sheetPr>
  <dimension ref="A12:H45"/>
  <sheetViews>
    <sheetView showGridLines="0" workbookViewId="0">
      <selection activeCell="A21" sqref="A21"/>
    </sheetView>
  </sheetViews>
  <sheetFormatPr defaultColWidth="10.8515625" defaultRowHeight="16.5" x14ac:dyDescent="0.25"/>
  <cols>
    <col min="1" max="1" width="8.13671875" customWidth="1"/>
    <col min="2" max="3" width="12.20703125" customWidth="1"/>
    <col min="4" max="4" width="17.6328125" customWidth="1"/>
    <col min="5" max="5" width="11.46484375" customWidth="1"/>
    <col min="6" max="8" width="10.8515625" customWidth="1"/>
  </cols>
  <sheetData>
    <row r="12" spans="1:8" ht="18.75" x14ac:dyDescent="0.25">
      <c r="A12" s="296" t="s">
        <v>139</v>
      </c>
      <c r="B12" s="296"/>
      <c r="C12" s="296"/>
      <c r="D12" s="296"/>
      <c r="E12" s="296"/>
      <c r="F12" s="296"/>
      <c r="G12" s="296"/>
      <c r="H12" s="296"/>
    </row>
    <row r="14" spans="1:8" ht="21" x14ac:dyDescent="0.3">
      <c r="A14" s="5" t="s">
        <v>129</v>
      </c>
      <c r="B14" s="6"/>
      <c r="C14" s="6"/>
      <c r="D14" s="7"/>
      <c r="E14" s="297" t="s">
        <v>110</v>
      </c>
      <c r="F14" s="298"/>
      <c r="G14" s="299" t="s">
        <v>53</v>
      </c>
      <c r="H14" s="298"/>
    </row>
    <row r="15" spans="1:8" ht="21" x14ac:dyDescent="0.3">
      <c r="A15" s="8" t="s">
        <v>111</v>
      </c>
      <c r="B15" s="9"/>
      <c r="C15" s="9"/>
      <c r="D15" s="10"/>
      <c r="E15" s="300">
        <v>15</v>
      </c>
      <c r="F15" s="276"/>
      <c r="G15" s="303">
        <v>46111</v>
      </c>
      <c r="H15" s="304"/>
    </row>
    <row r="16" spans="1:8" ht="21" x14ac:dyDescent="0.3">
      <c r="A16" s="8" t="s">
        <v>112</v>
      </c>
      <c r="B16" s="9"/>
      <c r="C16" s="9"/>
      <c r="D16" s="10"/>
      <c r="E16" s="301"/>
      <c r="F16" s="302"/>
      <c r="G16" s="305"/>
      <c r="H16" s="306"/>
    </row>
    <row r="17" spans="1:8" ht="21" x14ac:dyDescent="0.3">
      <c r="A17" s="8" t="s">
        <v>113</v>
      </c>
      <c r="B17" s="9"/>
      <c r="C17" s="9"/>
      <c r="D17" s="10"/>
      <c r="E17" s="273" t="s">
        <v>140</v>
      </c>
      <c r="F17" s="274"/>
      <c r="G17" s="275"/>
      <c r="H17" s="276"/>
    </row>
    <row r="18" spans="1:8" ht="21" x14ac:dyDescent="0.3">
      <c r="A18" s="11" t="s">
        <v>115</v>
      </c>
      <c r="B18" s="12"/>
      <c r="C18" s="12"/>
      <c r="D18" s="13"/>
      <c r="E18" s="320"/>
      <c r="F18" s="321"/>
      <c r="G18" s="322"/>
      <c r="H18" s="302"/>
    </row>
    <row r="19" spans="1:8" ht="20.25" x14ac:dyDescent="0.25">
      <c r="A19" s="307" t="s">
        <v>117</v>
      </c>
      <c r="B19" s="308"/>
      <c r="C19" s="308"/>
      <c r="D19" s="309"/>
      <c r="E19" s="39" t="s">
        <v>118</v>
      </c>
      <c r="F19" s="30"/>
      <c r="G19" s="30"/>
      <c r="H19" s="31"/>
    </row>
    <row r="20" spans="1:8" x14ac:dyDescent="0.25">
      <c r="A20" s="310"/>
      <c r="B20" s="311"/>
      <c r="C20" s="311"/>
      <c r="D20" s="312"/>
      <c r="E20" s="32"/>
      <c r="H20" s="20"/>
    </row>
    <row r="21" spans="1:8" ht="24.75" x14ac:dyDescent="0.35">
      <c r="A21" s="40" t="s">
        <v>98</v>
      </c>
      <c r="B21" s="15"/>
      <c r="D21" s="20"/>
      <c r="E21" s="32" t="s">
        <v>141</v>
      </c>
      <c r="H21" s="20"/>
    </row>
    <row r="22" spans="1:8" ht="21" x14ac:dyDescent="0.3">
      <c r="A22" s="8" t="str">
        <f>_xlfn.XLOOKUP(A21,Customers[Company],Customers[Address 1])</f>
        <v>Kulda OCP, Garjanbahal</v>
      </c>
      <c r="B22" s="9"/>
      <c r="C22" s="9"/>
      <c r="D22" s="20"/>
      <c r="E22" s="32" t="s">
        <v>132</v>
      </c>
      <c r="H22" s="20"/>
    </row>
    <row r="23" spans="1:8" ht="21" x14ac:dyDescent="0.3">
      <c r="A23" s="8" t="str">
        <f>_xlfn.XLOOKUP(A21,Customers[Company],Customers[Address 2])</f>
        <v>Basundhara, Sundargarh.</v>
      </c>
      <c r="B23" s="9"/>
      <c r="C23" s="9"/>
      <c r="D23" s="20"/>
      <c r="E23" s="32" t="s">
        <v>142</v>
      </c>
      <c r="H23" s="20"/>
    </row>
    <row r="24" spans="1:8" x14ac:dyDescent="0.25">
      <c r="A24" s="22" t="str">
        <f>_xlfn.XLOOKUP(A21,Customers[Company],Customers[Address 3])</f>
        <v>GSTIN: 21AAHCR6100J1ZQ</v>
      </c>
      <c r="D24" s="20"/>
      <c r="E24" s="22"/>
      <c r="H24" s="20"/>
    </row>
    <row r="25" spans="1:8" x14ac:dyDescent="0.25">
      <c r="A25" s="22"/>
      <c r="D25" s="20"/>
      <c r="E25" s="22"/>
      <c r="H25" s="20"/>
    </row>
    <row r="26" spans="1:8" x14ac:dyDescent="0.25">
      <c r="A26" s="23"/>
      <c r="B26" s="24"/>
      <c r="C26" s="24"/>
      <c r="D26" s="25"/>
      <c r="E26" s="23"/>
      <c r="F26" s="24"/>
      <c r="G26" s="24"/>
      <c r="H26" s="25"/>
    </row>
    <row r="27" spans="1:8" ht="33.75" x14ac:dyDescent="0.25">
      <c r="A27" s="41" t="s">
        <v>121</v>
      </c>
      <c r="B27" s="292" t="s">
        <v>135</v>
      </c>
      <c r="C27" s="313"/>
      <c r="D27" s="293"/>
      <c r="E27" s="42" t="s">
        <v>143</v>
      </c>
      <c r="F27" s="43" t="s">
        <v>144</v>
      </c>
      <c r="G27" s="292" t="s">
        <v>57</v>
      </c>
      <c r="H27" s="293"/>
    </row>
    <row r="28" spans="1:8" ht="15.95" customHeight="1" x14ac:dyDescent="0.25">
      <c r="A28" s="314">
        <v>1</v>
      </c>
      <c r="B28" s="243" t="s">
        <v>124</v>
      </c>
      <c r="C28" s="244"/>
      <c r="D28" s="245"/>
      <c r="E28" s="317">
        <v>12000</v>
      </c>
      <c r="F28" s="314">
        <v>0.32</v>
      </c>
      <c r="G28" s="258" t="str">
        <f>_xlfn.TEXTJOIN("", TRUE, E28*F28, " ","/-")</f>
        <v>3840 /-</v>
      </c>
      <c r="H28" s="259"/>
    </row>
    <row r="29" spans="1:8" ht="15.95" customHeight="1" x14ac:dyDescent="0.25">
      <c r="A29" s="315"/>
      <c r="B29" s="246"/>
      <c r="C29" s="247"/>
      <c r="D29" s="248"/>
      <c r="E29" s="318"/>
      <c r="F29" s="315"/>
      <c r="G29" s="260"/>
      <c r="H29" s="261"/>
    </row>
    <row r="30" spans="1:8" ht="15.95" customHeight="1" x14ac:dyDescent="0.25">
      <c r="A30" s="315"/>
      <c r="B30" s="246"/>
      <c r="C30" s="247"/>
      <c r="D30" s="248"/>
      <c r="E30" s="318"/>
      <c r="F30" s="315"/>
      <c r="G30" s="260"/>
      <c r="H30" s="261"/>
    </row>
    <row r="31" spans="1:8" ht="15.95" customHeight="1" x14ac:dyDescent="0.25">
      <c r="A31" s="315"/>
      <c r="B31" s="246"/>
      <c r="C31" s="247"/>
      <c r="D31" s="248"/>
      <c r="E31" s="318"/>
      <c r="F31" s="315"/>
      <c r="G31" s="260"/>
      <c r="H31" s="261"/>
    </row>
    <row r="32" spans="1:8" ht="15.95" customHeight="1" x14ac:dyDescent="0.25">
      <c r="A32" s="315"/>
      <c r="B32" s="246"/>
      <c r="C32" s="247"/>
      <c r="D32" s="248"/>
      <c r="E32" s="318"/>
      <c r="F32" s="315"/>
      <c r="G32" s="260"/>
      <c r="H32" s="261"/>
    </row>
    <row r="33" spans="1:8" ht="15.95" customHeight="1" x14ac:dyDescent="0.25">
      <c r="A33" s="315"/>
      <c r="B33" s="249"/>
      <c r="C33" s="250"/>
      <c r="D33" s="251"/>
      <c r="E33" s="319"/>
      <c r="F33" s="316"/>
      <c r="G33" s="262"/>
      <c r="H33" s="263"/>
    </row>
    <row r="34" spans="1:8" ht="15.95" customHeight="1" x14ac:dyDescent="0.25">
      <c r="A34" s="315"/>
      <c r="B34" s="264" t="s">
        <v>125</v>
      </c>
      <c r="C34" s="265"/>
      <c r="D34" s="266"/>
      <c r="E34" s="270"/>
      <c r="F34" s="270"/>
      <c r="G34" s="272" t="str">
        <f>G28</f>
        <v>3840 /-</v>
      </c>
      <c r="H34" s="266"/>
    </row>
    <row r="35" spans="1:8" ht="15.95" customHeight="1" x14ac:dyDescent="0.25">
      <c r="A35" s="316"/>
      <c r="B35" s="267"/>
      <c r="C35" s="268"/>
      <c r="D35" s="269"/>
      <c r="E35" s="271"/>
      <c r="F35" s="271"/>
      <c r="G35" s="267"/>
      <c r="H35" s="269"/>
    </row>
    <row r="36" spans="1:8" ht="21" x14ac:dyDescent="0.3">
      <c r="A36" s="29" t="s">
        <v>126</v>
      </c>
      <c r="B36" s="30"/>
      <c r="C36" s="30"/>
      <c r="D36" s="30"/>
      <c r="E36" s="30"/>
      <c r="F36" s="30"/>
      <c r="G36" s="30"/>
      <c r="H36" s="31"/>
    </row>
    <row r="37" spans="1:8" ht="18.75" x14ac:dyDescent="0.25">
      <c r="A37" s="8" t="str">
        <f>_xlfn.TEXTJOIN("", TRUE, "Discount being Given to Party for purchasing ", E28, " Ltr High Speed Diesel")</f>
        <v>Discount being Given to Party for purchasing 12000 Ltr High Speed Diesel</v>
      </c>
      <c r="H37" s="20"/>
    </row>
    <row r="38" spans="1:8" ht="18.75" x14ac:dyDescent="0.25">
      <c r="A38" s="8" t="str">
        <f>_xlfn.TEXTJOIN("", TRUE, "@ ", F28, "/Ltr on billing quantity.")</f>
        <v>@ 0.32/Ltr on billing quantity.</v>
      </c>
      <c r="H38" s="20"/>
    </row>
    <row r="39" spans="1:8" ht="20.25" x14ac:dyDescent="0.25">
      <c r="A39" s="22"/>
      <c r="F39" s="234" t="s">
        <v>59</v>
      </c>
      <c r="G39" s="235"/>
      <c r="H39" s="236"/>
    </row>
    <row r="40" spans="1:8" x14ac:dyDescent="0.25">
      <c r="A40" s="22"/>
      <c r="F40" s="22"/>
      <c r="H40" s="20"/>
    </row>
    <row r="41" spans="1:8" x14ac:dyDescent="0.25">
      <c r="A41" s="22"/>
      <c r="F41" s="22"/>
      <c r="H41" s="20"/>
    </row>
    <row r="42" spans="1:8" x14ac:dyDescent="0.25">
      <c r="A42" s="22"/>
      <c r="F42" s="22"/>
      <c r="H42" s="20"/>
    </row>
    <row r="43" spans="1:8" x14ac:dyDescent="0.25">
      <c r="A43" s="22"/>
      <c r="F43" s="22"/>
      <c r="H43" s="20"/>
    </row>
    <row r="44" spans="1:8" x14ac:dyDescent="0.25">
      <c r="A44" s="22"/>
      <c r="F44" s="22"/>
      <c r="H44" s="20"/>
    </row>
    <row r="45" spans="1:8" ht="20.25" x14ac:dyDescent="0.25">
      <c r="A45" s="23"/>
      <c r="B45" s="24"/>
      <c r="C45" s="24"/>
      <c r="D45" s="24"/>
      <c r="E45" s="24"/>
      <c r="F45" s="237" t="s">
        <v>127</v>
      </c>
      <c r="G45" s="238"/>
      <c r="H45" s="239"/>
    </row>
  </sheetData>
  <sheetProtection sheet="1" selectLockedCells="1"/>
  <mergeCells count="21">
    <mergeCell ref="E17:F18"/>
    <mergeCell ref="G17:H18"/>
    <mergeCell ref="A12:H12"/>
    <mergeCell ref="E14:F14"/>
    <mergeCell ref="G14:H14"/>
    <mergeCell ref="E15:F16"/>
    <mergeCell ref="G15:H16"/>
    <mergeCell ref="F34:F35"/>
    <mergeCell ref="G34:H35"/>
    <mergeCell ref="F39:H39"/>
    <mergeCell ref="F45:H45"/>
    <mergeCell ref="A19:D20"/>
    <mergeCell ref="B27:D27"/>
    <mergeCell ref="G27:H27"/>
    <mergeCell ref="A28:A35"/>
    <mergeCell ref="B28:D33"/>
    <mergeCell ref="E28:E33"/>
    <mergeCell ref="F28:F33"/>
    <mergeCell ref="G28:H33"/>
    <mergeCell ref="B34:D35"/>
    <mergeCell ref="E34:E35"/>
  </mergeCells>
  <dataValidations count="1">
    <dataValidation type="list" allowBlank="1" showInputMessage="1" showErrorMessage="1" sqref="A21" xr:uid="{BB52FD3D-1E18-D446-8AE7-A6C692288C8C}">
      <formula1>TierCustomers</formula1>
    </dataValidation>
  </dataValidations>
  <printOptions horizontalCentered="1" verticalCentered="1"/>
  <pageMargins left="0" right="0" top="0.25" bottom="0.25" header="0" footer="0"/>
  <pageSetup paperSize="9" scale="9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6D59E-182D-7043-BE46-EE759510698F}">
  <sheetPr codeName="Sheet3">
    <pageSetUpPr fitToPage="1"/>
  </sheetPr>
  <dimension ref="A12:H45"/>
  <sheetViews>
    <sheetView showGridLines="0" topLeftCell="A5" zoomScale="150" zoomScaleNormal="150" workbookViewId="0">
      <selection activeCell="G17" sqref="G17:H18"/>
    </sheetView>
  </sheetViews>
  <sheetFormatPr defaultColWidth="10.8515625" defaultRowHeight="16.5" x14ac:dyDescent="0.25"/>
  <cols>
    <col min="1" max="1" width="8.13671875" customWidth="1"/>
    <col min="2" max="3" width="12.20703125" customWidth="1"/>
    <col min="4" max="4" width="15.53515625" customWidth="1"/>
    <col min="5" max="5" width="13.19140625" customWidth="1"/>
    <col min="6" max="6" width="11.9609375" customWidth="1"/>
    <col min="7" max="8" width="10.8515625" customWidth="1"/>
  </cols>
  <sheetData>
    <row r="12" spans="1:8" ht="18.75" x14ac:dyDescent="0.25">
      <c r="A12" s="296" t="s">
        <v>128</v>
      </c>
      <c r="B12" s="296"/>
      <c r="C12" s="296"/>
      <c r="D12" s="296"/>
      <c r="E12" s="296"/>
      <c r="F12" s="296"/>
      <c r="G12" s="296"/>
      <c r="H12" s="296"/>
    </row>
    <row r="14" spans="1:8" ht="21" x14ac:dyDescent="0.3">
      <c r="A14" s="5" t="s">
        <v>129</v>
      </c>
      <c r="B14" s="6"/>
      <c r="C14" s="6"/>
      <c r="D14" s="7"/>
      <c r="E14" s="297" t="s">
        <v>110</v>
      </c>
      <c r="F14" s="298"/>
      <c r="G14" s="299" t="s">
        <v>53</v>
      </c>
      <c r="H14" s="298"/>
    </row>
    <row r="15" spans="1:8" ht="21" x14ac:dyDescent="0.3">
      <c r="A15" s="8" t="s">
        <v>111</v>
      </c>
      <c r="B15" s="9"/>
      <c r="C15" s="9"/>
      <c r="D15" s="10"/>
      <c r="E15" s="300" t="s">
        <v>130</v>
      </c>
      <c r="F15" s="276"/>
      <c r="G15" s="303">
        <v>46104</v>
      </c>
      <c r="H15" s="304"/>
    </row>
    <row r="16" spans="1:8" ht="21" x14ac:dyDescent="0.3">
      <c r="A16" s="8" t="s">
        <v>112</v>
      </c>
      <c r="B16" s="9"/>
      <c r="C16" s="9"/>
      <c r="D16" s="10"/>
      <c r="E16" s="301"/>
      <c r="F16" s="302"/>
      <c r="G16" s="305"/>
      <c r="H16" s="306"/>
    </row>
    <row r="17" spans="1:8" ht="21" x14ac:dyDescent="0.3">
      <c r="A17" s="8" t="s">
        <v>113</v>
      </c>
      <c r="B17" s="9"/>
      <c r="C17" s="9"/>
      <c r="D17" s="10"/>
      <c r="E17" s="273" t="s">
        <v>116</v>
      </c>
      <c r="F17" s="274"/>
      <c r="G17" s="275">
        <v>2110031811</v>
      </c>
      <c r="H17" s="276"/>
    </row>
    <row r="18" spans="1:8" ht="21" x14ac:dyDescent="0.3">
      <c r="A18" s="11" t="s">
        <v>115</v>
      </c>
      <c r="B18" s="12"/>
      <c r="C18" s="12"/>
      <c r="D18" s="13"/>
      <c r="E18" s="320"/>
      <c r="F18" s="321"/>
      <c r="G18" s="322"/>
      <c r="H18" s="302"/>
    </row>
    <row r="19" spans="1:8" ht="20.25" x14ac:dyDescent="0.25">
      <c r="A19" s="277" t="s">
        <v>117</v>
      </c>
      <c r="B19" s="278"/>
      <c r="C19" s="278"/>
      <c r="D19" s="323"/>
      <c r="E19" s="5" t="s">
        <v>118</v>
      </c>
      <c r="F19" s="30"/>
      <c r="G19" s="30"/>
      <c r="H19" s="31"/>
    </row>
    <row r="20" spans="1:8" x14ac:dyDescent="0.25">
      <c r="A20" s="279"/>
      <c r="B20" s="280"/>
      <c r="C20" s="280"/>
      <c r="D20" s="324"/>
      <c r="E20" s="32"/>
      <c r="H20" s="20"/>
    </row>
    <row r="21" spans="1:8" ht="24.75" x14ac:dyDescent="0.35">
      <c r="A21" s="33" t="s">
        <v>100</v>
      </c>
      <c r="B21" s="15"/>
      <c r="D21" s="20"/>
      <c r="E21" s="34" t="s">
        <v>131</v>
      </c>
      <c r="F21" s="30"/>
      <c r="G21" s="30"/>
      <c r="H21" s="31"/>
    </row>
    <row r="22" spans="1:8" ht="21" x14ac:dyDescent="0.3">
      <c r="A22" s="8" t="str">
        <f>_xlfn.XLOOKUP(A21,Customers[Company],Customers[Address 1])</f>
        <v>Vill – Pandloi , P.O - Lapanga</v>
      </c>
      <c r="B22" s="9"/>
      <c r="C22" s="9"/>
      <c r="D22" s="20"/>
      <c r="E22" s="35" t="s">
        <v>132</v>
      </c>
      <c r="F22" s="24"/>
      <c r="G22" s="24"/>
      <c r="H22" s="25"/>
    </row>
    <row r="23" spans="1:8" ht="21" x14ac:dyDescent="0.3">
      <c r="A23" s="8" t="str">
        <f>_xlfn.XLOOKUP(A21,Customers[Company],Customers[Address 2])</f>
        <v>Sambalpur.</v>
      </c>
      <c r="B23" s="9"/>
      <c r="C23" s="9"/>
      <c r="D23" s="20"/>
      <c r="E23" s="16" t="s">
        <v>133</v>
      </c>
      <c r="F23" s="17"/>
      <c r="G23" s="17"/>
      <c r="H23" s="18"/>
    </row>
    <row r="24" spans="1:8" ht="18.75" x14ac:dyDescent="0.25">
      <c r="A24" s="21" t="str">
        <f>_xlfn.XLOOKUP(A21,Customers[Company],Customers[Address 3])</f>
        <v>GSTIN : 21AAHCS5842A1ZT</v>
      </c>
      <c r="D24" s="20"/>
      <c r="E24" s="36" t="s">
        <v>134</v>
      </c>
      <c r="F24" s="17"/>
      <c r="G24" s="17"/>
      <c r="H24" s="18"/>
    </row>
    <row r="25" spans="1:8" x14ac:dyDescent="0.25">
      <c r="A25" s="22"/>
      <c r="D25" s="20"/>
      <c r="E25" s="22"/>
      <c r="H25" s="20"/>
    </row>
    <row r="26" spans="1:8" x14ac:dyDescent="0.25">
      <c r="A26" s="23"/>
      <c r="B26" s="24"/>
      <c r="C26" s="24"/>
      <c r="D26" s="25"/>
      <c r="E26" s="23"/>
      <c r="F26" s="24"/>
      <c r="G26" s="24"/>
      <c r="H26" s="25"/>
    </row>
    <row r="27" spans="1:8" ht="33.75" x14ac:dyDescent="0.25">
      <c r="A27" s="26" t="s">
        <v>121</v>
      </c>
      <c r="B27" s="287" t="s">
        <v>135</v>
      </c>
      <c r="C27" s="288"/>
      <c r="D27" s="289"/>
      <c r="E27" s="37" t="s">
        <v>136</v>
      </c>
      <c r="F27" s="38" t="s">
        <v>137</v>
      </c>
      <c r="G27" s="287" t="s">
        <v>138</v>
      </c>
      <c r="H27" s="289"/>
    </row>
    <row r="28" spans="1:8" ht="15.95" customHeight="1" x14ac:dyDescent="0.25">
      <c r="A28" s="240">
        <v>1</v>
      </c>
      <c r="B28" s="243" t="s">
        <v>124</v>
      </c>
      <c r="C28" s="244"/>
      <c r="D28" s="245"/>
      <c r="E28" s="325">
        <v>5476118</v>
      </c>
      <c r="F28" s="255">
        <v>0.36</v>
      </c>
      <c r="G28" s="258">
        <f>E28*0.0036</f>
        <v>19714.024799999999</v>
      </c>
      <c r="H28" s="259"/>
    </row>
    <row r="29" spans="1:8" ht="15.95" customHeight="1" x14ac:dyDescent="0.25">
      <c r="A29" s="241"/>
      <c r="B29" s="246"/>
      <c r="C29" s="247"/>
      <c r="D29" s="248"/>
      <c r="E29" s="326"/>
      <c r="F29" s="256"/>
      <c r="G29" s="260"/>
      <c r="H29" s="261"/>
    </row>
    <row r="30" spans="1:8" ht="15.95" customHeight="1" x14ac:dyDescent="0.25">
      <c r="A30" s="241"/>
      <c r="B30" s="246"/>
      <c r="C30" s="247"/>
      <c r="D30" s="248"/>
      <c r="E30" s="326"/>
      <c r="F30" s="256"/>
      <c r="G30" s="260"/>
      <c r="H30" s="261"/>
    </row>
    <row r="31" spans="1:8" ht="15.95" customHeight="1" x14ac:dyDescent="0.25">
      <c r="A31" s="241"/>
      <c r="B31" s="246"/>
      <c r="C31" s="247"/>
      <c r="D31" s="248"/>
      <c r="E31" s="326"/>
      <c r="F31" s="256"/>
      <c r="G31" s="260"/>
      <c r="H31" s="261"/>
    </row>
    <row r="32" spans="1:8" ht="15.95" customHeight="1" x14ac:dyDescent="0.25">
      <c r="A32" s="241"/>
      <c r="B32" s="246"/>
      <c r="C32" s="247"/>
      <c r="D32" s="248"/>
      <c r="E32" s="326"/>
      <c r="F32" s="256"/>
      <c r="G32" s="260"/>
      <c r="H32" s="261"/>
    </row>
    <row r="33" spans="1:8" ht="15.95" customHeight="1" x14ac:dyDescent="0.25">
      <c r="A33" s="241"/>
      <c r="B33" s="249"/>
      <c r="C33" s="250"/>
      <c r="D33" s="251"/>
      <c r="E33" s="327"/>
      <c r="F33" s="257"/>
      <c r="G33" s="262"/>
      <c r="H33" s="263"/>
    </row>
    <row r="34" spans="1:8" ht="15.95" customHeight="1" x14ac:dyDescent="0.25">
      <c r="A34" s="241"/>
      <c r="B34" s="264" t="s">
        <v>125</v>
      </c>
      <c r="C34" s="265"/>
      <c r="D34" s="266"/>
      <c r="E34" s="270"/>
      <c r="F34" s="270"/>
      <c r="G34" s="272">
        <f>G28</f>
        <v>19714.024799999999</v>
      </c>
      <c r="H34" s="266"/>
    </row>
    <row r="35" spans="1:8" ht="15.95" customHeight="1" x14ac:dyDescent="0.25">
      <c r="A35" s="242"/>
      <c r="B35" s="267"/>
      <c r="C35" s="268"/>
      <c r="D35" s="269"/>
      <c r="E35" s="271"/>
      <c r="F35" s="271"/>
      <c r="G35" s="267"/>
      <c r="H35" s="269"/>
    </row>
    <row r="36" spans="1:8" ht="21" x14ac:dyDescent="0.3">
      <c r="A36" s="29" t="s">
        <v>126</v>
      </c>
      <c r="B36" s="30"/>
      <c r="C36" s="30"/>
      <c r="D36" s="30"/>
      <c r="E36" s="30"/>
      <c r="F36" s="30"/>
      <c r="G36" s="30"/>
      <c r="H36" s="31"/>
    </row>
    <row r="37" spans="1:8" ht="18.75" x14ac:dyDescent="0.25">
      <c r="A37" s="8" t="str">
        <f>_xlfn.TEXTJOIN("", TRUE, "Discount being Given to Party for paying ", E28, " /- against High Speed Diesel supply")</f>
        <v>Discount being Given to Party for paying 5476118 /- against High Speed Diesel supply</v>
      </c>
      <c r="H37" s="20"/>
    </row>
    <row r="38" spans="1:8" ht="18.75" x14ac:dyDescent="0.25">
      <c r="A38" s="8" t="str">
        <f>_xlfn.TEXTJOIN("", TRUE, "@ ", F28, " per ₹100 on amount paid.")</f>
        <v>@ 0.36 per ₹100 on amount paid.</v>
      </c>
      <c r="H38" s="20"/>
    </row>
    <row r="39" spans="1:8" ht="20.25" x14ac:dyDescent="0.25">
      <c r="A39" s="22"/>
      <c r="F39" s="234" t="s">
        <v>59</v>
      </c>
      <c r="G39" s="235"/>
      <c r="H39" s="236"/>
    </row>
    <row r="40" spans="1:8" x14ac:dyDescent="0.25">
      <c r="A40" s="22"/>
      <c r="F40" s="22"/>
      <c r="H40" s="20"/>
    </row>
    <row r="41" spans="1:8" x14ac:dyDescent="0.25">
      <c r="A41" s="22"/>
      <c r="F41" s="22"/>
      <c r="H41" s="20"/>
    </row>
    <row r="42" spans="1:8" x14ac:dyDescent="0.25">
      <c r="A42" s="22"/>
      <c r="F42" s="22"/>
      <c r="H42" s="20"/>
    </row>
    <row r="43" spans="1:8" x14ac:dyDescent="0.25">
      <c r="A43" s="22"/>
      <c r="F43" s="22"/>
      <c r="H43" s="20"/>
    </row>
    <row r="44" spans="1:8" x14ac:dyDescent="0.25">
      <c r="A44" s="22"/>
      <c r="F44" s="22"/>
      <c r="H44" s="20"/>
    </row>
    <row r="45" spans="1:8" ht="20.25" x14ac:dyDescent="0.25">
      <c r="A45" s="23"/>
      <c r="B45" s="24"/>
      <c r="C45" s="24"/>
      <c r="D45" s="24"/>
      <c r="E45" s="24"/>
      <c r="F45" s="237" t="s">
        <v>127</v>
      </c>
      <c r="G45" s="238"/>
      <c r="H45" s="239"/>
    </row>
  </sheetData>
  <sheetProtection sheet="1" selectLockedCells="1"/>
  <mergeCells count="21">
    <mergeCell ref="E17:F18"/>
    <mergeCell ref="G17:H18"/>
    <mergeCell ref="A12:H12"/>
    <mergeCell ref="E14:F14"/>
    <mergeCell ref="G14:H14"/>
    <mergeCell ref="E15:F16"/>
    <mergeCell ref="G15:H16"/>
    <mergeCell ref="F34:F35"/>
    <mergeCell ref="G34:H35"/>
    <mergeCell ref="F39:H39"/>
    <mergeCell ref="F45:H45"/>
    <mergeCell ref="A19:D20"/>
    <mergeCell ref="B27:D27"/>
    <mergeCell ref="G27:H27"/>
    <mergeCell ref="A28:A35"/>
    <mergeCell ref="B28:D33"/>
    <mergeCell ref="E28:E33"/>
    <mergeCell ref="F28:F33"/>
    <mergeCell ref="G28:H33"/>
    <mergeCell ref="B34:D35"/>
    <mergeCell ref="E34:E35"/>
  </mergeCells>
  <printOptions horizontalCentered="1" verticalCentered="1"/>
  <pageMargins left="0" right="0" top="0.25" bottom="0.25" header="0" footer="0"/>
  <pageSetup paperSize="9" scale="97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16F50-1D38-8D42-8D64-76B23C50E78C}">
  <sheetPr codeName="Sheet7"/>
  <dimension ref="A1:Y5003"/>
  <sheetViews>
    <sheetView workbookViewId="0">
      <pane ySplit="1" topLeftCell="A2" activePane="bottomLeft" state="frozen"/>
      <selection pane="bottomLeft" activeCell="J2" sqref="J2"/>
    </sheetView>
  </sheetViews>
  <sheetFormatPr defaultColWidth="10.8515625" defaultRowHeight="16.5" x14ac:dyDescent="0.25"/>
  <cols>
    <col min="1" max="1" width="9.125" customWidth="1"/>
    <col min="2" max="2" width="18.37109375" customWidth="1"/>
    <col min="3" max="4" width="13.31640625" customWidth="1"/>
    <col min="5" max="5" width="38.34765625" customWidth="1"/>
    <col min="6" max="6" width="25.03125" customWidth="1"/>
    <col min="7" max="8" width="18.37109375" customWidth="1"/>
    <col min="9" max="9" width="13.31640625" customWidth="1"/>
    <col min="10" max="10" width="28.359375" customWidth="1"/>
    <col min="11" max="11" width="13.31640625" customWidth="1"/>
    <col min="12" max="12" width="15.04296875" customWidth="1"/>
    <col min="13" max="13" width="13.31640625" customWidth="1"/>
    <col min="14" max="15" width="15.04296875" customWidth="1"/>
    <col min="16" max="16" width="18.37109375" customWidth="1"/>
    <col min="17" max="17" width="13.31640625" customWidth="1"/>
    <col min="18" max="18" width="19.9765625" customWidth="1"/>
    <col min="19" max="20" width="16.64453125" customWidth="1"/>
    <col min="21" max="21" width="49.94140625" customWidth="1"/>
    <col min="22" max="22" width="21.703125" customWidth="1"/>
    <col min="23" max="23" width="19.9765625" customWidth="1"/>
    <col min="24" max="24" width="18.37109375" customWidth="1"/>
    <col min="25" max="25" width="12.453125" customWidth="1"/>
  </cols>
  <sheetData>
    <row r="1" spans="1:25" ht="33.950000000000003" customHeight="1" x14ac:dyDescent="0.25">
      <c r="A1" s="80" t="s">
        <v>227</v>
      </c>
      <c r="B1" s="80" t="s">
        <v>228</v>
      </c>
      <c r="C1" s="80" t="s">
        <v>229</v>
      </c>
      <c r="D1" s="80" t="s">
        <v>230</v>
      </c>
      <c r="E1" s="80" t="s">
        <v>231</v>
      </c>
      <c r="F1" s="80" t="s">
        <v>232</v>
      </c>
      <c r="G1" s="80" t="s">
        <v>168</v>
      </c>
      <c r="H1" s="80" t="s">
        <v>233</v>
      </c>
      <c r="I1" s="80" t="s">
        <v>167</v>
      </c>
      <c r="J1" s="80" t="s">
        <v>234</v>
      </c>
      <c r="K1" s="80" t="s">
        <v>173</v>
      </c>
      <c r="L1" s="80" t="s">
        <v>143</v>
      </c>
      <c r="M1" s="80" t="s">
        <v>174</v>
      </c>
      <c r="N1" s="80" t="s">
        <v>235</v>
      </c>
      <c r="O1" s="80" t="s">
        <v>236</v>
      </c>
      <c r="P1" s="80" t="s">
        <v>237</v>
      </c>
      <c r="Q1" s="80" t="s">
        <v>238</v>
      </c>
      <c r="R1" s="80" t="s">
        <v>226</v>
      </c>
      <c r="S1" s="80" t="s">
        <v>239</v>
      </c>
      <c r="T1" s="80" t="s">
        <v>240</v>
      </c>
      <c r="U1" s="80" t="s">
        <v>241</v>
      </c>
      <c r="V1" s="80" t="s">
        <v>242</v>
      </c>
      <c r="W1" s="80" t="s">
        <v>243</v>
      </c>
      <c r="X1" s="80" t="s">
        <v>244</v>
      </c>
    </row>
    <row r="2" spans="1:25" ht="27.75" x14ac:dyDescent="0.25">
      <c r="A2" s="90">
        <v>1</v>
      </c>
      <c r="B2" s="91" t="s">
        <v>248</v>
      </c>
      <c r="C2" s="92">
        <v>46251</v>
      </c>
      <c r="D2" s="92">
        <v>46265</v>
      </c>
      <c r="E2" s="91" t="s">
        <v>61</v>
      </c>
      <c r="F2" s="91" t="s">
        <v>73</v>
      </c>
      <c r="G2" s="91" t="s">
        <v>169</v>
      </c>
      <c r="H2" s="91">
        <v>4500215762</v>
      </c>
      <c r="I2" s="92">
        <v>46250</v>
      </c>
      <c r="J2" s="91" t="s">
        <v>124</v>
      </c>
      <c r="K2" s="93" t="s">
        <v>202</v>
      </c>
      <c r="L2" s="122">
        <v>12000</v>
      </c>
      <c r="M2" s="94">
        <v>99.5</v>
      </c>
      <c r="N2" s="94">
        <v>100.74</v>
      </c>
      <c r="O2" s="94">
        <f>IF(N2="","",N2-M2)</f>
        <v>1.2399999999999949</v>
      </c>
      <c r="P2" s="124">
        <v>1194000</v>
      </c>
      <c r="Q2" s="124">
        <v>0</v>
      </c>
      <c r="R2" s="126">
        <v>1194000</v>
      </c>
      <c r="S2" s="122">
        <v>0</v>
      </c>
      <c r="T2" s="94">
        <f>IF(L2=0,"",(R2-S2)/L2)</f>
        <v>99.5</v>
      </c>
      <c r="U2" s="91" t="s">
        <v>249</v>
      </c>
      <c r="V2" s="91" t="s">
        <v>172</v>
      </c>
      <c r="W2" s="95">
        <v>46251.363229166665</v>
      </c>
      <c r="X2" s="91" t="s">
        <v>250</v>
      </c>
    </row>
    <row r="3" spans="1:25" ht="27.75" x14ac:dyDescent="0.25">
      <c r="A3" s="90">
        <v>2</v>
      </c>
      <c r="B3" s="91" t="s">
        <v>225</v>
      </c>
      <c r="C3" s="92">
        <v>46251</v>
      </c>
      <c r="D3" s="92">
        <v>46265</v>
      </c>
      <c r="E3" s="91" t="s">
        <v>100</v>
      </c>
      <c r="F3" s="91" t="s">
        <v>42</v>
      </c>
      <c r="G3" s="91" t="s">
        <v>169</v>
      </c>
      <c r="H3" s="91"/>
      <c r="I3" s="92"/>
      <c r="J3" s="91" t="s">
        <v>124</v>
      </c>
      <c r="K3" s="93" t="s">
        <v>202</v>
      </c>
      <c r="L3" s="122">
        <v>150000</v>
      </c>
      <c r="M3" s="94">
        <v>99.5</v>
      </c>
      <c r="N3" s="94">
        <v>100.74</v>
      </c>
      <c r="O3" s="94">
        <f>IF(N3="","",N3-M3)</f>
        <v>1.2399999999999949</v>
      </c>
      <c r="P3" s="124">
        <v>14925000</v>
      </c>
      <c r="Q3" s="124">
        <v>0</v>
      </c>
      <c r="R3" s="126">
        <v>14925000</v>
      </c>
      <c r="S3" s="122">
        <v>53730</v>
      </c>
      <c r="T3" s="94">
        <f>IF(L3=0,"",(R3-S3)/L3)</f>
        <v>99.141800000000003</v>
      </c>
      <c r="U3" s="91" t="s">
        <v>251</v>
      </c>
      <c r="V3" s="91" t="s">
        <v>172</v>
      </c>
      <c r="W3" s="95">
        <v>46251.373506944445</v>
      </c>
      <c r="X3" s="91" t="s">
        <v>250</v>
      </c>
    </row>
    <row r="4" spans="1:25" ht="27.75" x14ac:dyDescent="0.25">
      <c r="A4" s="90">
        <v>3</v>
      </c>
      <c r="B4" s="91" t="s">
        <v>264</v>
      </c>
      <c r="C4" s="92">
        <v>46259</v>
      </c>
      <c r="D4" s="92">
        <v>46265</v>
      </c>
      <c r="E4" s="91" t="s">
        <v>61</v>
      </c>
      <c r="F4" s="91" t="s">
        <v>73</v>
      </c>
      <c r="G4" s="91" t="s">
        <v>169</v>
      </c>
      <c r="H4" s="91"/>
      <c r="I4" s="92"/>
      <c r="J4" s="91" t="s">
        <v>124</v>
      </c>
      <c r="K4" s="93" t="s">
        <v>202</v>
      </c>
      <c r="L4" s="122">
        <v>12000</v>
      </c>
      <c r="M4" s="94">
        <v>99.5</v>
      </c>
      <c r="N4" s="94">
        <v>100.74</v>
      </c>
      <c r="O4" s="94">
        <f>IF(N4="","",N4-M4)</f>
        <v>1.2399999999999949</v>
      </c>
      <c r="P4" s="124">
        <v>1194000</v>
      </c>
      <c r="Q4" s="124">
        <v>0</v>
      </c>
      <c r="R4" s="126">
        <v>1194000</v>
      </c>
      <c r="S4" s="122">
        <v>0</v>
      </c>
      <c r="T4" s="94">
        <f>IF(L4=0,"",(R4-S4)/L4)</f>
        <v>99.5</v>
      </c>
      <c r="U4" s="91" t="s">
        <v>249</v>
      </c>
      <c r="V4" s="91" t="s">
        <v>172</v>
      </c>
      <c r="W4" s="95">
        <v>46259.668680555558</v>
      </c>
      <c r="X4" s="91" t="s">
        <v>250</v>
      </c>
      <c r="Y4" s="75"/>
    </row>
    <row r="5" spans="1:25" ht="27.75" x14ac:dyDescent="0.25">
      <c r="A5" s="90">
        <v>4</v>
      </c>
      <c r="B5" s="91" t="s">
        <v>265</v>
      </c>
      <c r="C5" s="92">
        <v>46262</v>
      </c>
      <c r="D5" s="92">
        <v>46265</v>
      </c>
      <c r="E5" s="91" t="s">
        <v>87</v>
      </c>
      <c r="F5" s="91" t="s">
        <v>106</v>
      </c>
      <c r="G5" s="91" t="s">
        <v>169</v>
      </c>
      <c r="H5" s="91" t="s">
        <v>266</v>
      </c>
      <c r="I5" s="92"/>
      <c r="J5" s="91" t="s">
        <v>124</v>
      </c>
      <c r="K5" s="93" t="s">
        <v>202</v>
      </c>
      <c r="L5" s="122">
        <v>12000</v>
      </c>
      <c r="M5" s="94">
        <v>99.74</v>
      </c>
      <c r="N5" s="94">
        <v>100.74</v>
      </c>
      <c r="O5" s="94">
        <f>IF(N5="","",N5-M5)</f>
        <v>1</v>
      </c>
      <c r="P5" s="124">
        <v>1196880</v>
      </c>
      <c r="Q5" s="124">
        <v>0</v>
      </c>
      <c r="R5" s="126">
        <v>1196880</v>
      </c>
      <c r="S5" s="122">
        <v>0</v>
      </c>
      <c r="T5" s="94">
        <f>IF(L5=0,"",(R5-S5)/L5)</f>
        <v>99.74</v>
      </c>
      <c r="U5" s="91" t="s">
        <v>268</v>
      </c>
      <c r="V5" s="91" t="s">
        <v>172</v>
      </c>
      <c r="W5" s="95">
        <v>46262.542256944442</v>
      </c>
      <c r="X5" s="91" t="s">
        <v>250</v>
      </c>
      <c r="Y5" s="75"/>
    </row>
    <row r="6" spans="1:25" x14ac:dyDescent="0.25">
      <c r="A6" s="75"/>
      <c r="C6" s="81"/>
      <c r="D6" s="81"/>
      <c r="I6" s="81"/>
      <c r="K6" s="82"/>
      <c r="L6" s="123"/>
      <c r="M6" s="3"/>
      <c r="N6" s="3"/>
      <c r="O6" s="3"/>
      <c r="P6" s="125"/>
      <c r="Q6" s="125"/>
      <c r="R6" s="127"/>
      <c r="S6" s="123"/>
      <c r="T6" s="3"/>
      <c r="W6" s="86"/>
      <c r="Y6" s="75"/>
    </row>
    <row r="7" spans="1:25" x14ac:dyDescent="0.25">
      <c r="A7" s="75"/>
      <c r="C7" s="81"/>
      <c r="D7" s="81"/>
      <c r="I7" s="81"/>
      <c r="K7" s="82"/>
      <c r="L7" s="123"/>
      <c r="M7" s="3"/>
      <c r="N7" s="3"/>
      <c r="O7" s="3"/>
      <c r="P7" s="125"/>
      <c r="Q7" s="125"/>
      <c r="R7" s="127"/>
      <c r="S7" s="123"/>
      <c r="T7" s="3"/>
      <c r="W7" s="86"/>
      <c r="Y7" s="75"/>
    </row>
    <row r="8" spans="1:25" x14ac:dyDescent="0.25">
      <c r="A8" s="75"/>
      <c r="C8" s="81"/>
      <c r="D8" s="81"/>
      <c r="I8" s="81"/>
      <c r="K8" s="82"/>
      <c r="L8" s="123"/>
      <c r="M8" s="3"/>
      <c r="N8" s="3"/>
      <c r="O8" s="3"/>
      <c r="P8" s="125"/>
      <c r="Q8" s="125"/>
      <c r="R8" s="127"/>
      <c r="S8" s="123"/>
      <c r="T8" s="3"/>
      <c r="W8" s="86"/>
      <c r="Y8" s="75"/>
    </row>
    <row r="9" spans="1:25" x14ac:dyDescent="0.25">
      <c r="A9" s="75"/>
      <c r="C9" s="81"/>
      <c r="D9" s="81"/>
      <c r="I9" s="81"/>
      <c r="K9" s="82"/>
      <c r="L9" s="123"/>
      <c r="M9" s="3"/>
      <c r="N9" s="3"/>
      <c r="O9" s="3"/>
      <c r="P9" s="125"/>
      <c r="Q9" s="125"/>
      <c r="R9" s="127"/>
      <c r="S9" s="123"/>
      <c r="T9" s="3"/>
      <c r="W9" s="86"/>
      <c r="Y9" s="75"/>
    </row>
    <row r="10" spans="1:25" x14ac:dyDescent="0.25">
      <c r="A10" s="75"/>
      <c r="C10" s="81"/>
      <c r="D10" s="81"/>
      <c r="I10" s="81"/>
      <c r="K10" s="82"/>
      <c r="L10" s="123"/>
      <c r="M10" s="3"/>
      <c r="N10" s="3"/>
      <c r="O10" s="3"/>
      <c r="P10" s="125"/>
      <c r="Q10" s="125"/>
      <c r="R10" s="127"/>
      <c r="S10" s="123"/>
      <c r="T10" s="3"/>
      <c r="W10" s="86"/>
      <c r="Y10" s="75"/>
    </row>
    <row r="11" spans="1:25" x14ac:dyDescent="0.25">
      <c r="A11" s="75"/>
      <c r="C11" s="81"/>
      <c r="D11" s="81"/>
      <c r="I11" s="81"/>
      <c r="K11" s="82"/>
      <c r="L11" s="123"/>
      <c r="M11" s="3"/>
      <c r="N11" s="3"/>
      <c r="O11" s="3"/>
      <c r="P11" s="125"/>
      <c r="Q11" s="125"/>
      <c r="R11" s="127"/>
      <c r="S11" s="123"/>
      <c r="T11" s="3"/>
      <c r="W11" s="86"/>
      <c r="Y11" s="75"/>
    </row>
    <row r="12" spans="1:25" x14ac:dyDescent="0.25">
      <c r="A12" s="75"/>
      <c r="C12" s="81"/>
      <c r="D12" s="81"/>
      <c r="I12" s="81"/>
      <c r="K12" s="82"/>
      <c r="L12" s="123"/>
      <c r="M12" s="3"/>
      <c r="N12" s="3"/>
      <c r="O12" s="3"/>
      <c r="P12" s="125"/>
      <c r="Q12" s="125"/>
      <c r="R12" s="127"/>
      <c r="S12" s="123"/>
      <c r="T12" s="3"/>
      <c r="W12" s="86"/>
      <c r="Y12" s="75"/>
    </row>
    <row r="13" spans="1:25" x14ac:dyDescent="0.25">
      <c r="A13" s="75"/>
      <c r="C13" s="81"/>
      <c r="D13" s="81"/>
      <c r="I13" s="81"/>
      <c r="K13" s="82"/>
      <c r="L13" s="123"/>
      <c r="M13" s="3"/>
      <c r="N13" s="3"/>
      <c r="O13" s="3"/>
      <c r="P13" s="125"/>
      <c r="Q13" s="125"/>
      <c r="R13" s="127"/>
      <c r="S13" s="123"/>
      <c r="T13" s="3"/>
      <c r="W13" s="86"/>
      <c r="Y13" s="75"/>
    </row>
    <row r="14" spans="1:25" x14ac:dyDescent="0.25">
      <c r="A14" s="75"/>
      <c r="C14" s="81"/>
      <c r="D14" s="81"/>
      <c r="I14" s="81"/>
      <c r="K14" s="82"/>
      <c r="L14" s="123"/>
      <c r="M14" s="3"/>
      <c r="N14" s="3"/>
      <c r="O14" s="3"/>
      <c r="P14" s="125"/>
      <c r="Q14" s="125"/>
      <c r="R14" s="127"/>
      <c r="S14" s="123"/>
      <c r="T14" s="3"/>
      <c r="W14" s="86"/>
      <c r="Y14" s="75"/>
    </row>
    <row r="15" spans="1:25" x14ac:dyDescent="0.25">
      <c r="A15" s="75"/>
      <c r="C15" s="81"/>
      <c r="D15" s="81"/>
      <c r="I15" s="81"/>
      <c r="K15" s="82"/>
      <c r="L15" s="123"/>
      <c r="M15" s="3"/>
      <c r="N15" s="3"/>
      <c r="O15" s="3"/>
      <c r="P15" s="125"/>
      <c r="Q15" s="125"/>
      <c r="R15" s="127"/>
      <c r="S15" s="123"/>
      <c r="T15" s="3"/>
      <c r="W15" s="86"/>
      <c r="Y15" s="75"/>
    </row>
    <row r="16" spans="1:25" x14ac:dyDescent="0.25">
      <c r="A16" s="75"/>
      <c r="C16" s="81"/>
      <c r="D16" s="81"/>
      <c r="I16" s="81"/>
      <c r="K16" s="82"/>
      <c r="L16" s="123"/>
      <c r="M16" s="3"/>
      <c r="N16" s="3"/>
      <c r="O16" s="3"/>
      <c r="P16" s="125"/>
      <c r="Q16" s="125"/>
      <c r="R16" s="127"/>
      <c r="S16" s="123"/>
      <c r="T16" s="3"/>
      <c r="W16" s="86"/>
      <c r="Y16" s="75"/>
    </row>
    <row r="17" spans="1:25" x14ac:dyDescent="0.25">
      <c r="A17" s="75"/>
      <c r="C17" s="81"/>
      <c r="D17" s="81"/>
      <c r="I17" s="81"/>
      <c r="K17" s="82"/>
      <c r="L17" s="123"/>
      <c r="M17" s="3"/>
      <c r="N17" s="3"/>
      <c r="O17" s="3"/>
      <c r="P17" s="125"/>
      <c r="Q17" s="125"/>
      <c r="R17" s="127"/>
      <c r="S17" s="123"/>
      <c r="T17" s="3"/>
      <c r="W17" s="86"/>
      <c r="Y17" s="75"/>
    </row>
    <row r="18" spans="1:25" x14ac:dyDescent="0.25">
      <c r="A18" s="75"/>
      <c r="C18" s="81"/>
      <c r="D18" s="81"/>
      <c r="I18" s="81"/>
      <c r="K18" s="82"/>
      <c r="L18" s="123"/>
      <c r="M18" s="3"/>
      <c r="N18" s="3"/>
      <c r="O18" s="3"/>
      <c r="P18" s="125"/>
      <c r="Q18" s="125"/>
      <c r="R18" s="127"/>
      <c r="S18" s="123"/>
      <c r="T18" s="3"/>
      <c r="W18" s="86"/>
      <c r="Y18" s="75"/>
    </row>
    <row r="19" spans="1:25" x14ac:dyDescent="0.25">
      <c r="A19" s="75"/>
      <c r="C19" s="81"/>
      <c r="D19" s="81"/>
      <c r="I19" s="81"/>
      <c r="K19" s="82"/>
      <c r="L19" s="123"/>
      <c r="M19" s="3"/>
      <c r="N19" s="3"/>
      <c r="O19" s="3"/>
      <c r="P19" s="125"/>
      <c r="Q19" s="125"/>
      <c r="R19" s="127"/>
      <c r="S19" s="123"/>
      <c r="T19" s="3"/>
      <c r="W19" s="86"/>
      <c r="Y19" s="75"/>
    </row>
    <row r="20" spans="1:25" x14ac:dyDescent="0.25">
      <c r="A20" s="75"/>
      <c r="C20" s="81"/>
      <c r="D20" s="81"/>
      <c r="I20" s="81"/>
      <c r="K20" s="82"/>
      <c r="L20" s="123"/>
      <c r="M20" s="3"/>
      <c r="N20" s="3"/>
      <c r="O20" s="3"/>
      <c r="P20" s="125"/>
      <c r="Q20" s="125"/>
      <c r="R20" s="127"/>
      <c r="S20" s="123"/>
      <c r="T20" s="3"/>
      <c r="W20" s="86"/>
      <c r="Y20" s="75"/>
    </row>
    <row r="21" spans="1:25" x14ac:dyDescent="0.25">
      <c r="A21" s="75"/>
      <c r="C21" s="81"/>
      <c r="D21" s="81"/>
      <c r="I21" s="81"/>
      <c r="K21" s="82"/>
      <c r="L21" s="123"/>
      <c r="M21" s="3"/>
      <c r="N21" s="3"/>
      <c r="O21" s="3"/>
      <c r="P21" s="125"/>
      <c r="Q21" s="125"/>
      <c r="R21" s="127"/>
      <c r="S21" s="123"/>
      <c r="T21" s="3"/>
      <c r="W21" s="86"/>
      <c r="Y21" s="75"/>
    </row>
    <row r="22" spans="1:25" x14ac:dyDescent="0.25">
      <c r="A22" s="75"/>
      <c r="C22" s="81"/>
      <c r="D22" s="81"/>
      <c r="I22" s="81"/>
      <c r="K22" s="82"/>
      <c r="L22" s="123"/>
      <c r="M22" s="3"/>
      <c r="N22" s="3"/>
      <c r="O22" s="3"/>
      <c r="P22" s="125"/>
      <c r="Q22" s="125"/>
      <c r="R22" s="127"/>
      <c r="S22" s="123"/>
      <c r="T22" s="3"/>
      <c r="W22" s="86"/>
      <c r="Y22" s="75"/>
    </row>
    <row r="23" spans="1:25" x14ac:dyDescent="0.25">
      <c r="A23" s="75"/>
      <c r="C23" s="81"/>
      <c r="D23" s="81"/>
      <c r="I23" s="81"/>
      <c r="K23" s="82"/>
      <c r="L23" s="123"/>
      <c r="M23" s="3"/>
      <c r="N23" s="3"/>
      <c r="O23" s="3"/>
      <c r="P23" s="125"/>
      <c r="Q23" s="125"/>
      <c r="R23" s="127"/>
      <c r="S23" s="123"/>
      <c r="T23" s="3"/>
      <c r="W23" s="86"/>
      <c r="Y23" s="75"/>
    </row>
    <row r="24" spans="1:25" x14ac:dyDescent="0.25">
      <c r="A24" s="75"/>
      <c r="C24" s="81"/>
      <c r="D24" s="81"/>
      <c r="I24" s="81"/>
      <c r="K24" s="82"/>
      <c r="L24" s="123"/>
      <c r="M24" s="3"/>
      <c r="N24" s="3"/>
      <c r="O24" s="3"/>
      <c r="P24" s="125"/>
      <c r="Q24" s="125"/>
      <c r="R24" s="127"/>
      <c r="S24" s="123"/>
      <c r="T24" s="3"/>
      <c r="W24" s="86"/>
      <c r="Y24" s="75"/>
    </row>
    <row r="25" spans="1:25" x14ac:dyDescent="0.25">
      <c r="A25" s="75"/>
      <c r="C25" s="81"/>
      <c r="D25" s="81"/>
      <c r="I25" s="81"/>
      <c r="K25" s="82"/>
      <c r="L25" s="123"/>
      <c r="M25" s="3"/>
      <c r="N25" s="3"/>
      <c r="O25" s="3"/>
      <c r="P25" s="125"/>
      <c r="Q25" s="125"/>
      <c r="R25" s="127"/>
      <c r="S25" s="123"/>
      <c r="T25" s="3"/>
      <c r="W25" s="86"/>
      <c r="Y25" s="75"/>
    </row>
    <row r="26" spans="1:25" x14ac:dyDescent="0.25">
      <c r="A26" s="75"/>
      <c r="C26" s="81"/>
      <c r="D26" s="81"/>
      <c r="I26" s="81"/>
      <c r="K26" s="82"/>
      <c r="L26" s="123"/>
      <c r="M26" s="3"/>
      <c r="N26" s="3"/>
      <c r="O26" s="3"/>
      <c r="P26" s="125"/>
      <c r="Q26" s="125"/>
      <c r="R26" s="127"/>
      <c r="S26" s="123"/>
      <c r="T26" s="3"/>
      <c r="W26" s="86"/>
      <c r="Y26" s="75"/>
    </row>
    <row r="27" spans="1:25" x14ac:dyDescent="0.25">
      <c r="A27" s="75"/>
      <c r="C27" s="81"/>
      <c r="D27" s="81"/>
      <c r="I27" s="81"/>
      <c r="K27" s="82"/>
      <c r="L27" s="123"/>
      <c r="M27" s="3"/>
      <c r="N27" s="3"/>
      <c r="O27" s="3"/>
      <c r="P27" s="125"/>
      <c r="Q27" s="125"/>
      <c r="R27" s="127"/>
      <c r="S27" s="123"/>
      <c r="T27" s="3"/>
      <c r="W27" s="86"/>
      <c r="Y27" s="75"/>
    </row>
    <row r="28" spans="1:25" x14ac:dyDescent="0.25">
      <c r="A28" s="75"/>
      <c r="C28" s="81"/>
      <c r="D28" s="81"/>
      <c r="I28" s="81"/>
      <c r="K28" s="82"/>
      <c r="L28" s="123"/>
      <c r="M28" s="3"/>
      <c r="N28" s="3"/>
      <c r="O28" s="3"/>
      <c r="P28" s="125"/>
      <c r="Q28" s="125"/>
      <c r="R28" s="127"/>
      <c r="S28" s="123"/>
      <c r="T28" s="3"/>
      <c r="W28" s="86"/>
      <c r="Y28" s="75"/>
    </row>
    <row r="29" spans="1:25" x14ac:dyDescent="0.25">
      <c r="A29" s="75"/>
      <c r="C29" s="81"/>
      <c r="D29" s="81"/>
      <c r="I29" s="81"/>
      <c r="K29" s="82"/>
      <c r="L29" s="123"/>
      <c r="M29" s="3"/>
      <c r="N29" s="3"/>
      <c r="O29" s="3"/>
      <c r="P29" s="125"/>
      <c r="Q29" s="125"/>
      <c r="R29" s="127"/>
      <c r="S29" s="123"/>
      <c r="T29" s="3"/>
      <c r="W29" s="86"/>
      <c r="Y29" s="75"/>
    </row>
    <row r="30" spans="1:25" x14ac:dyDescent="0.25">
      <c r="A30" s="75"/>
      <c r="C30" s="81"/>
      <c r="D30" s="81"/>
      <c r="I30" s="81"/>
      <c r="K30" s="82"/>
      <c r="L30" s="123"/>
      <c r="M30" s="3"/>
      <c r="N30" s="3"/>
      <c r="O30" s="3"/>
      <c r="P30" s="125"/>
      <c r="Q30" s="125"/>
      <c r="R30" s="127"/>
      <c r="S30" s="123"/>
      <c r="T30" s="3"/>
      <c r="W30" s="86"/>
      <c r="Y30" s="75"/>
    </row>
    <row r="31" spans="1:25" x14ac:dyDescent="0.25">
      <c r="A31" s="75"/>
      <c r="C31" s="81"/>
      <c r="D31" s="81"/>
      <c r="I31" s="81"/>
      <c r="K31" s="82"/>
      <c r="L31" s="123"/>
      <c r="M31" s="3"/>
      <c r="N31" s="3"/>
      <c r="O31" s="3"/>
      <c r="P31" s="125"/>
      <c r="Q31" s="125"/>
      <c r="R31" s="127"/>
      <c r="S31" s="123"/>
      <c r="T31" s="3"/>
      <c r="W31" s="86"/>
      <c r="Y31" s="75"/>
    </row>
    <row r="32" spans="1:25" x14ac:dyDescent="0.25">
      <c r="A32" s="75"/>
      <c r="C32" s="81"/>
      <c r="D32" s="81"/>
      <c r="I32" s="81"/>
      <c r="K32" s="82"/>
      <c r="L32" s="123"/>
      <c r="M32" s="3"/>
      <c r="N32" s="3"/>
      <c r="O32" s="3"/>
      <c r="P32" s="125"/>
      <c r="Q32" s="125"/>
      <c r="R32" s="127"/>
      <c r="S32" s="123"/>
      <c r="T32" s="3"/>
      <c r="W32" s="86"/>
      <c r="Y32" s="75"/>
    </row>
    <row r="33" spans="1:25" x14ac:dyDescent="0.25">
      <c r="A33" s="75"/>
      <c r="C33" s="81"/>
      <c r="D33" s="81"/>
      <c r="I33" s="81"/>
      <c r="K33" s="82"/>
      <c r="L33" s="123"/>
      <c r="M33" s="3"/>
      <c r="N33" s="3"/>
      <c r="O33" s="3"/>
      <c r="P33" s="125"/>
      <c r="Q33" s="125"/>
      <c r="R33" s="127"/>
      <c r="S33" s="123"/>
      <c r="T33" s="3"/>
      <c r="W33" s="86"/>
      <c r="Y33" s="75"/>
    </row>
    <row r="34" spans="1:25" x14ac:dyDescent="0.25">
      <c r="A34" s="75"/>
      <c r="C34" s="81"/>
      <c r="D34" s="81"/>
      <c r="I34" s="81"/>
      <c r="K34" s="82"/>
      <c r="L34" s="123"/>
      <c r="M34" s="3"/>
      <c r="N34" s="3"/>
      <c r="O34" s="3"/>
      <c r="P34" s="125"/>
      <c r="Q34" s="125"/>
      <c r="R34" s="127"/>
      <c r="S34" s="123"/>
      <c r="T34" s="3"/>
      <c r="W34" s="86"/>
      <c r="Y34" s="75"/>
    </row>
    <row r="35" spans="1:25" x14ac:dyDescent="0.25">
      <c r="A35" s="75"/>
      <c r="C35" s="81"/>
      <c r="D35" s="81"/>
      <c r="I35" s="81"/>
      <c r="K35" s="82"/>
      <c r="L35" s="123"/>
      <c r="M35" s="3"/>
      <c r="N35" s="3"/>
      <c r="O35" s="3"/>
      <c r="P35" s="125"/>
      <c r="Q35" s="125"/>
      <c r="R35" s="127"/>
      <c r="S35" s="123"/>
      <c r="T35" s="3"/>
      <c r="W35" s="86"/>
      <c r="Y35" s="75"/>
    </row>
    <row r="36" spans="1:25" x14ac:dyDescent="0.25">
      <c r="A36" s="75"/>
      <c r="C36" s="81"/>
      <c r="D36" s="81"/>
      <c r="I36" s="81"/>
      <c r="K36" s="82"/>
      <c r="L36" s="123"/>
      <c r="M36" s="3"/>
      <c r="N36" s="3"/>
      <c r="O36" s="3"/>
      <c r="P36" s="125"/>
      <c r="Q36" s="125"/>
      <c r="R36" s="127"/>
      <c r="S36" s="123"/>
      <c r="T36" s="3"/>
      <c r="W36" s="86"/>
      <c r="Y36" s="75"/>
    </row>
    <row r="37" spans="1:25" x14ac:dyDescent="0.25">
      <c r="A37" s="75"/>
      <c r="C37" s="81"/>
      <c r="D37" s="81"/>
      <c r="I37" s="81"/>
      <c r="K37" s="82"/>
      <c r="L37" s="123"/>
      <c r="M37" s="3"/>
      <c r="N37" s="3"/>
      <c r="O37" s="3"/>
      <c r="P37" s="125"/>
      <c r="Q37" s="125"/>
      <c r="R37" s="127"/>
      <c r="S37" s="123"/>
      <c r="T37" s="3"/>
      <c r="W37" s="86"/>
      <c r="Y37" s="75"/>
    </row>
    <row r="38" spans="1:25" x14ac:dyDescent="0.25">
      <c r="A38" s="75"/>
      <c r="C38" s="81"/>
      <c r="D38" s="81"/>
      <c r="I38" s="81"/>
      <c r="K38" s="82"/>
      <c r="L38" s="123"/>
      <c r="M38" s="3"/>
      <c r="N38" s="3"/>
      <c r="O38" s="3"/>
      <c r="P38" s="125"/>
      <c r="Q38" s="125"/>
      <c r="R38" s="127"/>
      <c r="S38" s="123"/>
      <c r="T38" s="3"/>
      <c r="W38" s="86"/>
      <c r="Y38" s="75"/>
    </row>
    <row r="39" spans="1:25" x14ac:dyDescent="0.25">
      <c r="A39" s="75"/>
      <c r="C39" s="81"/>
      <c r="D39" s="81"/>
      <c r="I39" s="81"/>
      <c r="K39" s="82"/>
      <c r="L39" s="123"/>
      <c r="M39" s="3"/>
      <c r="N39" s="3"/>
      <c r="O39" s="3"/>
      <c r="P39" s="125"/>
      <c r="Q39" s="125"/>
      <c r="R39" s="127"/>
      <c r="S39" s="123"/>
      <c r="T39" s="3"/>
      <c r="W39" s="86"/>
      <c r="Y39" s="75"/>
    </row>
    <row r="40" spans="1:25" x14ac:dyDescent="0.25">
      <c r="A40" s="75"/>
      <c r="C40" s="81"/>
      <c r="D40" s="81"/>
      <c r="I40" s="81"/>
      <c r="K40" s="82"/>
      <c r="L40" s="123"/>
      <c r="M40" s="3"/>
      <c r="N40" s="3"/>
      <c r="O40" s="3"/>
      <c r="P40" s="125"/>
      <c r="Q40" s="125"/>
      <c r="R40" s="127"/>
      <c r="S40" s="123"/>
      <c r="T40" s="3"/>
      <c r="W40" s="86"/>
      <c r="Y40" s="75"/>
    </row>
    <row r="41" spans="1:25" x14ac:dyDescent="0.25">
      <c r="A41" s="75"/>
      <c r="C41" s="81"/>
      <c r="D41" s="81"/>
      <c r="I41" s="81"/>
      <c r="K41" s="82"/>
      <c r="L41" s="123"/>
      <c r="M41" s="3"/>
      <c r="N41" s="3"/>
      <c r="O41" s="3"/>
      <c r="P41" s="125"/>
      <c r="Q41" s="125"/>
      <c r="R41" s="127"/>
      <c r="S41" s="123"/>
      <c r="T41" s="3"/>
      <c r="W41" s="86"/>
      <c r="Y41" s="75"/>
    </row>
    <row r="42" spans="1:25" x14ac:dyDescent="0.25">
      <c r="A42" s="75"/>
      <c r="C42" s="81"/>
      <c r="D42" s="81"/>
      <c r="I42" s="81"/>
      <c r="K42" s="82"/>
      <c r="L42" s="123"/>
      <c r="M42" s="3"/>
      <c r="N42" s="3"/>
      <c r="O42" s="3"/>
      <c r="P42" s="125"/>
      <c r="Q42" s="125"/>
      <c r="R42" s="127"/>
      <c r="S42" s="123"/>
      <c r="T42" s="3"/>
      <c r="W42" s="86"/>
      <c r="Y42" s="75"/>
    </row>
    <row r="43" spans="1:25" x14ac:dyDescent="0.25">
      <c r="A43" s="75"/>
      <c r="C43" s="81"/>
      <c r="D43" s="81"/>
      <c r="I43" s="81"/>
      <c r="K43" s="82"/>
      <c r="L43" s="123"/>
      <c r="M43" s="3"/>
      <c r="N43" s="3"/>
      <c r="O43" s="3"/>
      <c r="P43" s="125"/>
      <c r="Q43" s="125"/>
      <c r="R43" s="127"/>
      <c r="S43" s="123"/>
      <c r="T43" s="3"/>
      <c r="W43" s="86"/>
      <c r="Y43" s="75"/>
    </row>
    <row r="44" spans="1:25" x14ac:dyDescent="0.25">
      <c r="A44" s="75"/>
      <c r="C44" s="81"/>
      <c r="D44" s="81"/>
      <c r="I44" s="81"/>
      <c r="K44" s="82"/>
      <c r="L44" s="123"/>
      <c r="M44" s="3"/>
      <c r="N44" s="3"/>
      <c r="O44" s="3"/>
      <c r="P44" s="125"/>
      <c r="Q44" s="125"/>
      <c r="R44" s="127"/>
      <c r="S44" s="123"/>
      <c r="T44" s="3"/>
      <c r="W44" s="86"/>
      <c r="Y44" s="75"/>
    </row>
    <row r="45" spans="1:25" x14ac:dyDescent="0.25">
      <c r="A45" s="75"/>
      <c r="C45" s="81"/>
      <c r="D45" s="81"/>
      <c r="I45" s="81"/>
      <c r="K45" s="82"/>
      <c r="L45" s="123"/>
      <c r="M45" s="3"/>
      <c r="N45" s="3"/>
      <c r="O45" s="3"/>
      <c r="P45" s="125"/>
      <c r="Q45" s="125"/>
      <c r="R45" s="127"/>
      <c r="S45" s="123"/>
      <c r="T45" s="3"/>
      <c r="W45" s="86"/>
      <c r="Y45" s="75"/>
    </row>
    <row r="46" spans="1:25" x14ac:dyDescent="0.25">
      <c r="A46" s="75"/>
      <c r="C46" s="81"/>
      <c r="D46" s="81"/>
      <c r="I46" s="81"/>
      <c r="K46" s="82"/>
      <c r="L46" s="123"/>
      <c r="M46" s="3"/>
      <c r="N46" s="3"/>
      <c r="O46" s="3"/>
      <c r="P46" s="125"/>
      <c r="Q46" s="125"/>
      <c r="R46" s="127"/>
      <c r="S46" s="123"/>
      <c r="T46" s="3"/>
      <c r="W46" s="86"/>
      <c r="Y46" s="75"/>
    </row>
    <row r="47" spans="1:25" x14ac:dyDescent="0.25">
      <c r="A47" s="75"/>
      <c r="C47" s="81"/>
      <c r="D47" s="81"/>
      <c r="I47" s="81"/>
      <c r="K47" s="82"/>
      <c r="L47" s="123"/>
      <c r="M47" s="3"/>
      <c r="N47" s="3"/>
      <c r="O47" s="3"/>
      <c r="P47" s="125"/>
      <c r="Q47" s="125"/>
      <c r="R47" s="127"/>
      <c r="S47" s="123"/>
      <c r="T47" s="3"/>
      <c r="W47" s="86"/>
      <c r="Y47" s="75"/>
    </row>
    <row r="48" spans="1:25" x14ac:dyDescent="0.25">
      <c r="A48" s="75"/>
      <c r="C48" s="81"/>
      <c r="D48" s="81"/>
      <c r="I48" s="81"/>
      <c r="K48" s="82"/>
      <c r="L48" s="123"/>
      <c r="M48" s="3"/>
      <c r="N48" s="3"/>
      <c r="O48" s="3"/>
      <c r="P48" s="125"/>
      <c r="Q48" s="125"/>
      <c r="R48" s="127"/>
      <c r="S48" s="123"/>
      <c r="T48" s="3"/>
      <c r="W48" s="86"/>
      <c r="Y48" s="75"/>
    </row>
    <row r="49" spans="1:25" x14ac:dyDescent="0.25">
      <c r="A49" s="75"/>
      <c r="C49" s="81"/>
      <c r="D49" s="81"/>
      <c r="I49" s="81"/>
      <c r="K49" s="82"/>
      <c r="L49" s="123"/>
      <c r="M49" s="3"/>
      <c r="N49" s="3"/>
      <c r="O49" s="3"/>
      <c r="P49" s="125"/>
      <c r="Q49" s="125"/>
      <c r="R49" s="127"/>
      <c r="S49" s="123"/>
      <c r="T49" s="3"/>
      <c r="W49" s="86"/>
      <c r="Y49" s="75"/>
    </row>
    <row r="50" spans="1:25" x14ac:dyDescent="0.25">
      <c r="A50" s="75"/>
      <c r="C50" s="81"/>
      <c r="D50" s="81"/>
      <c r="I50" s="81"/>
      <c r="K50" s="82"/>
      <c r="L50" s="123"/>
      <c r="M50" s="3"/>
      <c r="N50" s="3"/>
      <c r="O50" s="3"/>
      <c r="P50" s="125"/>
      <c r="Q50" s="125"/>
      <c r="R50" s="127"/>
      <c r="S50" s="123"/>
      <c r="T50" s="3"/>
      <c r="W50" s="86"/>
      <c r="Y50" s="75"/>
    </row>
    <row r="51" spans="1:25" x14ac:dyDescent="0.25">
      <c r="A51" s="75"/>
      <c r="C51" s="81"/>
      <c r="D51" s="81"/>
      <c r="I51" s="81"/>
      <c r="K51" s="82"/>
      <c r="L51" s="123"/>
      <c r="M51" s="3"/>
      <c r="N51" s="3"/>
      <c r="O51" s="3"/>
      <c r="P51" s="125"/>
      <c r="Q51" s="125"/>
      <c r="R51" s="127"/>
      <c r="S51" s="123"/>
      <c r="T51" s="3"/>
      <c r="W51" s="86"/>
      <c r="Y51" s="75"/>
    </row>
    <row r="52" spans="1:25" x14ac:dyDescent="0.25">
      <c r="A52" s="75"/>
      <c r="C52" s="81"/>
      <c r="D52" s="81"/>
      <c r="I52" s="81"/>
      <c r="K52" s="82"/>
      <c r="L52" s="123"/>
      <c r="M52" s="3"/>
      <c r="N52" s="3"/>
      <c r="O52" s="3"/>
      <c r="P52" s="125"/>
      <c r="Q52" s="125"/>
      <c r="R52" s="127"/>
      <c r="S52" s="123"/>
      <c r="T52" s="3"/>
      <c r="W52" s="86"/>
      <c r="Y52" s="75"/>
    </row>
    <row r="53" spans="1:25" x14ac:dyDescent="0.25">
      <c r="A53" s="75"/>
      <c r="C53" s="81"/>
      <c r="D53" s="81"/>
      <c r="I53" s="81"/>
      <c r="K53" s="82"/>
      <c r="L53" s="123"/>
      <c r="M53" s="3"/>
      <c r="N53" s="3"/>
      <c r="O53" s="3"/>
      <c r="P53" s="125"/>
      <c r="Q53" s="125"/>
      <c r="R53" s="127"/>
      <c r="S53" s="123"/>
      <c r="T53" s="3"/>
      <c r="W53" s="86"/>
      <c r="Y53" s="75"/>
    </row>
    <row r="54" spans="1:25" x14ac:dyDescent="0.25">
      <c r="A54" s="75"/>
      <c r="C54" s="81"/>
      <c r="D54" s="81"/>
      <c r="I54" s="81"/>
      <c r="K54" s="82"/>
      <c r="L54" s="123"/>
      <c r="M54" s="3"/>
      <c r="N54" s="3"/>
      <c r="O54" s="3"/>
      <c r="P54" s="125"/>
      <c r="Q54" s="125"/>
      <c r="R54" s="127"/>
      <c r="S54" s="123"/>
      <c r="T54" s="3"/>
      <c r="W54" s="86"/>
      <c r="Y54" s="75"/>
    </row>
    <row r="55" spans="1:25" x14ac:dyDescent="0.25">
      <c r="A55" s="75"/>
      <c r="C55" s="81"/>
      <c r="D55" s="81"/>
      <c r="I55" s="81"/>
      <c r="K55" s="82"/>
      <c r="L55" s="123"/>
      <c r="M55" s="3"/>
      <c r="N55" s="3"/>
      <c r="O55" s="3"/>
      <c r="P55" s="125"/>
      <c r="Q55" s="125"/>
      <c r="R55" s="127"/>
      <c r="S55" s="123"/>
      <c r="T55" s="3"/>
      <c r="W55" s="86"/>
      <c r="Y55" s="75"/>
    </row>
    <row r="56" spans="1:25" x14ac:dyDescent="0.25">
      <c r="A56" s="75"/>
      <c r="C56" s="81"/>
      <c r="D56" s="81"/>
      <c r="I56" s="81"/>
      <c r="K56" s="82"/>
      <c r="L56" s="123"/>
      <c r="M56" s="3"/>
      <c r="N56" s="3"/>
      <c r="O56" s="3"/>
      <c r="P56" s="125"/>
      <c r="Q56" s="125"/>
      <c r="R56" s="127"/>
      <c r="S56" s="123"/>
      <c r="T56" s="3"/>
      <c r="W56" s="86"/>
      <c r="Y56" s="75"/>
    </row>
    <row r="57" spans="1:25" x14ac:dyDescent="0.25">
      <c r="A57" s="75"/>
      <c r="C57" s="81"/>
      <c r="D57" s="81"/>
      <c r="I57" s="81"/>
      <c r="K57" s="82"/>
      <c r="L57" s="123"/>
      <c r="M57" s="3"/>
      <c r="N57" s="3"/>
      <c r="O57" s="3"/>
      <c r="P57" s="125"/>
      <c r="Q57" s="125"/>
      <c r="R57" s="127"/>
      <c r="S57" s="123"/>
      <c r="T57" s="3"/>
      <c r="W57" s="86"/>
      <c r="Y57" s="75"/>
    </row>
    <row r="58" spans="1:25" x14ac:dyDescent="0.25">
      <c r="A58" s="75"/>
      <c r="C58" s="81"/>
      <c r="D58" s="81"/>
      <c r="I58" s="81"/>
      <c r="K58" s="82"/>
      <c r="L58" s="123"/>
      <c r="M58" s="3"/>
      <c r="N58" s="3"/>
      <c r="O58" s="3"/>
      <c r="P58" s="125"/>
      <c r="Q58" s="125"/>
      <c r="R58" s="127"/>
      <c r="S58" s="123"/>
      <c r="T58" s="3"/>
      <c r="W58" s="86"/>
      <c r="Y58" s="75"/>
    </row>
    <row r="59" spans="1:25" x14ac:dyDescent="0.25">
      <c r="A59" s="75"/>
      <c r="C59" s="81"/>
      <c r="D59" s="81"/>
      <c r="I59" s="81"/>
      <c r="K59" s="82"/>
      <c r="L59" s="123"/>
      <c r="M59" s="3"/>
      <c r="N59" s="3"/>
      <c r="O59" s="3"/>
      <c r="P59" s="125"/>
      <c r="Q59" s="125"/>
      <c r="R59" s="127"/>
      <c r="S59" s="123"/>
      <c r="T59" s="3"/>
      <c r="W59" s="86"/>
      <c r="Y59" s="75"/>
    </row>
    <row r="60" spans="1:25" x14ac:dyDescent="0.25">
      <c r="A60" s="75"/>
      <c r="C60" s="81"/>
      <c r="D60" s="81"/>
      <c r="I60" s="81"/>
      <c r="K60" s="82"/>
      <c r="L60" s="123"/>
      <c r="M60" s="3"/>
      <c r="N60" s="3"/>
      <c r="O60" s="3"/>
      <c r="P60" s="125"/>
      <c r="Q60" s="125"/>
      <c r="R60" s="127"/>
      <c r="S60" s="123"/>
      <c r="T60" s="3"/>
      <c r="W60" s="86"/>
      <c r="Y60" s="75"/>
    </row>
    <row r="61" spans="1:25" x14ac:dyDescent="0.25">
      <c r="A61" s="75"/>
      <c r="C61" s="81"/>
      <c r="D61" s="81"/>
      <c r="I61" s="81"/>
      <c r="K61" s="82"/>
      <c r="L61" s="123"/>
      <c r="M61" s="3"/>
      <c r="N61" s="3"/>
      <c r="O61" s="3"/>
      <c r="P61" s="125"/>
      <c r="Q61" s="125"/>
      <c r="R61" s="127"/>
      <c r="S61" s="123"/>
      <c r="T61" s="3"/>
      <c r="W61" s="86"/>
      <c r="Y61" s="75"/>
    </row>
    <row r="62" spans="1:25" x14ac:dyDescent="0.25">
      <c r="A62" s="75"/>
      <c r="C62" s="81"/>
      <c r="D62" s="81"/>
      <c r="I62" s="81"/>
      <c r="K62" s="82"/>
      <c r="L62" s="123"/>
      <c r="M62" s="3"/>
      <c r="N62" s="3"/>
      <c r="O62" s="3"/>
      <c r="P62" s="125"/>
      <c r="Q62" s="125"/>
      <c r="R62" s="127"/>
      <c r="S62" s="123"/>
      <c r="T62" s="3"/>
      <c r="W62" s="86"/>
      <c r="Y62" s="75"/>
    </row>
    <row r="63" spans="1:25" x14ac:dyDescent="0.25">
      <c r="A63" s="75"/>
      <c r="C63" s="81"/>
      <c r="D63" s="81"/>
      <c r="I63" s="81"/>
      <c r="K63" s="82"/>
      <c r="L63" s="123"/>
      <c r="M63" s="3"/>
      <c r="N63" s="3"/>
      <c r="O63" s="3"/>
      <c r="P63" s="125"/>
      <c r="Q63" s="125"/>
      <c r="R63" s="127"/>
      <c r="S63" s="123"/>
      <c r="T63" s="3"/>
      <c r="W63" s="86"/>
      <c r="Y63" s="75"/>
    </row>
    <row r="64" spans="1:25" x14ac:dyDescent="0.25">
      <c r="A64" s="75"/>
      <c r="C64" s="81"/>
      <c r="D64" s="81"/>
      <c r="I64" s="81"/>
      <c r="K64" s="82"/>
      <c r="L64" s="123"/>
      <c r="M64" s="3"/>
      <c r="N64" s="3"/>
      <c r="O64" s="3"/>
      <c r="P64" s="125"/>
      <c r="Q64" s="125"/>
      <c r="R64" s="127"/>
      <c r="S64" s="123"/>
      <c r="T64" s="3"/>
      <c r="W64" s="86"/>
      <c r="Y64" s="75"/>
    </row>
    <row r="65" spans="1:25" x14ac:dyDescent="0.25">
      <c r="A65" s="75"/>
      <c r="C65" s="81"/>
      <c r="D65" s="81"/>
      <c r="I65" s="81"/>
      <c r="K65" s="82"/>
      <c r="L65" s="123"/>
      <c r="M65" s="3"/>
      <c r="N65" s="3"/>
      <c r="O65" s="3"/>
      <c r="P65" s="125"/>
      <c r="Q65" s="125"/>
      <c r="R65" s="127"/>
      <c r="S65" s="123"/>
      <c r="T65" s="3"/>
      <c r="W65" s="86"/>
      <c r="Y65" s="75"/>
    </row>
    <row r="66" spans="1:25" x14ac:dyDescent="0.25">
      <c r="A66" s="75"/>
      <c r="C66" s="81"/>
      <c r="D66" s="81"/>
      <c r="I66" s="81"/>
      <c r="K66" s="82"/>
      <c r="L66" s="123"/>
      <c r="M66" s="3"/>
      <c r="N66" s="3"/>
      <c r="O66" s="3"/>
      <c r="P66" s="125"/>
      <c r="Q66" s="125"/>
      <c r="R66" s="127"/>
      <c r="S66" s="123"/>
      <c r="T66" s="3"/>
      <c r="W66" s="86"/>
      <c r="Y66" s="75"/>
    </row>
    <row r="67" spans="1:25" x14ac:dyDescent="0.25">
      <c r="A67" s="75"/>
      <c r="C67" s="81"/>
      <c r="D67" s="81"/>
      <c r="I67" s="81"/>
      <c r="K67" s="82"/>
      <c r="L67" s="123"/>
      <c r="M67" s="3"/>
      <c r="N67" s="3"/>
      <c r="O67" s="3"/>
      <c r="P67" s="125"/>
      <c r="Q67" s="125"/>
      <c r="R67" s="127"/>
      <c r="S67" s="123"/>
      <c r="T67" s="3"/>
      <c r="W67" s="86"/>
      <c r="Y67" s="75"/>
    </row>
    <row r="68" spans="1:25" x14ac:dyDescent="0.25">
      <c r="A68" s="75"/>
      <c r="C68" s="81"/>
      <c r="D68" s="81"/>
      <c r="I68" s="81"/>
      <c r="K68" s="82"/>
      <c r="L68" s="123"/>
      <c r="M68" s="3"/>
      <c r="N68" s="3"/>
      <c r="O68" s="3"/>
      <c r="P68" s="125"/>
      <c r="Q68" s="125"/>
      <c r="R68" s="127"/>
      <c r="S68" s="123"/>
      <c r="T68" s="3"/>
      <c r="W68" s="86"/>
      <c r="Y68" s="75"/>
    </row>
    <row r="69" spans="1:25" x14ac:dyDescent="0.25">
      <c r="A69" s="75"/>
      <c r="C69" s="81"/>
      <c r="D69" s="81"/>
      <c r="I69" s="81"/>
      <c r="K69" s="82"/>
      <c r="L69" s="123"/>
      <c r="M69" s="3"/>
      <c r="N69" s="3"/>
      <c r="O69" s="3"/>
      <c r="P69" s="125"/>
      <c r="Q69" s="125"/>
      <c r="R69" s="127"/>
      <c r="S69" s="123"/>
      <c r="T69" s="3"/>
      <c r="W69" s="86"/>
      <c r="Y69" s="75"/>
    </row>
    <row r="70" spans="1:25" x14ac:dyDescent="0.25">
      <c r="A70" s="75"/>
      <c r="C70" s="81"/>
      <c r="D70" s="81"/>
      <c r="I70" s="81"/>
      <c r="K70" s="82"/>
      <c r="L70" s="123"/>
      <c r="M70" s="3"/>
      <c r="N70" s="3"/>
      <c r="O70" s="3"/>
      <c r="P70" s="125"/>
      <c r="Q70" s="125"/>
      <c r="R70" s="127"/>
      <c r="S70" s="123"/>
      <c r="T70" s="3"/>
      <c r="W70" s="86"/>
      <c r="Y70" s="75"/>
    </row>
    <row r="71" spans="1:25" x14ac:dyDescent="0.25">
      <c r="A71" s="75"/>
      <c r="C71" s="81"/>
      <c r="D71" s="81"/>
      <c r="I71" s="81"/>
      <c r="K71" s="82"/>
      <c r="L71" s="123"/>
      <c r="M71" s="3"/>
      <c r="N71" s="3"/>
      <c r="O71" s="3"/>
      <c r="P71" s="125"/>
      <c r="Q71" s="125"/>
      <c r="R71" s="127"/>
      <c r="S71" s="123"/>
      <c r="T71" s="3"/>
      <c r="W71" s="86"/>
      <c r="Y71" s="75"/>
    </row>
    <row r="72" spans="1:25" x14ac:dyDescent="0.25">
      <c r="A72" s="75"/>
      <c r="C72" s="81"/>
      <c r="D72" s="81"/>
      <c r="I72" s="81"/>
      <c r="K72" s="82"/>
      <c r="L72" s="123"/>
      <c r="M72" s="3"/>
      <c r="N72" s="3"/>
      <c r="O72" s="3"/>
      <c r="P72" s="125"/>
      <c r="Q72" s="125"/>
      <c r="R72" s="127"/>
      <c r="S72" s="123"/>
      <c r="T72" s="3"/>
      <c r="W72" s="86"/>
      <c r="Y72" s="75"/>
    </row>
    <row r="73" spans="1:25" x14ac:dyDescent="0.25">
      <c r="A73" s="75"/>
      <c r="C73" s="81"/>
      <c r="D73" s="81"/>
      <c r="I73" s="81"/>
      <c r="K73" s="82"/>
      <c r="L73" s="123"/>
      <c r="M73" s="3"/>
      <c r="N73" s="3"/>
      <c r="O73" s="3"/>
      <c r="P73" s="125"/>
      <c r="Q73" s="125"/>
      <c r="R73" s="127"/>
      <c r="S73" s="123"/>
      <c r="T73" s="3"/>
      <c r="W73" s="86"/>
      <c r="Y73" s="75"/>
    </row>
    <row r="74" spans="1:25" x14ac:dyDescent="0.25">
      <c r="A74" s="75"/>
      <c r="C74" s="81"/>
      <c r="D74" s="81"/>
      <c r="I74" s="81"/>
      <c r="K74" s="82"/>
      <c r="L74" s="123"/>
      <c r="M74" s="3"/>
      <c r="N74" s="3"/>
      <c r="O74" s="3"/>
      <c r="P74" s="125"/>
      <c r="Q74" s="125"/>
      <c r="R74" s="127"/>
      <c r="S74" s="123"/>
      <c r="T74" s="3"/>
      <c r="W74" s="86"/>
      <c r="Y74" s="75"/>
    </row>
    <row r="75" spans="1:25" x14ac:dyDescent="0.25">
      <c r="A75" s="75"/>
      <c r="C75" s="81"/>
      <c r="D75" s="81"/>
      <c r="I75" s="81"/>
      <c r="K75" s="82"/>
      <c r="L75" s="123"/>
      <c r="M75" s="3"/>
      <c r="N75" s="3"/>
      <c r="O75" s="3"/>
      <c r="P75" s="125"/>
      <c r="Q75" s="125"/>
      <c r="R75" s="127"/>
      <c r="S75" s="123"/>
      <c r="T75" s="3"/>
      <c r="W75" s="86"/>
      <c r="Y75" s="75"/>
    </row>
    <row r="76" spans="1:25" x14ac:dyDescent="0.25">
      <c r="A76" s="75"/>
      <c r="C76" s="81"/>
      <c r="D76" s="81"/>
      <c r="I76" s="81"/>
      <c r="K76" s="82"/>
      <c r="L76" s="123"/>
      <c r="M76" s="3"/>
      <c r="N76" s="3"/>
      <c r="O76" s="3"/>
      <c r="P76" s="125"/>
      <c r="Q76" s="125"/>
      <c r="R76" s="127"/>
      <c r="S76" s="123"/>
      <c r="T76" s="3"/>
      <c r="W76" s="86"/>
      <c r="Y76" s="75"/>
    </row>
    <row r="77" spans="1:25" x14ac:dyDescent="0.25">
      <c r="A77" s="75"/>
      <c r="C77" s="81"/>
      <c r="D77" s="81"/>
      <c r="I77" s="81"/>
      <c r="K77" s="82"/>
      <c r="L77" s="123"/>
      <c r="M77" s="3"/>
      <c r="N77" s="3"/>
      <c r="O77" s="3"/>
      <c r="P77" s="125"/>
      <c r="Q77" s="125"/>
      <c r="R77" s="127"/>
      <c r="S77" s="123"/>
      <c r="T77" s="3"/>
      <c r="W77" s="86"/>
      <c r="Y77" s="75"/>
    </row>
    <row r="78" spans="1:25" x14ac:dyDescent="0.25">
      <c r="A78" s="75"/>
      <c r="C78" s="81"/>
      <c r="D78" s="81"/>
      <c r="I78" s="81"/>
      <c r="K78" s="82"/>
      <c r="L78" s="123"/>
      <c r="M78" s="3"/>
      <c r="N78" s="3"/>
      <c r="O78" s="3"/>
      <c r="P78" s="125"/>
      <c r="Q78" s="125"/>
      <c r="R78" s="127"/>
      <c r="S78" s="123"/>
      <c r="T78" s="3"/>
      <c r="W78" s="86"/>
      <c r="Y78" s="75"/>
    </row>
    <row r="79" spans="1:25" x14ac:dyDescent="0.25">
      <c r="A79" s="75"/>
      <c r="C79" s="81"/>
      <c r="D79" s="81"/>
      <c r="I79" s="81"/>
      <c r="K79" s="82"/>
      <c r="L79" s="123"/>
      <c r="M79" s="3"/>
      <c r="N79" s="3"/>
      <c r="O79" s="3"/>
      <c r="P79" s="125"/>
      <c r="Q79" s="125"/>
      <c r="R79" s="127"/>
      <c r="S79" s="123"/>
      <c r="T79" s="3"/>
      <c r="W79" s="86"/>
      <c r="Y79" s="75"/>
    </row>
    <row r="80" spans="1:25" x14ac:dyDescent="0.25">
      <c r="A80" s="75"/>
      <c r="C80" s="81"/>
      <c r="D80" s="81"/>
      <c r="I80" s="81"/>
      <c r="K80" s="82"/>
      <c r="L80" s="123"/>
      <c r="M80" s="3"/>
      <c r="N80" s="3"/>
      <c r="O80" s="3"/>
      <c r="P80" s="125"/>
      <c r="Q80" s="125"/>
      <c r="R80" s="127"/>
      <c r="S80" s="123"/>
      <c r="T80" s="3"/>
      <c r="W80" s="86"/>
      <c r="Y80" s="75"/>
    </row>
    <row r="81" spans="1:25" x14ac:dyDescent="0.25">
      <c r="A81" s="75"/>
      <c r="C81" s="81"/>
      <c r="D81" s="81"/>
      <c r="I81" s="81"/>
      <c r="K81" s="82"/>
      <c r="L81" s="123"/>
      <c r="M81" s="3"/>
      <c r="N81" s="3"/>
      <c r="O81" s="3"/>
      <c r="P81" s="125"/>
      <c r="Q81" s="125"/>
      <c r="R81" s="127"/>
      <c r="S81" s="123"/>
      <c r="T81" s="3"/>
      <c r="W81" s="86"/>
      <c r="Y81" s="75"/>
    </row>
    <row r="82" spans="1:25" x14ac:dyDescent="0.25">
      <c r="A82" s="75"/>
      <c r="C82" s="81"/>
      <c r="D82" s="81"/>
      <c r="I82" s="81"/>
      <c r="K82" s="82"/>
      <c r="L82" s="123"/>
      <c r="M82" s="3"/>
      <c r="N82" s="3"/>
      <c r="O82" s="3"/>
      <c r="P82" s="125"/>
      <c r="Q82" s="125"/>
      <c r="R82" s="127"/>
      <c r="S82" s="123"/>
      <c r="T82" s="3"/>
      <c r="W82" s="86"/>
      <c r="Y82" s="75"/>
    </row>
    <row r="83" spans="1:25" x14ac:dyDescent="0.25">
      <c r="A83" s="75"/>
      <c r="C83" s="81"/>
      <c r="D83" s="81"/>
      <c r="I83" s="81"/>
      <c r="K83" s="82"/>
      <c r="L83" s="123"/>
      <c r="M83" s="3"/>
      <c r="N83" s="3"/>
      <c r="O83" s="3"/>
      <c r="P83" s="125"/>
      <c r="Q83" s="125"/>
      <c r="R83" s="127"/>
      <c r="S83" s="123"/>
      <c r="T83" s="3"/>
      <c r="W83" s="86"/>
      <c r="Y83" s="75"/>
    </row>
    <row r="84" spans="1:25" x14ac:dyDescent="0.25">
      <c r="A84" s="75"/>
      <c r="C84" s="81"/>
      <c r="D84" s="81"/>
      <c r="I84" s="81"/>
      <c r="K84" s="82"/>
      <c r="L84" s="123"/>
      <c r="M84" s="3"/>
      <c r="N84" s="3"/>
      <c r="O84" s="3"/>
      <c r="P84" s="125"/>
      <c r="Q84" s="125"/>
      <c r="R84" s="127"/>
      <c r="S84" s="123"/>
      <c r="T84" s="3"/>
      <c r="W84" s="86"/>
      <c r="Y84" s="75"/>
    </row>
    <row r="85" spans="1:25" x14ac:dyDescent="0.25">
      <c r="A85" s="75"/>
      <c r="C85" s="81"/>
      <c r="D85" s="81"/>
      <c r="I85" s="81"/>
      <c r="K85" s="82"/>
      <c r="L85" s="123"/>
      <c r="M85" s="3"/>
      <c r="N85" s="3"/>
      <c r="O85" s="3"/>
      <c r="P85" s="125"/>
      <c r="Q85" s="125"/>
      <c r="R85" s="127"/>
      <c r="S85" s="123"/>
      <c r="T85" s="3"/>
      <c r="W85" s="86"/>
      <c r="Y85" s="75"/>
    </row>
    <row r="86" spans="1:25" x14ac:dyDescent="0.25">
      <c r="A86" s="75"/>
      <c r="C86" s="81"/>
      <c r="D86" s="81"/>
      <c r="I86" s="81"/>
      <c r="K86" s="82"/>
      <c r="L86" s="123"/>
      <c r="M86" s="3"/>
      <c r="N86" s="3"/>
      <c r="O86" s="3"/>
      <c r="P86" s="125"/>
      <c r="Q86" s="125"/>
      <c r="R86" s="127"/>
      <c r="S86" s="123"/>
      <c r="T86" s="3"/>
      <c r="W86" s="86"/>
      <c r="Y86" s="75"/>
    </row>
    <row r="87" spans="1:25" x14ac:dyDescent="0.25">
      <c r="A87" s="75"/>
      <c r="C87" s="81"/>
      <c r="D87" s="81"/>
      <c r="I87" s="81"/>
      <c r="K87" s="82"/>
      <c r="L87" s="123"/>
      <c r="M87" s="3"/>
      <c r="N87" s="3"/>
      <c r="O87" s="3"/>
      <c r="P87" s="125"/>
      <c r="Q87" s="125"/>
      <c r="R87" s="127"/>
      <c r="S87" s="123"/>
      <c r="T87" s="3"/>
      <c r="W87" s="86"/>
      <c r="Y87" s="75"/>
    </row>
    <row r="88" spans="1:25" x14ac:dyDescent="0.25">
      <c r="A88" s="75"/>
      <c r="C88" s="81"/>
      <c r="D88" s="81"/>
      <c r="I88" s="81"/>
      <c r="K88" s="82"/>
      <c r="L88" s="123"/>
      <c r="M88" s="3"/>
      <c r="N88" s="3"/>
      <c r="O88" s="3"/>
      <c r="P88" s="125"/>
      <c r="Q88" s="125"/>
      <c r="R88" s="127"/>
      <c r="S88" s="123"/>
      <c r="T88" s="3"/>
      <c r="W88" s="86"/>
      <c r="Y88" s="75"/>
    </row>
    <row r="89" spans="1:25" x14ac:dyDescent="0.25">
      <c r="A89" s="75"/>
      <c r="C89" s="81"/>
      <c r="D89" s="81"/>
      <c r="I89" s="81"/>
      <c r="K89" s="82"/>
      <c r="L89" s="123"/>
      <c r="M89" s="3"/>
      <c r="N89" s="3"/>
      <c r="O89" s="3"/>
      <c r="P89" s="125"/>
      <c r="Q89" s="125"/>
      <c r="R89" s="127"/>
      <c r="S89" s="123"/>
      <c r="T89" s="3"/>
      <c r="W89" s="86"/>
      <c r="Y89" s="75"/>
    </row>
    <row r="90" spans="1:25" x14ac:dyDescent="0.25">
      <c r="A90" s="75"/>
      <c r="C90" s="81"/>
      <c r="D90" s="81"/>
      <c r="I90" s="81"/>
      <c r="K90" s="82"/>
      <c r="L90" s="123"/>
      <c r="M90" s="3"/>
      <c r="N90" s="3"/>
      <c r="O90" s="3"/>
      <c r="P90" s="125"/>
      <c r="Q90" s="125"/>
      <c r="R90" s="127"/>
      <c r="S90" s="123"/>
      <c r="T90" s="3"/>
      <c r="W90" s="86"/>
      <c r="Y90" s="75"/>
    </row>
    <row r="91" spans="1:25" x14ac:dyDescent="0.25">
      <c r="A91" s="75"/>
      <c r="C91" s="81"/>
      <c r="D91" s="81"/>
      <c r="I91" s="81"/>
      <c r="K91" s="82"/>
      <c r="L91" s="123"/>
      <c r="M91" s="3"/>
      <c r="N91" s="3"/>
      <c r="O91" s="3"/>
      <c r="P91" s="125"/>
      <c r="Q91" s="125"/>
      <c r="R91" s="127"/>
      <c r="S91" s="123"/>
      <c r="T91" s="3"/>
      <c r="W91" s="86"/>
      <c r="Y91" s="75"/>
    </row>
    <row r="92" spans="1:25" x14ac:dyDescent="0.25">
      <c r="A92" s="75"/>
      <c r="C92" s="81"/>
      <c r="D92" s="81"/>
      <c r="I92" s="81"/>
      <c r="K92" s="82"/>
      <c r="L92" s="123"/>
      <c r="M92" s="3"/>
      <c r="N92" s="3"/>
      <c r="O92" s="3"/>
      <c r="P92" s="125"/>
      <c r="Q92" s="125"/>
      <c r="R92" s="127"/>
      <c r="S92" s="123"/>
      <c r="T92" s="3"/>
      <c r="W92" s="86"/>
      <c r="Y92" s="75"/>
    </row>
    <row r="93" spans="1:25" x14ac:dyDescent="0.25">
      <c r="A93" s="75"/>
      <c r="C93" s="81"/>
      <c r="D93" s="81"/>
      <c r="I93" s="81"/>
      <c r="K93" s="82"/>
      <c r="L93" s="123"/>
      <c r="M93" s="3"/>
      <c r="N93" s="3"/>
      <c r="O93" s="3"/>
      <c r="P93" s="125"/>
      <c r="Q93" s="125"/>
      <c r="R93" s="127"/>
      <c r="S93" s="123"/>
      <c r="T93" s="3"/>
      <c r="W93" s="86"/>
      <c r="Y93" s="75"/>
    </row>
    <row r="94" spans="1:25" x14ac:dyDescent="0.25">
      <c r="A94" s="75"/>
      <c r="C94" s="81"/>
      <c r="D94" s="81"/>
      <c r="I94" s="81"/>
      <c r="K94" s="82"/>
      <c r="L94" s="123"/>
      <c r="M94" s="3"/>
      <c r="N94" s="3"/>
      <c r="O94" s="3"/>
      <c r="P94" s="125"/>
      <c r="Q94" s="125"/>
      <c r="R94" s="127"/>
      <c r="S94" s="123"/>
      <c r="T94" s="3"/>
      <c r="W94" s="86"/>
      <c r="Y94" s="75"/>
    </row>
    <row r="95" spans="1:25" x14ac:dyDescent="0.25">
      <c r="A95" s="75"/>
      <c r="C95" s="81"/>
      <c r="D95" s="81"/>
      <c r="I95" s="81"/>
      <c r="K95" s="82"/>
      <c r="L95" s="123"/>
      <c r="M95" s="3"/>
      <c r="N95" s="3"/>
      <c r="O95" s="3"/>
      <c r="P95" s="125"/>
      <c r="Q95" s="125"/>
      <c r="R95" s="127"/>
      <c r="S95" s="123"/>
      <c r="T95" s="3"/>
      <c r="W95" s="86"/>
      <c r="Y95" s="75"/>
    </row>
    <row r="96" spans="1:25" x14ac:dyDescent="0.25">
      <c r="A96" s="75"/>
      <c r="C96" s="81"/>
      <c r="D96" s="81"/>
      <c r="I96" s="81"/>
      <c r="K96" s="82"/>
      <c r="L96" s="123"/>
      <c r="M96" s="3"/>
      <c r="N96" s="3"/>
      <c r="O96" s="3"/>
      <c r="P96" s="125"/>
      <c r="Q96" s="125"/>
      <c r="R96" s="127"/>
      <c r="S96" s="123"/>
      <c r="T96" s="3"/>
      <c r="W96" s="86"/>
      <c r="Y96" s="75"/>
    </row>
    <row r="97" spans="1:25" x14ac:dyDescent="0.25">
      <c r="A97" s="75"/>
      <c r="C97" s="81"/>
      <c r="D97" s="81"/>
      <c r="I97" s="81"/>
      <c r="K97" s="82"/>
      <c r="L97" s="123"/>
      <c r="M97" s="3"/>
      <c r="N97" s="3"/>
      <c r="O97" s="3"/>
      <c r="P97" s="125"/>
      <c r="Q97" s="125"/>
      <c r="R97" s="127"/>
      <c r="S97" s="123"/>
      <c r="T97" s="3"/>
      <c r="W97" s="86"/>
      <c r="Y97" s="75"/>
    </row>
    <row r="98" spans="1:25" x14ac:dyDescent="0.25">
      <c r="A98" s="75"/>
      <c r="C98" s="81"/>
      <c r="D98" s="81"/>
      <c r="I98" s="81"/>
      <c r="K98" s="82"/>
      <c r="L98" s="123"/>
      <c r="M98" s="3"/>
      <c r="N98" s="3"/>
      <c r="O98" s="3"/>
      <c r="P98" s="125"/>
      <c r="Q98" s="125"/>
      <c r="R98" s="127"/>
      <c r="S98" s="123"/>
      <c r="T98" s="3"/>
      <c r="W98" s="86"/>
      <c r="Y98" s="75"/>
    </row>
    <row r="99" spans="1:25" x14ac:dyDescent="0.25">
      <c r="A99" s="75"/>
      <c r="C99" s="81"/>
      <c r="D99" s="81"/>
      <c r="I99" s="81"/>
      <c r="K99" s="82"/>
      <c r="L99" s="123"/>
      <c r="M99" s="3"/>
      <c r="N99" s="3"/>
      <c r="O99" s="3"/>
      <c r="P99" s="125"/>
      <c r="Q99" s="125"/>
      <c r="R99" s="127"/>
      <c r="S99" s="123"/>
      <c r="T99" s="3"/>
      <c r="W99" s="86"/>
      <c r="Y99" s="75"/>
    </row>
    <row r="100" spans="1:25" x14ac:dyDescent="0.25">
      <c r="A100" s="75"/>
      <c r="C100" s="81"/>
      <c r="D100" s="81"/>
      <c r="I100" s="81"/>
      <c r="K100" s="82"/>
      <c r="L100" s="123"/>
      <c r="M100" s="3"/>
      <c r="N100" s="3"/>
      <c r="O100" s="3"/>
      <c r="P100" s="125"/>
      <c r="Q100" s="125"/>
      <c r="R100" s="127"/>
      <c r="S100" s="123"/>
      <c r="T100" s="3"/>
      <c r="W100" s="86"/>
      <c r="Y100" s="75"/>
    </row>
    <row r="101" spans="1:25" x14ac:dyDescent="0.25">
      <c r="A101" s="75"/>
      <c r="C101" s="81"/>
      <c r="D101" s="81"/>
      <c r="I101" s="81"/>
      <c r="K101" s="82"/>
      <c r="L101" s="123"/>
      <c r="M101" s="3"/>
      <c r="N101" s="3"/>
      <c r="O101" s="3"/>
      <c r="P101" s="125"/>
      <c r="Q101" s="125"/>
      <c r="R101" s="127"/>
      <c r="S101" s="123"/>
      <c r="T101" s="3"/>
      <c r="W101" s="86"/>
      <c r="Y101" s="75"/>
    </row>
    <row r="102" spans="1:25" x14ac:dyDescent="0.25">
      <c r="A102" s="75"/>
      <c r="C102" s="81"/>
      <c r="D102" s="81"/>
      <c r="I102" s="81"/>
      <c r="K102" s="82"/>
      <c r="L102" s="123"/>
      <c r="M102" s="3"/>
      <c r="N102" s="3"/>
      <c r="O102" s="3"/>
      <c r="P102" s="125"/>
      <c r="Q102" s="125"/>
      <c r="R102" s="127"/>
      <c r="S102" s="123"/>
      <c r="T102" s="3"/>
      <c r="W102" s="86"/>
      <c r="Y102" s="75"/>
    </row>
    <row r="103" spans="1:25" x14ac:dyDescent="0.25">
      <c r="A103" s="75"/>
      <c r="C103" s="81"/>
      <c r="D103" s="81"/>
      <c r="I103" s="81"/>
      <c r="K103" s="82"/>
      <c r="L103" s="123"/>
      <c r="M103" s="3"/>
      <c r="N103" s="3"/>
      <c r="O103" s="3"/>
      <c r="P103" s="125"/>
      <c r="Q103" s="125"/>
      <c r="R103" s="127"/>
      <c r="S103" s="123"/>
      <c r="T103" s="3"/>
      <c r="W103" s="86"/>
      <c r="Y103" s="75"/>
    </row>
    <row r="104" spans="1:25" x14ac:dyDescent="0.25">
      <c r="A104" s="75"/>
      <c r="C104" s="81"/>
      <c r="D104" s="81"/>
      <c r="I104" s="81"/>
      <c r="K104" s="82"/>
      <c r="L104" s="123"/>
      <c r="M104" s="3"/>
      <c r="N104" s="3"/>
      <c r="O104" s="3"/>
      <c r="P104" s="125"/>
      <c r="Q104" s="125"/>
      <c r="R104" s="127"/>
      <c r="S104" s="123"/>
      <c r="T104" s="3"/>
      <c r="W104" s="86"/>
      <c r="Y104" s="75"/>
    </row>
    <row r="105" spans="1:25" x14ac:dyDescent="0.25">
      <c r="A105" s="75"/>
      <c r="C105" s="81"/>
      <c r="D105" s="81"/>
      <c r="I105" s="81"/>
      <c r="K105" s="82"/>
      <c r="L105" s="123"/>
      <c r="M105" s="3"/>
      <c r="N105" s="3"/>
      <c r="O105" s="3"/>
      <c r="P105" s="125"/>
      <c r="Q105" s="125"/>
      <c r="R105" s="127"/>
      <c r="S105" s="123"/>
      <c r="T105" s="3"/>
      <c r="W105" s="86"/>
      <c r="Y105" s="75"/>
    </row>
    <row r="106" spans="1:25" x14ac:dyDescent="0.25">
      <c r="A106" s="75"/>
      <c r="C106" s="81"/>
      <c r="D106" s="81"/>
      <c r="I106" s="81"/>
      <c r="K106" s="82"/>
      <c r="L106" s="123"/>
      <c r="M106" s="3"/>
      <c r="N106" s="3"/>
      <c r="O106" s="3"/>
      <c r="P106" s="125"/>
      <c r="Q106" s="125"/>
      <c r="R106" s="127"/>
      <c r="S106" s="123"/>
      <c r="T106" s="3"/>
      <c r="W106" s="86"/>
      <c r="Y106" s="75"/>
    </row>
    <row r="107" spans="1:25" x14ac:dyDescent="0.25">
      <c r="A107" s="75"/>
      <c r="C107" s="81"/>
      <c r="D107" s="81"/>
      <c r="I107" s="81"/>
      <c r="K107" s="82"/>
      <c r="L107" s="123"/>
      <c r="M107" s="3"/>
      <c r="N107" s="3"/>
      <c r="O107" s="3"/>
      <c r="P107" s="125"/>
      <c r="Q107" s="125"/>
      <c r="R107" s="127"/>
      <c r="S107" s="123"/>
      <c r="T107" s="3"/>
      <c r="W107" s="86"/>
      <c r="Y107" s="75"/>
    </row>
    <row r="108" spans="1:25" x14ac:dyDescent="0.25">
      <c r="A108" s="75"/>
      <c r="C108" s="81"/>
      <c r="D108" s="81"/>
      <c r="I108" s="81"/>
      <c r="K108" s="82"/>
      <c r="L108" s="123"/>
      <c r="M108" s="3"/>
      <c r="N108" s="3"/>
      <c r="O108" s="3"/>
      <c r="P108" s="125"/>
      <c r="Q108" s="125"/>
      <c r="R108" s="127"/>
      <c r="S108" s="123"/>
      <c r="T108" s="3"/>
      <c r="W108" s="86"/>
      <c r="Y108" s="75"/>
    </row>
    <row r="109" spans="1:25" x14ac:dyDescent="0.25">
      <c r="A109" s="75"/>
      <c r="C109" s="81"/>
      <c r="D109" s="81"/>
      <c r="I109" s="81"/>
      <c r="K109" s="82"/>
      <c r="L109" s="123"/>
      <c r="M109" s="3"/>
      <c r="N109" s="3"/>
      <c r="O109" s="3"/>
      <c r="P109" s="125"/>
      <c r="Q109" s="125"/>
      <c r="R109" s="127"/>
      <c r="S109" s="123"/>
      <c r="T109" s="3"/>
      <c r="W109" s="86"/>
      <c r="Y109" s="75"/>
    </row>
    <row r="110" spans="1:25" x14ac:dyDescent="0.25">
      <c r="A110" s="75"/>
      <c r="C110" s="81"/>
      <c r="D110" s="81"/>
      <c r="I110" s="81"/>
      <c r="K110" s="82"/>
      <c r="L110" s="123"/>
      <c r="M110" s="3"/>
      <c r="N110" s="3"/>
      <c r="O110" s="3"/>
      <c r="P110" s="125"/>
      <c r="Q110" s="125"/>
      <c r="R110" s="127"/>
      <c r="S110" s="123"/>
      <c r="T110" s="3"/>
      <c r="W110" s="86"/>
      <c r="Y110" s="75"/>
    </row>
    <row r="111" spans="1:25" x14ac:dyDescent="0.25">
      <c r="A111" s="75"/>
      <c r="C111" s="81"/>
      <c r="D111" s="81"/>
      <c r="I111" s="81"/>
      <c r="K111" s="82"/>
      <c r="L111" s="123"/>
      <c r="M111" s="3"/>
      <c r="N111" s="3"/>
      <c r="O111" s="3"/>
      <c r="P111" s="125"/>
      <c r="Q111" s="125"/>
      <c r="R111" s="127"/>
      <c r="S111" s="123"/>
      <c r="T111" s="3"/>
      <c r="W111" s="86"/>
      <c r="Y111" s="75"/>
    </row>
    <row r="112" spans="1:25" x14ac:dyDescent="0.25">
      <c r="A112" s="75"/>
      <c r="C112" s="81"/>
      <c r="D112" s="81"/>
      <c r="I112" s="81"/>
      <c r="K112" s="82"/>
      <c r="L112" s="123"/>
      <c r="M112" s="3"/>
      <c r="N112" s="3"/>
      <c r="O112" s="3"/>
      <c r="P112" s="125"/>
      <c r="Q112" s="125"/>
      <c r="R112" s="127"/>
      <c r="S112" s="123"/>
      <c r="T112" s="3"/>
      <c r="W112" s="86"/>
      <c r="Y112" s="75"/>
    </row>
    <row r="113" spans="1:25" x14ac:dyDescent="0.25">
      <c r="A113" s="75"/>
      <c r="C113" s="81"/>
      <c r="D113" s="81"/>
      <c r="I113" s="81"/>
      <c r="K113" s="82"/>
      <c r="L113" s="123"/>
      <c r="M113" s="3"/>
      <c r="N113" s="3"/>
      <c r="O113" s="3"/>
      <c r="P113" s="125"/>
      <c r="Q113" s="125"/>
      <c r="R113" s="127"/>
      <c r="S113" s="123"/>
      <c r="T113" s="3"/>
      <c r="W113" s="86"/>
      <c r="Y113" s="75"/>
    </row>
    <row r="114" spans="1:25" x14ac:dyDescent="0.25">
      <c r="A114" s="75"/>
      <c r="C114" s="81"/>
      <c r="D114" s="81"/>
      <c r="I114" s="81"/>
      <c r="K114" s="82"/>
      <c r="L114" s="123"/>
      <c r="M114" s="3"/>
      <c r="N114" s="3"/>
      <c r="O114" s="3"/>
      <c r="P114" s="125"/>
      <c r="Q114" s="125"/>
      <c r="R114" s="127"/>
      <c r="S114" s="123"/>
      <c r="T114" s="3"/>
      <c r="W114" s="86"/>
      <c r="Y114" s="75"/>
    </row>
    <row r="115" spans="1:25" x14ac:dyDescent="0.25">
      <c r="A115" s="75"/>
      <c r="C115" s="81"/>
      <c r="D115" s="81"/>
      <c r="I115" s="81"/>
      <c r="K115" s="82"/>
      <c r="L115" s="123"/>
      <c r="M115" s="3"/>
      <c r="N115" s="3"/>
      <c r="O115" s="3"/>
      <c r="P115" s="125"/>
      <c r="Q115" s="125"/>
      <c r="R115" s="127"/>
      <c r="S115" s="123"/>
      <c r="T115" s="3"/>
      <c r="W115" s="86"/>
      <c r="Y115" s="75"/>
    </row>
    <row r="116" spans="1:25" x14ac:dyDescent="0.25">
      <c r="A116" s="75"/>
      <c r="C116" s="81"/>
      <c r="D116" s="81"/>
      <c r="I116" s="81"/>
      <c r="K116" s="82"/>
      <c r="L116" s="123"/>
      <c r="M116" s="3"/>
      <c r="N116" s="3"/>
      <c r="O116" s="3"/>
      <c r="P116" s="125"/>
      <c r="Q116" s="125"/>
      <c r="R116" s="127"/>
      <c r="S116" s="123"/>
      <c r="T116" s="3"/>
      <c r="W116" s="86"/>
      <c r="Y116" s="75"/>
    </row>
    <row r="117" spans="1:25" x14ac:dyDescent="0.25">
      <c r="A117" s="75"/>
      <c r="C117" s="81"/>
      <c r="D117" s="81"/>
      <c r="I117" s="81"/>
      <c r="K117" s="82"/>
      <c r="L117" s="123"/>
      <c r="M117" s="3"/>
      <c r="N117" s="3"/>
      <c r="O117" s="3"/>
      <c r="P117" s="125"/>
      <c r="Q117" s="125"/>
      <c r="R117" s="127"/>
      <c r="S117" s="123"/>
      <c r="T117" s="3"/>
      <c r="W117" s="86"/>
      <c r="Y117" s="75"/>
    </row>
    <row r="118" spans="1:25" x14ac:dyDescent="0.25">
      <c r="A118" s="75"/>
      <c r="C118" s="81"/>
      <c r="D118" s="81"/>
      <c r="I118" s="81"/>
      <c r="K118" s="82"/>
      <c r="L118" s="123"/>
      <c r="M118" s="3"/>
      <c r="N118" s="3"/>
      <c r="O118" s="3"/>
      <c r="P118" s="125"/>
      <c r="Q118" s="125"/>
      <c r="R118" s="127"/>
      <c r="S118" s="123"/>
      <c r="T118" s="3"/>
      <c r="W118" s="86"/>
      <c r="Y118" s="75"/>
    </row>
    <row r="119" spans="1:25" x14ac:dyDescent="0.25">
      <c r="A119" s="75"/>
      <c r="C119" s="81"/>
      <c r="D119" s="81"/>
      <c r="I119" s="81"/>
      <c r="K119" s="82"/>
      <c r="L119" s="123"/>
      <c r="M119" s="3"/>
      <c r="N119" s="3"/>
      <c r="O119" s="3"/>
      <c r="P119" s="125"/>
      <c r="Q119" s="125"/>
      <c r="R119" s="127"/>
      <c r="S119" s="123"/>
      <c r="T119" s="3"/>
      <c r="W119" s="86"/>
      <c r="Y119" s="75"/>
    </row>
    <row r="120" spans="1:25" x14ac:dyDescent="0.25">
      <c r="A120" s="75"/>
      <c r="C120" s="81"/>
      <c r="D120" s="81"/>
      <c r="I120" s="81"/>
      <c r="K120" s="82"/>
      <c r="L120" s="123"/>
      <c r="M120" s="3"/>
      <c r="N120" s="3"/>
      <c r="O120" s="3"/>
      <c r="P120" s="125"/>
      <c r="Q120" s="125"/>
      <c r="R120" s="127"/>
      <c r="S120" s="123"/>
      <c r="T120" s="3"/>
      <c r="W120" s="86"/>
      <c r="Y120" s="75"/>
    </row>
    <row r="121" spans="1:25" x14ac:dyDescent="0.25">
      <c r="A121" s="75"/>
      <c r="C121" s="81"/>
      <c r="D121" s="81"/>
      <c r="I121" s="81"/>
      <c r="K121" s="82"/>
      <c r="L121" s="123"/>
      <c r="M121" s="3"/>
      <c r="N121" s="3"/>
      <c r="O121" s="3"/>
      <c r="P121" s="125"/>
      <c r="Q121" s="125"/>
      <c r="R121" s="127"/>
      <c r="S121" s="123"/>
      <c r="T121" s="3"/>
      <c r="W121" s="86"/>
      <c r="Y121" s="75"/>
    </row>
    <row r="122" spans="1:25" x14ac:dyDescent="0.25">
      <c r="A122" s="75"/>
      <c r="C122" s="81"/>
      <c r="D122" s="81"/>
      <c r="I122" s="81"/>
      <c r="K122" s="82"/>
      <c r="L122" s="123"/>
      <c r="M122" s="3"/>
      <c r="N122" s="3"/>
      <c r="O122" s="3"/>
      <c r="P122" s="125"/>
      <c r="Q122" s="125"/>
      <c r="R122" s="127"/>
      <c r="S122" s="123"/>
      <c r="T122" s="3"/>
      <c r="W122" s="86"/>
      <c r="Y122" s="75"/>
    </row>
    <row r="123" spans="1:25" x14ac:dyDescent="0.25">
      <c r="A123" s="75"/>
      <c r="C123" s="81"/>
      <c r="D123" s="81"/>
      <c r="I123" s="81"/>
      <c r="K123" s="82"/>
      <c r="L123" s="123"/>
      <c r="M123" s="3"/>
      <c r="N123" s="3"/>
      <c r="O123" s="3"/>
      <c r="P123" s="125"/>
      <c r="Q123" s="125"/>
      <c r="R123" s="127"/>
      <c r="S123" s="123"/>
      <c r="T123" s="3"/>
      <c r="W123" s="86"/>
      <c r="Y123" s="75"/>
    </row>
    <row r="124" spans="1:25" x14ac:dyDescent="0.25">
      <c r="A124" s="75"/>
      <c r="C124" s="81"/>
      <c r="D124" s="81"/>
      <c r="I124" s="81"/>
      <c r="K124" s="82"/>
      <c r="L124" s="123"/>
      <c r="M124" s="3"/>
      <c r="N124" s="3"/>
      <c r="O124" s="3"/>
      <c r="P124" s="125"/>
      <c r="Q124" s="125"/>
      <c r="R124" s="127"/>
      <c r="S124" s="123"/>
      <c r="T124" s="3"/>
      <c r="W124" s="86"/>
      <c r="Y124" s="75"/>
    </row>
    <row r="125" spans="1:25" x14ac:dyDescent="0.25">
      <c r="A125" s="75"/>
      <c r="C125" s="81"/>
      <c r="D125" s="81"/>
      <c r="I125" s="81"/>
      <c r="K125" s="82"/>
      <c r="L125" s="123"/>
      <c r="M125" s="3"/>
      <c r="N125" s="3"/>
      <c r="O125" s="3"/>
      <c r="P125" s="125"/>
      <c r="Q125" s="125"/>
      <c r="R125" s="127"/>
      <c r="S125" s="123"/>
      <c r="T125" s="3"/>
      <c r="W125" s="86"/>
      <c r="Y125" s="75"/>
    </row>
    <row r="126" spans="1:25" x14ac:dyDescent="0.25">
      <c r="A126" s="75"/>
      <c r="C126" s="81"/>
      <c r="D126" s="81"/>
      <c r="I126" s="81"/>
      <c r="K126" s="82"/>
      <c r="L126" s="123"/>
      <c r="M126" s="3"/>
      <c r="N126" s="3"/>
      <c r="O126" s="3"/>
      <c r="P126" s="125"/>
      <c r="Q126" s="125"/>
      <c r="R126" s="127"/>
      <c r="S126" s="123"/>
      <c r="T126" s="3"/>
      <c r="W126" s="86"/>
      <c r="Y126" s="75"/>
    </row>
    <row r="127" spans="1:25" x14ac:dyDescent="0.25">
      <c r="A127" s="75"/>
      <c r="C127" s="81"/>
      <c r="D127" s="81"/>
      <c r="I127" s="81"/>
      <c r="K127" s="82"/>
      <c r="L127" s="123"/>
      <c r="M127" s="3"/>
      <c r="N127" s="3"/>
      <c r="O127" s="3"/>
      <c r="P127" s="125"/>
      <c r="Q127" s="125"/>
      <c r="R127" s="127"/>
      <c r="S127" s="123"/>
      <c r="T127" s="3"/>
      <c r="W127" s="86"/>
      <c r="Y127" s="75"/>
    </row>
    <row r="128" spans="1:25" x14ac:dyDescent="0.25">
      <c r="A128" s="75"/>
      <c r="C128" s="81"/>
      <c r="D128" s="81"/>
      <c r="I128" s="81"/>
      <c r="K128" s="82"/>
      <c r="L128" s="123"/>
      <c r="M128" s="3"/>
      <c r="N128" s="3"/>
      <c r="O128" s="3"/>
      <c r="P128" s="125"/>
      <c r="Q128" s="125"/>
      <c r="R128" s="127"/>
      <c r="S128" s="123"/>
      <c r="T128" s="3"/>
      <c r="W128" s="86"/>
      <c r="Y128" s="75"/>
    </row>
    <row r="129" spans="1:25" x14ac:dyDescent="0.25">
      <c r="A129" s="75"/>
      <c r="C129" s="81"/>
      <c r="D129" s="81"/>
      <c r="I129" s="81"/>
      <c r="K129" s="82"/>
      <c r="L129" s="123"/>
      <c r="M129" s="3"/>
      <c r="N129" s="3"/>
      <c r="O129" s="3"/>
      <c r="P129" s="125"/>
      <c r="Q129" s="125"/>
      <c r="R129" s="127"/>
      <c r="S129" s="123"/>
      <c r="T129" s="3"/>
      <c r="W129" s="86"/>
      <c r="Y129" s="75"/>
    </row>
    <row r="130" spans="1:25" x14ac:dyDescent="0.25">
      <c r="A130" s="75"/>
      <c r="C130" s="81"/>
      <c r="D130" s="81"/>
      <c r="I130" s="81"/>
      <c r="K130" s="82"/>
      <c r="L130" s="123"/>
      <c r="M130" s="3"/>
      <c r="N130" s="3"/>
      <c r="O130" s="3"/>
      <c r="P130" s="125"/>
      <c r="Q130" s="125"/>
      <c r="R130" s="127"/>
      <c r="S130" s="123"/>
      <c r="T130" s="3"/>
      <c r="W130" s="86"/>
      <c r="Y130" s="75"/>
    </row>
    <row r="131" spans="1:25" x14ac:dyDescent="0.25">
      <c r="A131" s="75"/>
      <c r="C131" s="81"/>
      <c r="D131" s="81"/>
      <c r="I131" s="81"/>
      <c r="K131" s="82"/>
      <c r="L131" s="123"/>
      <c r="M131" s="3"/>
      <c r="N131" s="3"/>
      <c r="O131" s="3"/>
      <c r="P131" s="125"/>
      <c r="Q131" s="125"/>
      <c r="R131" s="127"/>
      <c r="S131" s="123"/>
      <c r="T131" s="3"/>
      <c r="W131" s="86"/>
      <c r="Y131" s="75"/>
    </row>
    <row r="132" spans="1:25" x14ac:dyDescent="0.25">
      <c r="A132" s="75"/>
      <c r="C132" s="81"/>
      <c r="D132" s="81"/>
      <c r="I132" s="81"/>
      <c r="K132" s="82"/>
      <c r="L132" s="123"/>
      <c r="M132" s="3"/>
      <c r="N132" s="3"/>
      <c r="O132" s="3"/>
      <c r="P132" s="125"/>
      <c r="Q132" s="125"/>
      <c r="R132" s="127"/>
      <c r="S132" s="123"/>
      <c r="T132" s="3"/>
      <c r="W132" s="86"/>
      <c r="Y132" s="75"/>
    </row>
    <row r="133" spans="1:25" x14ac:dyDescent="0.25">
      <c r="A133" s="75"/>
      <c r="C133" s="81"/>
      <c r="D133" s="81"/>
      <c r="I133" s="81"/>
      <c r="K133" s="82"/>
      <c r="L133" s="123"/>
      <c r="M133" s="3"/>
      <c r="N133" s="3"/>
      <c r="O133" s="3"/>
      <c r="P133" s="125"/>
      <c r="Q133" s="125"/>
      <c r="R133" s="127"/>
      <c r="S133" s="123"/>
      <c r="T133" s="3"/>
      <c r="W133" s="86"/>
      <c r="Y133" s="75"/>
    </row>
    <row r="134" spans="1:25" x14ac:dyDescent="0.25">
      <c r="A134" s="75"/>
      <c r="C134" s="81"/>
      <c r="D134" s="81"/>
      <c r="I134" s="81"/>
      <c r="K134" s="82"/>
      <c r="L134" s="123"/>
      <c r="M134" s="3"/>
      <c r="N134" s="3"/>
      <c r="O134" s="3"/>
      <c r="P134" s="125"/>
      <c r="Q134" s="125"/>
      <c r="R134" s="127"/>
      <c r="S134" s="123"/>
      <c r="T134" s="3"/>
      <c r="W134" s="86"/>
      <c r="Y134" s="75"/>
    </row>
    <row r="135" spans="1:25" x14ac:dyDescent="0.25">
      <c r="A135" s="75"/>
      <c r="C135" s="81"/>
      <c r="D135" s="81"/>
      <c r="I135" s="81"/>
      <c r="K135" s="82"/>
      <c r="L135" s="123"/>
      <c r="M135" s="3"/>
      <c r="N135" s="3"/>
      <c r="O135" s="3"/>
      <c r="P135" s="125"/>
      <c r="Q135" s="125"/>
      <c r="R135" s="127"/>
      <c r="S135" s="123"/>
      <c r="T135" s="3"/>
      <c r="W135" s="86"/>
      <c r="Y135" s="75"/>
    </row>
    <row r="136" spans="1:25" x14ac:dyDescent="0.25">
      <c r="A136" s="75"/>
      <c r="C136" s="81"/>
      <c r="D136" s="81"/>
      <c r="I136" s="81"/>
      <c r="K136" s="82"/>
      <c r="L136" s="123"/>
      <c r="M136" s="3"/>
      <c r="N136" s="3"/>
      <c r="O136" s="3"/>
      <c r="P136" s="125"/>
      <c r="Q136" s="125"/>
      <c r="R136" s="127"/>
      <c r="S136" s="123"/>
      <c r="T136" s="3"/>
      <c r="W136" s="86"/>
      <c r="Y136" s="75"/>
    </row>
    <row r="137" spans="1:25" x14ac:dyDescent="0.25">
      <c r="A137" s="75"/>
      <c r="C137" s="81"/>
      <c r="D137" s="81"/>
      <c r="I137" s="81"/>
      <c r="K137" s="82"/>
      <c r="L137" s="123"/>
      <c r="M137" s="3"/>
      <c r="N137" s="3"/>
      <c r="O137" s="3"/>
      <c r="P137" s="125"/>
      <c r="Q137" s="125"/>
      <c r="R137" s="127"/>
      <c r="S137" s="123"/>
      <c r="T137" s="3"/>
      <c r="W137" s="86"/>
      <c r="Y137" s="75"/>
    </row>
    <row r="138" spans="1:25" x14ac:dyDescent="0.25">
      <c r="A138" s="75"/>
      <c r="C138" s="81"/>
      <c r="D138" s="81"/>
      <c r="I138" s="81"/>
      <c r="K138" s="82"/>
      <c r="L138" s="123"/>
      <c r="M138" s="3"/>
      <c r="N138" s="3"/>
      <c r="O138" s="3"/>
      <c r="P138" s="125"/>
      <c r="Q138" s="125"/>
      <c r="R138" s="127"/>
      <c r="S138" s="123"/>
      <c r="T138" s="3"/>
      <c r="W138" s="86"/>
      <c r="Y138" s="75"/>
    </row>
    <row r="139" spans="1:25" x14ac:dyDescent="0.25">
      <c r="A139" s="75"/>
      <c r="C139" s="81"/>
      <c r="D139" s="81"/>
      <c r="I139" s="81"/>
      <c r="K139" s="82"/>
      <c r="L139" s="123"/>
      <c r="M139" s="3"/>
      <c r="N139" s="3"/>
      <c r="O139" s="3"/>
      <c r="P139" s="125"/>
      <c r="Q139" s="125"/>
      <c r="R139" s="127"/>
      <c r="S139" s="123"/>
      <c r="T139" s="3"/>
      <c r="W139" s="86"/>
      <c r="Y139" s="75"/>
    </row>
    <row r="140" spans="1:25" x14ac:dyDescent="0.25">
      <c r="A140" s="75"/>
      <c r="C140" s="81"/>
      <c r="D140" s="81"/>
      <c r="I140" s="81"/>
      <c r="K140" s="82"/>
      <c r="L140" s="123"/>
      <c r="M140" s="3"/>
      <c r="N140" s="3"/>
      <c r="O140" s="3"/>
      <c r="P140" s="125"/>
      <c r="Q140" s="125"/>
      <c r="R140" s="127"/>
      <c r="S140" s="123"/>
      <c r="T140" s="3"/>
      <c r="W140" s="86"/>
      <c r="Y140" s="75"/>
    </row>
    <row r="141" spans="1:25" x14ac:dyDescent="0.25">
      <c r="A141" s="75"/>
      <c r="C141" s="81"/>
      <c r="D141" s="81"/>
      <c r="I141" s="81"/>
      <c r="K141" s="82"/>
      <c r="L141" s="123"/>
      <c r="M141" s="3"/>
      <c r="N141" s="3"/>
      <c r="O141" s="3"/>
      <c r="P141" s="125"/>
      <c r="Q141" s="125"/>
      <c r="R141" s="127"/>
      <c r="S141" s="123"/>
      <c r="T141" s="3"/>
      <c r="W141" s="86"/>
      <c r="Y141" s="75"/>
    </row>
    <row r="142" spans="1:25" x14ac:dyDescent="0.25">
      <c r="A142" s="75"/>
      <c r="C142" s="81"/>
      <c r="D142" s="81"/>
      <c r="I142" s="81"/>
      <c r="K142" s="82"/>
      <c r="L142" s="123"/>
      <c r="M142" s="3"/>
      <c r="N142" s="3"/>
      <c r="O142" s="3"/>
      <c r="P142" s="125"/>
      <c r="Q142" s="125"/>
      <c r="R142" s="127"/>
      <c r="S142" s="123"/>
      <c r="T142" s="3"/>
      <c r="W142" s="86"/>
      <c r="Y142" s="75"/>
    </row>
    <row r="143" spans="1:25" x14ac:dyDescent="0.25">
      <c r="A143" s="75"/>
      <c r="C143" s="81"/>
      <c r="D143" s="81"/>
      <c r="I143" s="81"/>
      <c r="K143" s="82"/>
      <c r="L143" s="123"/>
      <c r="M143" s="3"/>
      <c r="N143" s="3"/>
      <c r="O143" s="3"/>
      <c r="P143" s="125"/>
      <c r="Q143" s="125"/>
      <c r="R143" s="127"/>
      <c r="S143" s="123"/>
      <c r="T143" s="3"/>
      <c r="W143" s="86"/>
      <c r="Y143" s="75"/>
    </row>
    <row r="144" spans="1:25" x14ac:dyDescent="0.25">
      <c r="A144" s="75"/>
      <c r="C144" s="81"/>
      <c r="D144" s="81"/>
      <c r="I144" s="81"/>
      <c r="K144" s="82"/>
      <c r="L144" s="123"/>
      <c r="M144" s="3"/>
      <c r="N144" s="3"/>
      <c r="O144" s="3"/>
      <c r="P144" s="125"/>
      <c r="Q144" s="125"/>
      <c r="R144" s="127"/>
      <c r="S144" s="123"/>
      <c r="T144" s="3"/>
      <c r="W144" s="86"/>
      <c r="Y144" s="75"/>
    </row>
    <row r="145" spans="1:25" x14ac:dyDescent="0.25">
      <c r="A145" s="75"/>
      <c r="C145" s="81"/>
      <c r="D145" s="81"/>
      <c r="I145" s="81"/>
      <c r="K145" s="82"/>
      <c r="L145" s="123"/>
      <c r="M145" s="3"/>
      <c r="N145" s="3"/>
      <c r="O145" s="3"/>
      <c r="P145" s="125"/>
      <c r="Q145" s="125"/>
      <c r="R145" s="127"/>
      <c r="S145" s="123"/>
      <c r="T145" s="3"/>
      <c r="W145" s="86"/>
      <c r="Y145" s="75"/>
    </row>
    <row r="146" spans="1:25" x14ac:dyDescent="0.25">
      <c r="A146" s="75"/>
      <c r="C146" s="81"/>
      <c r="D146" s="81"/>
      <c r="I146" s="81"/>
      <c r="K146" s="82"/>
      <c r="L146" s="123"/>
      <c r="M146" s="3"/>
      <c r="N146" s="3"/>
      <c r="O146" s="3"/>
      <c r="P146" s="125"/>
      <c r="Q146" s="125"/>
      <c r="R146" s="127"/>
      <c r="S146" s="123"/>
      <c r="T146" s="3"/>
      <c r="W146" s="86"/>
      <c r="Y146" s="75"/>
    </row>
    <row r="147" spans="1:25" x14ac:dyDescent="0.25">
      <c r="A147" s="75"/>
      <c r="C147" s="81"/>
      <c r="D147" s="81"/>
      <c r="I147" s="81"/>
      <c r="K147" s="82"/>
      <c r="L147" s="123"/>
      <c r="M147" s="3"/>
      <c r="N147" s="3"/>
      <c r="O147" s="3"/>
      <c r="P147" s="125"/>
      <c r="Q147" s="125"/>
      <c r="R147" s="127"/>
      <c r="S147" s="123"/>
      <c r="T147" s="3"/>
      <c r="W147" s="86"/>
      <c r="Y147" s="75"/>
    </row>
    <row r="148" spans="1:25" x14ac:dyDescent="0.25">
      <c r="A148" s="75"/>
      <c r="C148" s="81"/>
      <c r="D148" s="81"/>
      <c r="I148" s="81"/>
      <c r="K148" s="82"/>
      <c r="L148" s="123"/>
      <c r="M148" s="3"/>
      <c r="N148" s="3"/>
      <c r="O148" s="3"/>
      <c r="P148" s="125"/>
      <c r="Q148" s="125"/>
      <c r="R148" s="127"/>
      <c r="S148" s="123"/>
      <c r="T148" s="3"/>
      <c r="W148" s="86"/>
      <c r="Y148" s="75"/>
    </row>
    <row r="149" spans="1:25" x14ac:dyDescent="0.25">
      <c r="A149" s="75"/>
      <c r="C149" s="81"/>
      <c r="D149" s="81"/>
      <c r="I149" s="81"/>
      <c r="K149" s="82"/>
      <c r="L149" s="123"/>
      <c r="M149" s="3"/>
      <c r="N149" s="3"/>
      <c r="O149" s="3"/>
      <c r="P149" s="125"/>
      <c r="Q149" s="125"/>
      <c r="R149" s="127"/>
      <c r="S149" s="123"/>
      <c r="T149" s="3"/>
      <c r="W149" s="86"/>
      <c r="Y149" s="75"/>
    </row>
    <row r="150" spans="1:25" x14ac:dyDescent="0.25">
      <c r="A150" s="75"/>
      <c r="C150" s="81"/>
      <c r="D150" s="81"/>
      <c r="I150" s="81"/>
      <c r="K150" s="82"/>
      <c r="L150" s="123"/>
      <c r="M150" s="3"/>
      <c r="N150" s="3"/>
      <c r="O150" s="3"/>
      <c r="P150" s="125"/>
      <c r="Q150" s="125"/>
      <c r="R150" s="127"/>
      <c r="S150" s="123"/>
      <c r="T150" s="3"/>
      <c r="W150" s="86"/>
      <c r="Y150" s="75"/>
    </row>
    <row r="151" spans="1:25" x14ac:dyDescent="0.25">
      <c r="A151" s="75"/>
      <c r="C151" s="81"/>
      <c r="D151" s="81"/>
      <c r="I151" s="81"/>
      <c r="K151" s="82"/>
      <c r="L151" s="123"/>
      <c r="M151" s="3"/>
      <c r="N151" s="3"/>
      <c r="O151" s="3"/>
      <c r="P151" s="125"/>
      <c r="Q151" s="125"/>
      <c r="R151" s="127"/>
      <c r="S151" s="123"/>
      <c r="T151" s="3"/>
      <c r="W151" s="86"/>
      <c r="Y151" s="75"/>
    </row>
    <row r="152" spans="1:25" x14ac:dyDescent="0.25">
      <c r="A152" s="75"/>
      <c r="C152" s="81"/>
      <c r="D152" s="81"/>
      <c r="I152" s="81"/>
      <c r="K152" s="82"/>
      <c r="L152" s="123"/>
      <c r="M152" s="3"/>
      <c r="N152" s="3"/>
      <c r="O152" s="3"/>
      <c r="P152" s="125"/>
      <c r="Q152" s="125"/>
      <c r="R152" s="127"/>
      <c r="S152" s="123"/>
      <c r="T152" s="3"/>
      <c r="W152" s="86"/>
      <c r="Y152" s="75"/>
    </row>
    <row r="153" spans="1:25" x14ac:dyDescent="0.25">
      <c r="A153" s="75"/>
      <c r="C153" s="81"/>
      <c r="D153" s="81"/>
      <c r="I153" s="81"/>
      <c r="K153" s="82"/>
      <c r="L153" s="123"/>
      <c r="M153" s="3"/>
      <c r="N153" s="3"/>
      <c r="O153" s="3"/>
      <c r="P153" s="125"/>
      <c r="Q153" s="125"/>
      <c r="R153" s="127"/>
      <c r="S153" s="123"/>
      <c r="T153" s="3"/>
      <c r="W153" s="86"/>
      <c r="Y153" s="75"/>
    </row>
    <row r="154" spans="1:25" x14ac:dyDescent="0.25">
      <c r="A154" s="75"/>
      <c r="C154" s="81"/>
      <c r="D154" s="81"/>
      <c r="I154" s="81"/>
      <c r="K154" s="82"/>
      <c r="L154" s="123"/>
      <c r="M154" s="3"/>
      <c r="N154" s="3"/>
      <c r="O154" s="3"/>
      <c r="P154" s="125"/>
      <c r="Q154" s="125"/>
      <c r="R154" s="127"/>
      <c r="S154" s="123"/>
      <c r="T154" s="3"/>
      <c r="W154" s="86"/>
      <c r="Y154" s="75"/>
    </row>
    <row r="155" spans="1:25" x14ac:dyDescent="0.25">
      <c r="A155" s="75"/>
      <c r="C155" s="81"/>
      <c r="D155" s="81"/>
      <c r="I155" s="81"/>
      <c r="K155" s="82"/>
      <c r="L155" s="123"/>
      <c r="M155" s="3"/>
      <c r="N155" s="3"/>
      <c r="O155" s="3"/>
      <c r="P155" s="125"/>
      <c r="Q155" s="125"/>
      <c r="R155" s="127"/>
      <c r="S155" s="123"/>
      <c r="T155" s="3"/>
      <c r="W155" s="86"/>
      <c r="Y155" s="75"/>
    </row>
    <row r="156" spans="1:25" x14ac:dyDescent="0.25">
      <c r="A156" s="75"/>
      <c r="C156" s="81"/>
      <c r="D156" s="81"/>
      <c r="I156" s="81"/>
      <c r="K156" s="82"/>
      <c r="L156" s="123"/>
      <c r="M156" s="3"/>
      <c r="N156" s="3"/>
      <c r="O156" s="3"/>
      <c r="P156" s="125"/>
      <c r="Q156" s="125"/>
      <c r="R156" s="127"/>
      <c r="S156" s="123"/>
      <c r="T156" s="3"/>
      <c r="W156" s="86"/>
      <c r="Y156" s="75"/>
    </row>
    <row r="157" spans="1:25" x14ac:dyDescent="0.25">
      <c r="A157" s="75"/>
      <c r="C157" s="81"/>
      <c r="D157" s="81"/>
      <c r="I157" s="81"/>
      <c r="K157" s="82"/>
      <c r="L157" s="123"/>
      <c r="M157" s="3"/>
      <c r="N157" s="3"/>
      <c r="O157" s="3"/>
      <c r="P157" s="125"/>
      <c r="Q157" s="125"/>
      <c r="R157" s="127"/>
      <c r="S157" s="123"/>
      <c r="T157" s="3"/>
      <c r="W157" s="86"/>
      <c r="Y157" s="75"/>
    </row>
    <row r="158" spans="1:25" x14ac:dyDescent="0.25">
      <c r="A158" s="75"/>
      <c r="C158" s="81"/>
      <c r="D158" s="81"/>
      <c r="I158" s="81"/>
      <c r="K158" s="82"/>
      <c r="L158" s="123"/>
      <c r="M158" s="3"/>
      <c r="N158" s="3"/>
      <c r="O158" s="3"/>
      <c r="P158" s="125"/>
      <c r="Q158" s="125"/>
      <c r="R158" s="127"/>
      <c r="S158" s="123"/>
      <c r="T158" s="3"/>
      <c r="W158" s="86"/>
      <c r="Y158" s="75"/>
    </row>
    <row r="159" spans="1:25" x14ac:dyDescent="0.25">
      <c r="A159" s="75"/>
      <c r="C159" s="81"/>
      <c r="D159" s="81"/>
      <c r="I159" s="81"/>
      <c r="K159" s="82"/>
      <c r="L159" s="123"/>
      <c r="M159" s="3"/>
      <c r="N159" s="3"/>
      <c r="O159" s="3"/>
      <c r="P159" s="125"/>
      <c r="Q159" s="125"/>
      <c r="R159" s="127"/>
      <c r="S159" s="123"/>
      <c r="T159" s="3"/>
      <c r="W159" s="86"/>
      <c r="Y159" s="75"/>
    </row>
    <row r="160" spans="1:25" x14ac:dyDescent="0.25">
      <c r="A160" s="75"/>
      <c r="C160" s="81"/>
      <c r="D160" s="81"/>
      <c r="I160" s="81"/>
      <c r="K160" s="82"/>
      <c r="L160" s="123"/>
      <c r="M160" s="3"/>
      <c r="N160" s="3"/>
      <c r="O160" s="3"/>
      <c r="P160" s="125"/>
      <c r="Q160" s="125"/>
      <c r="R160" s="127"/>
      <c r="S160" s="123"/>
      <c r="T160" s="3"/>
      <c r="W160" s="86"/>
      <c r="Y160" s="75"/>
    </row>
    <row r="161" spans="1:25" x14ac:dyDescent="0.25">
      <c r="A161" s="75"/>
      <c r="C161" s="81"/>
      <c r="D161" s="81"/>
      <c r="I161" s="81"/>
      <c r="K161" s="82"/>
      <c r="L161" s="123"/>
      <c r="M161" s="3"/>
      <c r="N161" s="3"/>
      <c r="O161" s="3"/>
      <c r="P161" s="125"/>
      <c r="Q161" s="125"/>
      <c r="R161" s="127"/>
      <c r="S161" s="123"/>
      <c r="T161" s="3"/>
      <c r="W161" s="86"/>
      <c r="Y161" s="75"/>
    </row>
    <row r="162" spans="1:25" x14ac:dyDescent="0.25">
      <c r="A162" s="75"/>
      <c r="C162" s="81"/>
      <c r="D162" s="81"/>
      <c r="I162" s="81"/>
      <c r="K162" s="82"/>
      <c r="L162" s="123"/>
      <c r="M162" s="3"/>
      <c r="N162" s="3"/>
      <c r="O162" s="3"/>
      <c r="P162" s="125"/>
      <c r="Q162" s="125"/>
      <c r="R162" s="127"/>
      <c r="S162" s="123"/>
      <c r="T162" s="3"/>
      <c r="W162" s="86"/>
      <c r="Y162" s="75"/>
    </row>
    <row r="163" spans="1:25" x14ac:dyDescent="0.25">
      <c r="A163" s="75"/>
      <c r="C163" s="81"/>
      <c r="D163" s="81"/>
      <c r="I163" s="81"/>
      <c r="K163" s="82"/>
      <c r="L163" s="123"/>
      <c r="M163" s="3"/>
      <c r="N163" s="3"/>
      <c r="O163" s="3"/>
      <c r="P163" s="125"/>
      <c r="Q163" s="125"/>
      <c r="R163" s="127"/>
      <c r="S163" s="123"/>
      <c r="T163" s="3"/>
      <c r="W163" s="86"/>
      <c r="Y163" s="75"/>
    </row>
    <row r="164" spans="1:25" x14ac:dyDescent="0.25">
      <c r="A164" s="75"/>
      <c r="C164" s="81"/>
      <c r="D164" s="81"/>
      <c r="I164" s="81"/>
      <c r="K164" s="82"/>
      <c r="L164" s="123"/>
      <c r="M164" s="3"/>
      <c r="N164" s="3"/>
      <c r="O164" s="3"/>
      <c r="P164" s="125"/>
      <c r="Q164" s="125"/>
      <c r="R164" s="127"/>
      <c r="S164" s="123"/>
      <c r="T164" s="3"/>
      <c r="W164" s="86"/>
      <c r="Y164" s="75"/>
    </row>
    <row r="165" spans="1:25" x14ac:dyDescent="0.25">
      <c r="A165" s="75"/>
      <c r="C165" s="81"/>
      <c r="D165" s="81"/>
      <c r="I165" s="81"/>
      <c r="K165" s="82"/>
      <c r="L165" s="123"/>
      <c r="M165" s="3"/>
      <c r="N165" s="3"/>
      <c r="O165" s="3"/>
      <c r="P165" s="125"/>
      <c r="Q165" s="125"/>
      <c r="R165" s="127"/>
      <c r="S165" s="123"/>
      <c r="T165" s="3"/>
      <c r="W165" s="86"/>
      <c r="Y165" s="75"/>
    </row>
    <row r="166" spans="1:25" x14ac:dyDescent="0.25">
      <c r="A166" s="75"/>
      <c r="C166" s="81"/>
      <c r="D166" s="81"/>
      <c r="I166" s="81"/>
      <c r="K166" s="82"/>
      <c r="L166" s="123"/>
      <c r="M166" s="3"/>
      <c r="N166" s="3"/>
      <c r="O166" s="3"/>
      <c r="P166" s="125"/>
      <c r="Q166" s="125"/>
      <c r="R166" s="127"/>
      <c r="S166" s="123"/>
      <c r="T166" s="3"/>
      <c r="W166" s="86"/>
      <c r="Y166" s="75"/>
    </row>
    <row r="167" spans="1:25" x14ac:dyDescent="0.25">
      <c r="A167" s="75"/>
      <c r="C167" s="81"/>
      <c r="D167" s="81"/>
      <c r="I167" s="81"/>
      <c r="K167" s="82"/>
      <c r="L167" s="123"/>
      <c r="M167" s="3"/>
      <c r="N167" s="3"/>
      <c r="O167" s="3"/>
      <c r="P167" s="125"/>
      <c r="Q167" s="125"/>
      <c r="R167" s="127"/>
      <c r="S167" s="123"/>
      <c r="T167" s="3"/>
      <c r="W167" s="86"/>
      <c r="Y167" s="75"/>
    </row>
    <row r="168" spans="1:25" x14ac:dyDescent="0.25">
      <c r="A168" s="75"/>
      <c r="C168" s="81"/>
      <c r="D168" s="81"/>
      <c r="I168" s="81"/>
      <c r="K168" s="82"/>
      <c r="L168" s="123"/>
      <c r="M168" s="3"/>
      <c r="N168" s="3"/>
      <c r="O168" s="3"/>
      <c r="P168" s="125"/>
      <c r="Q168" s="125"/>
      <c r="R168" s="127"/>
      <c r="S168" s="123"/>
      <c r="T168" s="3"/>
      <c r="W168" s="86"/>
      <c r="Y168" s="75"/>
    </row>
    <row r="169" spans="1:25" x14ac:dyDescent="0.25">
      <c r="A169" s="75"/>
      <c r="C169" s="81"/>
      <c r="D169" s="81"/>
      <c r="I169" s="81"/>
      <c r="K169" s="82"/>
      <c r="L169" s="123"/>
      <c r="M169" s="3"/>
      <c r="N169" s="3"/>
      <c r="O169" s="3"/>
      <c r="P169" s="125"/>
      <c r="Q169" s="125"/>
      <c r="R169" s="127"/>
      <c r="S169" s="123"/>
      <c r="T169" s="3"/>
      <c r="W169" s="86"/>
      <c r="Y169" s="75"/>
    </row>
    <row r="170" spans="1:25" x14ac:dyDescent="0.25">
      <c r="A170" s="75"/>
      <c r="C170" s="81"/>
      <c r="D170" s="81"/>
      <c r="I170" s="81"/>
      <c r="K170" s="82"/>
      <c r="L170" s="123"/>
      <c r="M170" s="3"/>
      <c r="N170" s="3"/>
      <c r="O170" s="3"/>
      <c r="P170" s="125"/>
      <c r="Q170" s="125"/>
      <c r="R170" s="127"/>
      <c r="S170" s="123"/>
      <c r="T170" s="3"/>
      <c r="W170" s="86"/>
      <c r="Y170" s="75"/>
    </row>
    <row r="171" spans="1:25" x14ac:dyDescent="0.25">
      <c r="A171" s="75"/>
      <c r="C171" s="81"/>
      <c r="D171" s="81"/>
      <c r="I171" s="81"/>
      <c r="K171" s="82"/>
      <c r="L171" s="123"/>
      <c r="M171" s="3"/>
      <c r="N171" s="3"/>
      <c r="O171" s="3"/>
      <c r="P171" s="125"/>
      <c r="Q171" s="125"/>
      <c r="R171" s="127"/>
      <c r="S171" s="123"/>
      <c r="T171" s="3"/>
      <c r="W171" s="86"/>
      <c r="Y171" s="75"/>
    </row>
    <row r="172" spans="1:25" x14ac:dyDescent="0.25">
      <c r="A172" s="75"/>
      <c r="C172" s="81"/>
      <c r="D172" s="81"/>
      <c r="I172" s="81"/>
      <c r="K172" s="82"/>
      <c r="L172" s="123"/>
      <c r="M172" s="3"/>
      <c r="N172" s="3"/>
      <c r="O172" s="3"/>
      <c r="P172" s="125"/>
      <c r="Q172" s="125"/>
      <c r="R172" s="127"/>
      <c r="S172" s="123"/>
      <c r="T172" s="3"/>
      <c r="W172" s="86"/>
      <c r="Y172" s="75"/>
    </row>
    <row r="173" spans="1:25" x14ac:dyDescent="0.25">
      <c r="A173" s="75"/>
      <c r="C173" s="81"/>
      <c r="D173" s="81"/>
      <c r="I173" s="81"/>
      <c r="K173" s="82"/>
      <c r="L173" s="123"/>
      <c r="M173" s="3"/>
      <c r="N173" s="3"/>
      <c r="O173" s="3"/>
      <c r="P173" s="125"/>
      <c r="Q173" s="125"/>
      <c r="R173" s="127"/>
      <c r="S173" s="123"/>
      <c r="T173" s="3"/>
      <c r="W173" s="86"/>
      <c r="Y173" s="75"/>
    </row>
    <row r="174" spans="1:25" x14ac:dyDescent="0.25">
      <c r="A174" s="75"/>
      <c r="C174" s="81"/>
      <c r="D174" s="81"/>
      <c r="I174" s="81"/>
      <c r="K174" s="82"/>
      <c r="L174" s="123"/>
      <c r="M174" s="3"/>
      <c r="N174" s="3"/>
      <c r="O174" s="3"/>
      <c r="P174" s="125"/>
      <c r="Q174" s="125"/>
      <c r="R174" s="127"/>
      <c r="S174" s="123"/>
      <c r="T174" s="3"/>
      <c r="W174" s="86"/>
      <c r="Y174" s="75"/>
    </row>
    <row r="175" spans="1:25" x14ac:dyDescent="0.25">
      <c r="A175" s="75"/>
      <c r="C175" s="81"/>
      <c r="D175" s="81"/>
      <c r="I175" s="81"/>
      <c r="K175" s="82"/>
      <c r="L175" s="123"/>
      <c r="M175" s="3"/>
      <c r="N175" s="3"/>
      <c r="O175" s="3"/>
      <c r="P175" s="125"/>
      <c r="Q175" s="125"/>
      <c r="R175" s="127"/>
      <c r="S175" s="123"/>
      <c r="T175" s="3"/>
      <c r="W175" s="86"/>
      <c r="Y175" s="75"/>
    </row>
    <row r="176" spans="1:25" x14ac:dyDescent="0.25">
      <c r="A176" s="75"/>
      <c r="C176" s="81"/>
      <c r="D176" s="81"/>
      <c r="I176" s="81"/>
      <c r="K176" s="82"/>
      <c r="L176" s="123"/>
      <c r="M176" s="3"/>
      <c r="N176" s="3"/>
      <c r="O176" s="3"/>
      <c r="P176" s="125"/>
      <c r="Q176" s="125"/>
      <c r="R176" s="127"/>
      <c r="S176" s="123"/>
      <c r="T176" s="3"/>
      <c r="W176" s="86"/>
      <c r="Y176" s="75"/>
    </row>
    <row r="177" spans="1:25" x14ac:dyDescent="0.25">
      <c r="A177" s="75"/>
      <c r="C177" s="81"/>
      <c r="D177" s="81"/>
      <c r="I177" s="81"/>
      <c r="K177" s="82"/>
      <c r="L177" s="123"/>
      <c r="M177" s="3"/>
      <c r="N177" s="3"/>
      <c r="O177" s="3"/>
      <c r="P177" s="125"/>
      <c r="Q177" s="125"/>
      <c r="R177" s="127"/>
      <c r="S177" s="123"/>
      <c r="T177" s="3"/>
      <c r="W177" s="86"/>
      <c r="Y177" s="75"/>
    </row>
    <row r="178" spans="1:25" x14ac:dyDescent="0.25">
      <c r="A178" s="75"/>
      <c r="C178" s="81"/>
      <c r="D178" s="81"/>
      <c r="I178" s="81"/>
      <c r="K178" s="82"/>
      <c r="L178" s="123"/>
      <c r="M178" s="3"/>
      <c r="N178" s="3"/>
      <c r="O178" s="3"/>
      <c r="P178" s="125"/>
      <c r="Q178" s="125"/>
      <c r="R178" s="127"/>
      <c r="S178" s="123"/>
      <c r="T178" s="3"/>
      <c r="W178" s="86"/>
      <c r="Y178" s="75"/>
    </row>
    <row r="179" spans="1:25" x14ac:dyDescent="0.25">
      <c r="A179" s="75"/>
      <c r="C179" s="81"/>
      <c r="D179" s="81"/>
      <c r="I179" s="81"/>
      <c r="K179" s="82"/>
      <c r="L179" s="123"/>
      <c r="M179" s="3"/>
      <c r="N179" s="3"/>
      <c r="O179" s="3"/>
      <c r="P179" s="125"/>
      <c r="Q179" s="125"/>
      <c r="R179" s="127"/>
      <c r="S179" s="123"/>
      <c r="T179" s="3"/>
      <c r="W179" s="86"/>
      <c r="Y179" s="75"/>
    </row>
    <row r="180" spans="1:25" x14ac:dyDescent="0.25">
      <c r="A180" s="75"/>
      <c r="C180" s="81"/>
      <c r="D180" s="81"/>
      <c r="I180" s="81"/>
      <c r="K180" s="82"/>
      <c r="L180" s="123"/>
      <c r="M180" s="3"/>
      <c r="N180" s="3"/>
      <c r="O180" s="3"/>
      <c r="P180" s="125"/>
      <c r="Q180" s="125"/>
      <c r="R180" s="127"/>
      <c r="S180" s="123"/>
      <c r="T180" s="3"/>
      <c r="W180" s="86"/>
      <c r="Y180" s="75"/>
    </row>
    <row r="181" spans="1:25" x14ac:dyDescent="0.25">
      <c r="A181" s="75"/>
      <c r="C181" s="81"/>
      <c r="D181" s="81"/>
      <c r="I181" s="81"/>
      <c r="K181" s="82"/>
      <c r="L181" s="123"/>
      <c r="M181" s="3"/>
      <c r="N181" s="3"/>
      <c r="O181" s="3"/>
      <c r="P181" s="125"/>
      <c r="Q181" s="125"/>
      <c r="R181" s="127"/>
      <c r="S181" s="123"/>
      <c r="T181" s="3"/>
      <c r="W181" s="86"/>
      <c r="Y181" s="75"/>
    </row>
    <row r="182" spans="1:25" x14ac:dyDescent="0.25">
      <c r="A182" s="75"/>
      <c r="C182" s="81"/>
      <c r="D182" s="81"/>
      <c r="I182" s="81"/>
      <c r="K182" s="82"/>
      <c r="L182" s="123"/>
      <c r="M182" s="3"/>
      <c r="N182" s="3"/>
      <c r="O182" s="3"/>
      <c r="P182" s="125"/>
      <c r="Q182" s="125"/>
      <c r="R182" s="127"/>
      <c r="S182" s="123"/>
      <c r="T182" s="3"/>
      <c r="W182" s="86"/>
      <c r="Y182" s="75"/>
    </row>
    <row r="183" spans="1:25" x14ac:dyDescent="0.25">
      <c r="A183" s="75"/>
      <c r="C183" s="81"/>
      <c r="D183" s="81"/>
      <c r="I183" s="81"/>
      <c r="K183" s="82"/>
      <c r="L183" s="123"/>
      <c r="M183" s="3"/>
      <c r="N183" s="3"/>
      <c r="O183" s="3"/>
      <c r="P183" s="125"/>
      <c r="Q183" s="125"/>
      <c r="R183" s="127"/>
      <c r="S183" s="123"/>
      <c r="T183" s="3"/>
      <c r="W183" s="86"/>
      <c r="Y183" s="75"/>
    </row>
    <row r="184" spans="1:25" x14ac:dyDescent="0.25">
      <c r="A184" s="75"/>
      <c r="C184" s="81"/>
      <c r="D184" s="81"/>
      <c r="I184" s="81"/>
      <c r="K184" s="82"/>
      <c r="L184" s="123"/>
      <c r="M184" s="3"/>
      <c r="N184" s="3"/>
      <c r="O184" s="3"/>
      <c r="P184" s="125"/>
      <c r="Q184" s="125"/>
      <c r="R184" s="127"/>
      <c r="S184" s="123"/>
      <c r="T184" s="3"/>
      <c r="W184" s="86"/>
      <c r="Y184" s="75"/>
    </row>
    <row r="185" spans="1:25" x14ac:dyDescent="0.25">
      <c r="A185" s="75"/>
      <c r="C185" s="81"/>
      <c r="D185" s="81"/>
      <c r="I185" s="81"/>
      <c r="K185" s="82"/>
      <c r="L185" s="123"/>
      <c r="M185" s="3"/>
      <c r="N185" s="3"/>
      <c r="O185" s="3"/>
      <c r="P185" s="125"/>
      <c r="Q185" s="125"/>
      <c r="R185" s="127"/>
      <c r="S185" s="123"/>
      <c r="T185" s="3"/>
      <c r="W185" s="86"/>
      <c r="Y185" s="75"/>
    </row>
    <row r="186" spans="1:25" x14ac:dyDescent="0.25">
      <c r="A186" s="75"/>
      <c r="C186" s="81"/>
      <c r="D186" s="81"/>
      <c r="I186" s="81"/>
      <c r="K186" s="82"/>
      <c r="L186" s="123"/>
      <c r="M186" s="3"/>
      <c r="N186" s="3"/>
      <c r="O186" s="3"/>
      <c r="P186" s="125"/>
      <c r="Q186" s="125"/>
      <c r="R186" s="127"/>
      <c r="S186" s="123"/>
      <c r="T186" s="3"/>
      <c r="W186" s="86"/>
      <c r="Y186" s="75"/>
    </row>
    <row r="187" spans="1:25" x14ac:dyDescent="0.25">
      <c r="A187" s="75"/>
      <c r="C187" s="81"/>
      <c r="D187" s="81"/>
      <c r="I187" s="81"/>
      <c r="K187" s="82"/>
      <c r="L187" s="123"/>
      <c r="M187" s="3"/>
      <c r="N187" s="3"/>
      <c r="O187" s="3"/>
      <c r="P187" s="125"/>
      <c r="Q187" s="125"/>
      <c r="R187" s="127"/>
      <c r="S187" s="123"/>
      <c r="T187" s="3"/>
      <c r="W187" s="86"/>
      <c r="Y187" s="75"/>
    </row>
    <row r="188" spans="1:25" x14ac:dyDescent="0.25">
      <c r="A188" s="75"/>
      <c r="C188" s="81"/>
      <c r="D188" s="81"/>
      <c r="I188" s="81"/>
      <c r="K188" s="82"/>
      <c r="L188" s="123"/>
      <c r="M188" s="3"/>
      <c r="N188" s="3"/>
      <c r="O188" s="3"/>
      <c r="P188" s="125"/>
      <c r="Q188" s="125"/>
      <c r="R188" s="127"/>
      <c r="S188" s="123"/>
      <c r="T188" s="3"/>
      <c r="W188" s="86"/>
      <c r="Y188" s="75"/>
    </row>
    <row r="189" spans="1:25" x14ac:dyDescent="0.25">
      <c r="A189" s="75"/>
      <c r="C189" s="81"/>
      <c r="D189" s="81"/>
      <c r="I189" s="81"/>
      <c r="K189" s="82"/>
      <c r="L189" s="123"/>
      <c r="M189" s="3"/>
      <c r="N189" s="3"/>
      <c r="O189" s="3"/>
      <c r="P189" s="125"/>
      <c r="Q189" s="125"/>
      <c r="R189" s="127"/>
      <c r="S189" s="123"/>
      <c r="T189" s="3"/>
      <c r="W189" s="86"/>
      <c r="Y189" s="75"/>
    </row>
    <row r="190" spans="1:25" x14ac:dyDescent="0.25">
      <c r="A190" s="75"/>
      <c r="C190" s="81"/>
      <c r="D190" s="81"/>
      <c r="I190" s="81"/>
      <c r="K190" s="82"/>
      <c r="L190" s="123"/>
      <c r="M190" s="3"/>
      <c r="N190" s="3"/>
      <c r="O190" s="3"/>
      <c r="P190" s="125"/>
      <c r="Q190" s="125"/>
      <c r="R190" s="127"/>
      <c r="S190" s="123"/>
      <c r="T190" s="3"/>
      <c r="W190" s="86"/>
      <c r="Y190" s="75"/>
    </row>
    <row r="191" spans="1:25" x14ac:dyDescent="0.25">
      <c r="A191" s="75"/>
      <c r="C191" s="81"/>
      <c r="D191" s="81"/>
      <c r="I191" s="81"/>
      <c r="K191" s="82"/>
      <c r="L191" s="123"/>
      <c r="M191" s="3"/>
      <c r="N191" s="3"/>
      <c r="O191" s="3"/>
      <c r="P191" s="125"/>
      <c r="Q191" s="125"/>
      <c r="R191" s="127"/>
      <c r="S191" s="123"/>
      <c r="T191" s="3"/>
      <c r="W191" s="86"/>
      <c r="Y191" s="75"/>
    </row>
    <row r="192" spans="1:25" x14ac:dyDescent="0.25">
      <c r="A192" s="75"/>
      <c r="C192" s="81"/>
      <c r="D192" s="81"/>
      <c r="I192" s="81"/>
      <c r="K192" s="82"/>
      <c r="L192" s="123"/>
      <c r="M192" s="3"/>
      <c r="N192" s="3"/>
      <c r="O192" s="3"/>
      <c r="P192" s="125"/>
      <c r="Q192" s="125"/>
      <c r="R192" s="127"/>
      <c r="S192" s="123"/>
      <c r="T192" s="3"/>
      <c r="W192" s="86"/>
      <c r="Y192" s="75"/>
    </row>
    <row r="193" spans="1:25" x14ac:dyDescent="0.25">
      <c r="A193" s="75"/>
      <c r="C193" s="81"/>
      <c r="D193" s="81"/>
      <c r="I193" s="81"/>
      <c r="K193" s="82"/>
      <c r="L193" s="123"/>
      <c r="M193" s="3"/>
      <c r="N193" s="3"/>
      <c r="O193" s="3"/>
      <c r="P193" s="125"/>
      <c r="Q193" s="125"/>
      <c r="R193" s="127"/>
      <c r="S193" s="123"/>
      <c r="T193" s="3"/>
      <c r="W193" s="86"/>
      <c r="Y193" s="75"/>
    </row>
    <row r="194" spans="1:25" x14ac:dyDescent="0.25">
      <c r="A194" s="75"/>
      <c r="C194" s="81"/>
      <c r="D194" s="81"/>
      <c r="I194" s="81"/>
      <c r="K194" s="82"/>
      <c r="L194" s="123"/>
      <c r="M194" s="3"/>
      <c r="N194" s="3"/>
      <c r="O194" s="3"/>
      <c r="P194" s="125"/>
      <c r="Q194" s="125"/>
      <c r="R194" s="127"/>
      <c r="S194" s="123"/>
      <c r="T194" s="3"/>
      <c r="W194" s="86"/>
      <c r="Y194" s="75"/>
    </row>
    <row r="195" spans="1:25" x14ac:dyDescent="0.25">
      <c r="A195" s="75"/>
      <c r="C195" s="81"/>
      <c r="D195" s="81"/>
      <c r="I195" s="81"/>
      <c r="K195" s="82"/>
      <c r="L195" s="123"/>
      <c r="M195" s="3"/>
      <c r="N195" s="3"/>
      <c r="O195" s="3"/>
      <c r="P195" s="125"/>
      <c r="Q195" s="125"/>
      <c r="R195" s="127"/>
      <c r="S195" s="123"/>
      <c r="T195" s="3"/>
      <c r="W195" s="86"/>
      <c r="Y195" s="75"/>
    </row>
    <row r="196" spans="1:25" x14ac:dyDescent="0.25">
      <c r="A196" s="75"/>
      <c r="C196" s="81"/>
      <c r="D196" s="81"/>
      <c r="I196" s="81"/>
      <c r="K196" s="82"/>
      <c r="L196" s="123"/>
      <c r="M196" s="3"/>
      <c r="N196" s="3"/>
      <c r="O196" s="3"/>
      <c r="P196" s="125"/>
      <c r="Q196" s="125"/>
      <c r="R196" s="127"/>
      <c r="S196" s="123"/>
      <c r="T196" s="3"/>
      <c r="W196" s="86"/>
      <c r="Y196" s="75"/>
    </row>
    <row r="197" spans="1:25" x14ac:dyDescent="0.25">
      <c r="A197" s="75"/>
      <c r="C197" s="81"/>
      <c r="D197" s="81"/>
      <c r="I197" s="81"/>
      <c r="K197" s="82"/>
      <c r="L197" s="123"/>
      <c r="M197" s="3"/>
      <c r="N197" s="3"/>
      <c r="O197" s="3"/>
      <c r="P197" s="125"/>
      <c r="Q197" s="125"/>
      <c r="R197" s="127"/>
      <c r="S197" s="123"/>
      <c r="T197" s="3"/>
      <c r="W197" s="86"/>
      <c r="Y197" s="75"/>
    </row>
    <row r="198" spans="1:25" x14ac:dyDescent="0.25">
      <c r="A198" s="75"/>
      <c r="C198" s="81"/>
      <c r="D198" s="81"/>
      <c r="I198" s="81"/>
      <c r="K198" s="82"/>
      <c r="L198" s="123"/>
      <c r="M198" s="3"/>
      <c r="N198" s="3"/>
      <c r="O198" s="3"/>
      <c r="P198" s="125"/>
      <c r="Q198" s="125"/>
      <c r="R198" s="127"/>
      <c r="S198" s="123"/>
      <c r="T198" s="3"/>
      <c r="W198" s="86"/>
      <c r="Y198" s="75"/>
    </row>
    <row r="199" spans="1:25" x14ac:dyDescent="0.25">
      <c r="A199" s="75"/>
      <c r="C199" s="81"/>
      <c r="D199" s="81"/>
      <c r="I199" s="81"/>
      <c r="K199" s="82"/>
      <c r="L199" s="123"/>
      <c r="M199" s="3"/>
      <c r="N199" s="3"/>
      <c r="O199" s="3"/>
      <c r="P199" s="125"/>
      <c r="Q199" s="125"/>
      <c r="R199" s="127"/>
      <c r="S199" s="123"/>
      <c r="T199" s="3"/>
      <c r="W199" s="86"/>
      <c r="Y199" s="75"/>
    </row>
    <row r="200" spans="1:25" x14ac:dyDescent="0.25">
      <c r="A200" s="75"/>
      <c r="C200" s="81"/>
      <c r="D200" s="81"/>
      <c r="I200" s="81"/>
      <c r="K200" s="82"/>
      <c r="L200" s="123"/>
      <c r="M200" s="3"/>
      <c r="N200" s="3"/>
      <c r="O200" s="3"/>
      <c r="P200" s="125"/>
      <c r="Q200" s="125"/>
      <c r="R200" s="127"/>
      <c r="S200" s="123"/>
      <c r="T200" s="3"/>
      <c r="W200" s="86"/>
      <c r="Y200" s="75"/>
    </row>
    <row r="201" spans="1:25" x14ac:dyDescent="0.25">
      <c r="A201" s="75"/>
      <c r="C201" s="81"/>
      <c r="D201" s="81"/>
      <c r="I201" s="81"/>
      <c r="K201" s="82"/>
      <c r="L201" s="123"/>
      <c r="M201" s="3"/>
      <c r="N201" s="3"/>
      <c r="O201" s="3"/>
      <c r="P201" s="125"/>
      <c r="Q201" s="125"/>
      <c r="R201" s="127"/>
      <c r="S201" s="123"/>
      <c r="T201" s="3"/>
      <c r="W201" s="86"/>
      <c r="Y201" s="75"/>
    </row>
    <row r="202" spans="1:25" x14ac:dyDescent="0.25">
      <c r="A202" s="75"/>
      <c r="C202" s="81"/>
      <c r="D202" s="81"/>
      <c r="I202" s="81"/>
      <c r="K202" s="82"/>
      <c r="L202" s="123"/>
      <c r="M202" s="3"/>
      <c r="N202" s="3"/>
      <c r="O202" s="3"/>
      <c r="P202" s="125"/>
      <c r="Q202" s="125"/>
      <c r="R202" s="127"/>
      <c r="S202" s="123"/>
      <c r="T202" s="3"/>
      <c r="W202" s="86"/>
      <c r="Y202" s="75"/>
    </row>
    <row r="203" spans="1:25" x14ac:dyDescent="0.25">
      <c r="A203" s="75"/>
      <c r="C203" s="81"/>
      <c r="D203" s="81"/>
      <c r="I203" s="81"/>
      <c r="K203" s="82"/>
      <c r="L203" s="123"/>
      <c r="M203" s="3"/>
      <c r="N203" s="3"/>
      <c r="O203" s="3"/>
      <c r="P203" s="125"/>
      <c r="Q203" s="125"/>
      <c r="R203" s="127"/>
      <c r="S203" s="123"/>
      <c r="T203" s="3"/>
      <c r="W203" s="86"/>
      <c r="Y203" s="75"/>
    </row>
    <row r="204" spans="1:25" x14ac:dyDescent="0.25">
      <c r="A204" s="75"/>
      <c r="C204" s="81"/>
      <c r="D204" s="81"/>
      <c r="I204" s="81"/>
      <c r="K204" s="82"/>
      <c r="L204" s="123"/>
      <c r="M204" s="3"/>
      <c r="N204" s="3"/>
      <c r="O204" s="3"/>
      <c r="P204" s="125"/>
      <c r="Q204" s="125"/>
      <c r="R204" s="127"/>
      <c r="S204" s="123"/>
      <c r="T204" s="3"/>
      <c r="W204" s="86"/>
      <c r="Y204" s="75"/>
    </row>
    <row r="205" spans="1:25" x14ac:dyDescent="0.25">
      <c r="A205" s="75"/>
      <c r="C205" s="81"/>
      <c r="D205" s="81"/>
      <c r="I205" s="81"/>
      <c r="K205" s="82"/>
      <c r="L205" s="123"/>
      <c r="M205" s="3"/>
      <c r="N205" s="3"/>
      <c r="O205" s="3"/>
      <c r="P205" s="125"/>
      <c r="Q205" s="125"/>
      <c r="R205" s="127"/>
      <c r="S205" s="123"/>
      <c r="T205" s="3"/>
      <c r="W205" s="86"/>
      <c r="Y205" s="75"/>
    </row>
    <row r="206" spans="1:25" x14ac:dyDescent="0.25">
      <c r="A206" s="75"/>
      <c r="C206" s="81"/>
      <c r="D206" s="81"/>
      <c r="I206" s="81"/>
      <c r="K206" s="82"/>
      <c r="L206" s="123"/>
      <c r="M206" s="3"/>
      <c r="N206" s="3"/>
      <c r="O206" s="3"/>
      <c r="P206" s="125"/>
      <c r="Q206" s="125"/>
      <c r="R206" s="127"/>
      <c r="S206" s="123"/>
      <c r="T206" s="3"/>
      <c r="W206" s="86"/>
      <c r="Y206" s="75"/>
    </row>
    <row r="207" spans="1:25" x14ac:dyDescent="0.25">
      <c r="A207" s="75"/>
      <c r="C207" s="81"/>
      <c r="D207" s="81"/>
      <c r="I207" s="81"/>
      <c r="K207" s="82"/>
      <c r="L207" s="123"/>
      <c r="M207" s="3"/>
      <c r="N207" s="3"/>
      <c r="O207" s="3"/>
      <c r="P207" s="125"/>
      <c r="Q207" s="125"/>
      <c r="R207" s="127"/>
      <c r="S207" s="123"/>
      <c r="T207" s="3"/>
      <c r="W207" s="86"/>
      <c r="Y207" s="75"/>
    </row>
    <row r="208" spans="1:25" x14ac:dyDescent="0.25">
      <c r="A208" s="75"/>
      <c r="C208" s="81"/>
      <c r="D208" s="81"/>
      <c r="I208" s="81"/>
      <c r="K208" s="82"/>
      <c r="L208" s="123"/>
      <c r="M208" s="3"/>
      <c r="N208" s="3"/>
      <c r="O208" s="3"/>
      <c r="P208" s="125"/>
      <c r="Q208" s="125"/>
      <c r="R208" s="127"/>
      <c r="S208" s="123"/>
      <c r="T208" s="3"/>
      <c r="W208" s="86"/>
      <c r="Y208" s="75"/>
    </row>
    <row r="209" spans="1:25" x14ac:dyDescent="0.25">
      <c r="A209" s="75"/>
      <c r="C209" s="81"/>
      <c r="D209" s="81"/>
      <c r="I209" s="81"/>
      <c r="K209" s="82"/>
      <c r="L209" s="123"/>
      <c r="M209" s="3"/>
      <c r="N209" s="3"/>
      <c r="O209" s="3"/>
      <c r="P209" s="125"/>
      <c r="Q209" s="125"/>
      <c r="R209" s="127"/>
      <c r="S209" s="123"/>
      <c r="T209" s="3"/>
      <c r="W209" s="86"/>
      <c r="Y209" s="75"/>
    </row>
    <row r="210" spans="1:25" x14ac:dyDescent="0.25">
      <c r="A210" s="75"/>
      <c r="C210" s="81"/>
      <c r="D210" s="81"/>
      <c r="I210" s="81"/>
      <c r="K210" s="82"/>
      <c r="L210" s="123"/>
      <c r="M210" s="3"/>
      <c r="N210" s="3"/>
      <c r="O210" s="3"/>
      <c r="P210" s="125"/>
      <c r="Q210" s="125"/>
      <c r="R210" s="127"/>
      <c r="S210" s="123"/>
      <c r="T210" s="3"/>
      <c r="W210" s="86"/>
      <c r="Y210" s="75"/>
    </row>
    <row r="211" spans="1:25" x14ac:dyDescent="0.25">
      <c r="A211" s="75"/>
      <c r="C211" s="81"/>
      <c r="D211" s="81"/>
      <c r="I211" s="81"/>
      <c r="K211" s="82"/>
      <c r="L211" s="123"/>
      <c r="M211" s="3"/>
      <c r="N211" s="3"/>
      <c r="O211" s="3"/>
      <c r="P211" s="125"/>
      <c r="Q211" s="125"/>
      <c r="R211" s="127"/>
      <c r="S211" s="123"/>
      <c r="T211" s="3"/>
      <c r="W211" s="86"/>
      <c r="Y211" s="75"/>
    </row>
    <row r="212" spans="1:25" x14ac:dyDescent="0.25">
      <c r="A212" s="75"/>
      <c r="C212" s="81"/>
      <c r="D212" s="81"/>
      <c r="I212" s="81"/>
      <c r="K212" s="82"/>
      <c r="L212" s="123"/>
      <c r="M212" s="3"/>
      <c r="N212" s="3"/>
      <c r="O212" s="3"/>
      <c r="P212" s="125"/>
      <c r="Q212" s="125"/>
      <c r="R212" s="127"/>
      <c r="S212" s="123"/>
      <c r="T212" s="3"/>
      <c r="W212" s="86"/>
      <c r="Y212" s="75"/>
    </row>
    <row r="213" spans="1:25" x14ac:dyDescent="0.25">
      <c r="A213" s="75"/>
      <c r="C213" s="81"/>
      <c r="D213" s="81"/>
      <c r="I213" s="81"/>
      <c r="K213" s="82"/>
      <c r="L213" s="123"/>
      <c r="M213" s="3"/>
      <c r="N213" s="3"/>
      <c r="O213" s="3"/>
      <c r="P213" s="125"/>
      <c r="Q213" s="125"/>
      <c r="R213" s="127"/>
      <c r="S213" s="123"/>
      <c r="T213" s="3"/>
      <c r="W213" s="86"/>
      <c r="Y213" s="75"/>
    </row>
    <row r="214" spans="1:25" x14ac:dyDescent="0.25">
      <c r="A214" s="75"/>
      <c r="C214" s="81"/>
      <c r="D214" s="81"/>
      <c r="I214" s="81"/>
      <c r="K214" s="82"/>
      <c r="L214" s="123"/>
      <c r="M214" s="3"/>
      <c r="N214" s="3"/>
      <c r="O214" s="3"/>
      <c r="P214" s="125"/>
      <c r="Q214" s="125"/>
      <c r="R214" s="127"/>
      <c r="S214" s="123"/>
      <c r="T214" s="3"/>
      <c r="W214" s="86"/>
      <c r="Y214" s="75"/>
    </row>
    <row r="215" spans="1:25" x14ac:dyDescent="0.25">
      <c r="A215" s="75"/>
      <c r="C215" s="81"/>
      <c r="D215" s="81"/>
      <c r="I215" s="81"/>
      <c r="K215" s="82"/>
      <c r="L215" s="123"/>
      <c r="M215" s="3"/>
      <c r="N215" s="3"/>
      <c r="O215" s="3"/>
      <c r="P215" s="125"/>
      <c r="Q215" s="125"/>
      <c r="R215" s="127"/>
      <c r="S215" s="123"/>
      <c r="T215" s="3"/>
      <c r="W215" s="86"/>
      <c r="Y215" s="75"/>
    </row>
    <row r="216" spans="1:25" x14ac:dyDescent="0.25">
      <c r="A216" s="75"/>
      <c r="C216" s="81"/>
      <c r="D216" s="81"/>
      <c r="I216" s="81"/>
      <c r="K216" s="82"/>
      <c r="L216" s="123"/>
      <c r="M216" s="3"/>
      <c r="N216" s="3"/>
      <c r="O216" s="3"/>
      <c r="P216" s="125"/>
      <c r="Q216" s="125"/>
      <c r="R216" s="127"/>
      <c r="S216" s="123"/>
      <c r="T216" s="3"/>
      <c r="W216" s="86"/>
      <c r="Y216" s="75"/>
    </row>
    <row r="217" spans="1:25" x14ac:dyDescent="0.25">
      <c r="A217" s="75"/>
      <c r="C217" s="81"/>
      <c r="D217" s="81"/>
      <c r="I217" s="81"/>
      <c r="K217" s="82"/>
      <c r="L217" s="123"/>
      <c r="M217" s="3"/>
      <c r="N217" s="3"/>
      <c r="O217" s="3"/>
      <c r="P217" s="125"/>
      <c r="Q217" s="125"/>
      <c r="R217" s="127"/>
      <c r="S217" s="123"/>
      <c r="T217" s="3"/>
      <c r="W217" s="86"/>
      <c r="Y217" s="75"/>
    </row>
    <row r="218" spans="1:25" x14ac:dyDescent="0.25">
      <c r="A218" s="75"/>
      <c r="C218" s="81"/>
      <c r="D218" s="81"/>
      <c r="I218" s="81"/>
      <c r="K218" s="82"/>
      <c r="L218" s="123"/>
      <c r="M218" s="3"/>
      <c r="N218" s="3"/>
      <c r="O218" s="3"/>
      <c r="P218" s="125"/>
      <c r="Q218" s="125"/>
      <c r="R218" s="127"/>
      <c r="S218" s="123"/>
      <c r="T218" s="3"/>
      <c r="W218" s="86"/>
      <c r="Y218" s="75"/>
    </row>
    <row r="219" spans="1:25" x14ac:dyDescent="0.25">
      <c r="A219" s="75"/>
      <c r="C219" s="81"/>
      <c r="D219" s="81"/>
      <c r="I219" s="81"/>
      <c r="K219" s="82"/>
      <c r="L219" s="123"/>
      <c r="M219" s="3"/>
      <c r="N219" s="3"/>
      <c r="O219" s="3"/>
      <c r="P219" s="125"/>
      <c r="Q219" s="125"/>
      <c r="R219" s="127"/>
      <c r="S219" s="123"/>
      <c r="T219" s="3"/>
      <c r="W219" s="86"/>
      <c r="Y219" s="75"/>
    </row>
    <row r="220" spans="1:25" x14ac:dyDescent="0.25">
      <c r="A220" s="75"/>
      <c r="C220" s="81"/>
      <c r="D220" s="81"/>
      <c r="I220" s="81"/>
      <c r="K220" s="82"/>
      <c r="L220" s="123"/>
      <c r="M220" s="3"/>
      <c r="N220" s="3"/>
      <c r="O220" s="3"/>
      <c r="P220" s="125"/>
      <c r="Q220" s="125"/>
      <c r="R220" s="127"/>
      <c r="S220" s="123"/>
      <c r="T220" s="3"/>
      <c r="W220" s="86"/>
      <c r="Y220" s="75"/>
    </row>
    <row r="221" spans="1:25" x14ac:dyDescent="0.25">
      <c r="A221" s="75"/>
      <c r="C221" s="81"/>
      <c r="D221" s="81"/>
      <c r="I221" s="81"/>
      <c r="K221" s="82"/>
      <c r="L221" s="123"/>
      <c r="M221" s="3"/>
      <c r="N221" s="3"/>
      <c r="O221" s="3"/>
      <c r="P221" s="125"/>
      <c r="Q221" s="125"/>
      <c r="R221" s="127"/>
      <c r="S221" s="123"/>
      <c r="T221" s="3"/>
      <c r="W221" s="86"/>
      <c r="Y221" s="75"/>
    </row>
    <row r="222" spans="1:25" x14ac:dyDescent="0.25">
      <c r="A222" s="75"/>
      <c r="C222" s="81"/>
      <c r="D222" s="81"/>
      <c r="I222" s="81"/>
      <c r="K222" s="82"/>
      <c r="L222" s="123"/>
      <c r="M222" s="3"/>
      <c r="N222" s="3"/>
      <c r="O222" s="3"/>
      <c r="P222" s="125"/>
      <c r="Q222" s="125"/>
      <c r="R222" s="127"/>
      <c r="S222" s="123"/>
      <c r="T222" s="3"/>
      <c r="W222" s="86"/>
      <c r="Y222" s="75"/>
    </row>
    <row r="223" spans="1:25" x14ac:dyDescent="0.25">
      <c r="A223" s="75"/>
      <c r="C223" s="81"/>
      <c r="D223" s="81"/>
      <c r="I223" s="81"/>
      <c r="K223" s="82"/>
      <c r="L223" s="123"/>
      <c r="M223" s="3"/>
      <c r="N223" s="3"/>
      <c r="O223" s="3"/>
      <c r="P223" s="125"/>
      <c r="Q223" s="125"/>
      <c r="R223" s="127"/>
      <c r="S223" s="123"/>
      <c r="T223" s="3"/>
      <c r="W223" s="86"/>
      <c r="Y223" s="75"/>
    </row>
    <row r="224" spans="1:25" x14ac:dyDescent="0.25">
      <c r="A224" s="75"/>
      <c r="C224" s="81"/>
      <c r="D224" s="81"/>
      <c r="I224" s="81"/>
      <c r="K224" s="82"/>
      <c r="L224" s="123"/>
      <c r="M224" s="3"/>
      <c r="N224" s="3"/>
      <c r="O224" s="3"/>
      <c r="P224" s="125"/>
      <c r="Q224" s="125"/>
      <c r="R224" s="127"/>
      <c r="S224" s="123"/>
      <c r="T224" s="3"/>
      <c r="W224" s="86"/>
      <c r="Y224" s="75"/>
    </row>
    <row r="225" spans="1:25" x14ac:dyDescent="0.25">
      <c r="A225" s="75"/>
      <c r="C225" s="81"/>
      <c r="D225" s="81"/>
      <c r="I225" s="81"/>
      <c r="K225" s="82"/>
      <c r="L225" s="123"/>
      <c r="M225" s="3"/>
      <c r="N225" s="3"/>
      <c r="O225" s="3"/>
      <c r="P225" s="125"/>
      <c r="Q225" s="125"/>
      <c r="R225" s="127"/>
      <c r="S225" s="123"/>
      <c r="T225" s="3"/>
      <c r="W225" s="86"/>
      <c r="Y225" s="75"/>
    </row>
    <row r="226" spans="1:25" x14ac:dyDescent="0.25">
      <c r="A226" s="75"/>
      <c r="C226" s="81"/>
      <c r="D226" s="81"/>
      <c r="I226" s="81"/>
      <c r="K226" s="82"/>
      <c r="L226" s="123"/>
      <c r="M226" s="3"/>
      <c r="N226" s="3"/>
      <c r="O226" s="3"/>
      <c r="P226" s="125"/>
      <c r="Q226" s="125"/>
      <c r="R226" s="127"/>
      <c r="S226" s="123"/>
      <c r="T226" s="3"/>
      <c r="W226" s="86"/>
      <c r="Y226" s="75"/>
    </row>
    <row r="227" spans="1:25" x14ac:dyDescent="0.25">
      <c r="A227" s="75"/>
      <c r="C227" s="81"/>
      <c r="D227" s="81"/>
      <c r="I227" s="81"/>
      <c r="K227" s="82"/>
      <c r="L227" s="123"/>
      <c r="M227" s="3"/>
      <c r="N227" s="3"/>
      <c r="O227" s="3"/>
      <c r="P227" s="125"/>
      <c r="Q227" s="125"/>
      <c r="R227" s="127"/>
      <c r="S227" s="123"/>
      <c r="T227" s="3"/>
      <c r="W227" s="86"/>
      <c r="Y227" s="75"/>
    </row>
    <row r="228" spans="1:25" x14ac:dyDescent="0.25">
      <c r="A228" s="75"/>
      <c r="C228" s="81"/>
      <c r="D228" s="81"/>
      <c r="I228" s="81"/>
      <c r="K228" s="82"/>
      <c r="L228" s="123"/>
      <c r="M228" s="3"/>
      <c r="N228" s="3"/>
      <c r="O228" s="3"/>
      <c r="P228" s="125"/>
      <c r="Q228" s="125"/>
      <c r="R228" s="127"/>
      <c r="S228" s="123"/>
      <c r="T228" s="3"/>
      <c r="W228" s="86"/>
      <c r="Y228" s="75"/>
    </row>
    <row r="229" spans="1:25" x14ac:dyDescent="0.25">
      <c r="A229" s="75"/>
      <c r="C229" s="81"/>
      <c r="D229" s="81"/>
      <c r="I229" s="81"/>
      <c r="K229" s="82"/>
      <c r="L229" s="123"/>
      <c r="M229" s="3"/>
      <c r="N229" s="3"/>
      <c r="O229" s="3"/>
      <c r="P229" s="125"/>
      <c r="Q229" s="125"/>
      <c r="R229" s="127"/>
      <c r="S229" s="123"/>
      <c r="T229" s="3"/>
      <c r="W229" s="86"/>
      <c r="Y229" s="75"/>
    </row>
    <row r="230" spans="1:25" x14ac:dyDescent="0.25">
      <c r="A230" s="75"/>
      <c r="C230" s="81"/>
      <c r="D230" s="81"/>
      <c r="I230" s="81"/>
      <c r="K230" s="82"/>
      <c r="L230" s="123"/>
      <c r="M230" s="3"/>
      <c r="N230" s="3"/>
      <c r="O230" s="3"/>
      <c r="P230" s="125"/>
      <c r="Q230" s="125"/>
      <c r="R230" s="127"/>
      <c r="S230" s="123"/>
      <c r="T230" s="3"/>
      <c r="W230" s="86"/>
      <c r="Y230" s="75"/>
    </row>
    <row r="231" spans="1:25" x14ac:dyDescent="0.25">
      <c r="A231" s="75"/>
      <c r="C231" s="81"/>
      <c r="D231" s="81"/>
      <c r="I231" s="81"/>
      <c r="K231" s="82"/>
      <c r="L231" s="123"/>
      <c r="M231" s="3"/>
      <c r="N231" s="3"/>
      <c r="O231" s="3"/>
      <c r="P231" s="125"/>
      <c r="Q231" s="125"/>
      <c r="R231" s="127"/>
      <c r="S231" s="123"/>
      <c r="T231" s="3"/>
      <c r="W231" s="86"/>
      <c r="Y231" s="75"/>
    </row>
    <row r="232" spans="1:25" x14ac:dyDescent="0.25">
      <c r="A232" s="75"/>
      <c r="C232" s="81"/>
      <c r="D232" s="81"/>
      <c r="I232" s="81"/>
      <c r="K232" s="82"/>
      <c r="L232" s="123"/>
      <c r="M232" s="3"/>
      <c r="N232" s="3"/>
      <c r="O232" s="3"/>
      <c r="P232" s="125"/>
      <c r="Q232" s="125"/>
      <c r="R232" s="127"/>
      <c r="S232" s="123"/>
      <c r="T232" s="3"/>
      <c r="W232" s="86"/>
      <c r="Y232" s="75"/>
    </row>
    <row r="233" spans="1:25" x14ac:dyDescent="0.25">
      <c r="A233" s="75"/>
      <c r="C233" s="81"/>
      <c r="D233" s="81"/>
      <c r="I233" s="81"/>
      <c r="K233" s="82"/>
      <c r="L233" s="123"/>
      <c r="M233" s="3"/>
      <c r="N233" s="3"/>
      <c r="O233" s="3"/>
      <c r="P233" s="125"/>
      <c r="Q233" s="125"/>
      <c r="R233" s="127"/>
      <c r="S233" s="123"/>
      <c r="T233" s="3"/>
      <c r="W233" s="86"/>
      <c r="Y233" s="75"/>
    </row>
    <row r="234" spans="1:25" x14ac:dyDescent="0.25">
      <c r="A234" s="75"/>
      <c r="C234" s="81"/>
      <c r="D234" s="81"/>
      <c r="I234" s="81"/>
      <c r="K234" s="82"/>
      <c r="L234" s="123"/>
      <c r="M234" s="3"/>
      <c r="N234" s="3"/>
      <c r="O234" s="3"/>
      <c r="P234" s="125"/>
      <c r="Q234" s="125"/>
      <c r="R234" s="127"/>
      <c r="S234" s="123"/>
      <c r="T234" s="3"/>
      <c r="W234" s="86"/>
      <c r="Y234" s="75"/>
    </row>
    <row r="235" spans="1:25" x14ac:dyDescent="0.25">
      <c r="A235" s="75"/>
      <c r="C235" s="81"/>
      <c r="D235" s="81"/>
      <c r="I235" s="81"/>
      <c r="K235" s="82"/>
      <c r="L235" s="123"/>
      <c r="M235" s="3"/>
      <c r="N235" s="3"/>
      <c r="O235" s="3"/>
      <c r="P235" s="125"/>
      <c r="Q235" s="125"/>
      <c r="R235" s="127"/>
      <c r="S235" s="123"/>
      <c r="T235" s="3"/>
      <c r="W235" s="86"/>
      <c r="Y235" s="75"/>
    </row>
    <row r="236" spans="1:25" x14ac:dyDescent="0.25">
      <c r="A236" s="75"/>
      <c r="C236" s="81"/>
      <c r="D236" s="81"/>
      <c r="I236" s="81"/>
      <c r="K236" s="82"/>
      <c r="L236" s="123"/>
      <c r="M236" s="3"/>
      <c r="N236" s="3"/>
      <c r="O236" s="3"/>
      <c r="P236" s="125"/>
      <c r="Q236" s="125"/>
      <c r="R236" s="127"/>
      <c r="S236" s="123"/>
      <c r="T236" s="3"/>
      <c r="W236" s="86"/>
      <c r="Y236" s="75"/>
    </row>
    <row r="237" spans="1:25" x14ac:dyDescent="0.25">
      <c r="A237" s="75"/>
      <c r="C237" s="81"/>
      <c r="D237" s="81"/>
      <c r="I237" s="81"/>
      <c r="K237" s="82"/>
      <c r="L237" s="123"/>
      <c r="M237" s="3"/>
      <c r="N237" s="3"/>
      <c r="O237" s="3"/>
      <c r="P237" s="125"/>
      <c r="Q237" s="125"/>
      <c r="R237" s="127"/>
      <c r="S237" s="123"/>
      <c r="T237" s="3"/>
      <c r="W237" s="86"/>
      <c r="Y237" s="75"/>
    </row>
    <row r="238" spans="1:25" x14ac:dyDescent="0.25">
      <c r="A238" s="75"/>
      <c r="C238" s="81"/>
      <c r="D238" s="81"/>
      <c r="I238" s="81"/>
      <c r="K238" s="82"/>
      <c r="L238" s="123"/>
      <c r="M238" s="3"/>
      <c r="N238" s="3"/>
      <c r="O238" s="3"/>
      <c r="P238" s="125"/>
      <c r="Q238" s="125"/>
      <c r="R238" s="127"/>
      <c r="S238" s="123"/>
      <c r="T238" s="3"/>
      <c r="W238" s="86"/>
      <c r="Y238" s="75"/>
    </row>
    <row r="239" spans="1:25" x14ac:dyDescent="0.25">
      <c r="A239" s="75"/>
      <c r="C239" s="81"/>
      <c r="D239" s="81"/>
      <c r="I239" s="81"/>
      <c r="K239" s="82"/>
      <c r="L239" s="123"/>
      <c r="M239" s="3"/>
      <c r="N239" s="3"/>
      <c r="O239" s="3"/>
      <c r="P239" s="125"/>
      <c r="Q239" s="125"/>
      <c r="R239" s="127"/>
      <c r="S239" s="123"/>
      <c r="T239" s="3"/>
      <c r="W239" s="86"/>
      <c r="Y239" s="75"/>
    </row>
    <row r="240" spans="1:25" x14ac:dyDescent="0.25">
      <c r="A240" s="75"/>
      <c r="C240" s="81"/>
      <c r="D240" s="81"/>
      <c r="I240" s="81"/>
      <c r="K240" s="82"/>
      <c r="L240" s="123"/>
      <c r="M240" s="3"/>
      <c r="N240" s="3"/>
      <c r="O240" s="3"/>
      <c r="P240" s="125"/>
      <c r="Q240" s="125"/>
      <c r="R240" s="127"/>
      <c r="S240" s="123"/>
      <c r="T240" s="3"/>
      <c r="W240" s="86"/>
      <c r="Y240" s="75"/>
    </row>
    <row r="241" spans="1:25" x14ac:dyDescent="0.25">
      <c r="A241" s="75"/>
      <c r="C241" s="81"/>
      <c r="D241" s="81"/>
      <c r="I241" s="81"/>
      <c r="K241" s="82"/>
      <c r="L241" s="123"/>
      <c r="M241" s="3"/>
      <c r="N241" s="3"/>
      <c r="O241" s="3"/>
      <c r="P241" s="125"/>
      <c r="Q241" s="125"/>
      <c r="R241" s="127"/>
      <c r="S241" s="123"/>
      <c r="T241" s="3"/>
      <c r="W241" s="86"/>
      <c r="Y241" s="75"/>
    </row>
    <row r="242" spans="1:25" x14ac:dyDescent="0.25">
      <c r="A242" s="75"/>
      <c r="C242" s="81"/>
      <c r="D242" s="81"/>
      <c r="I242" s="81"/>
      <c r="K242" s="82"/>
      <c r="L242" s="123"/>
      <c r="M242" s="3"/>
      <c r="N242" s="3"/>
      <c r="O242" s="3"/>
      <c r="P242" s="125"/>
      <c r="Q242" s="125"/>
      <c r="R242" s="127"/>
      <c r="S242" s="123"/>
      <c r="T242" s="3"/>
      <c r="W242" s="86"/>
      <c r="Y242" s="75"/>
    </row>
    <row r="243" spans="1:25" x14ac:dyDescent="0.25">
      <c r="A243" s="75"/>
      <c r="C243" s="81"/>
      <c r="D243" s="81"/>
      <c r="I243" s="81"/>
      <c r="K243" s="82"/>
      <c r="L243" s="123"/>
      <c r="M243" s="3"/>
      <c r="N243" s="3"/>
      <c r="O243" s="3"/>
      <c r="P243" s="125"/>
      <c r="Q243" s="125"/>
      <c r="R243" s="127"/>
      <c r="S243" s="123"/>
      <c r="T243" s="3"/>
      <c r="W243" s="86"/>
      <c r="Y243" s="75"/>
    </row>
    <row r="244" spans="1:25" x14ac:dyDescent="0.25">
      <c r="A244" s="75"/>
      <c r="C244" s="81"/>
      <c r="D244" s="81"/>
      <c r="I244" s="81"/>
      <c r="K244" s="82"/>
      <c r="L244" s="123"/>
      <c r="M244" s="3"/>
      <c r="N244" s="3"/>
      <c r="O244" s="3"/>
      <c r="P244" s="125"/>
      <c r="Q244" s="125"/>
      <c r="R244" s="127"/>
      <c r="S244" s="123"/>
      <c r="T244" s="3"/>
      <c r="W244" s="86"/>
      <c r="Y244" s="75"/>
    </row>
    <row r="245" spans="1:25" x14ac:dyDescent="0.25">
      <c r="A245" s="75"/>
      <c r="C245" s="81"/>
      <c r="D245" s="81"/>
      <c r="I245" s="81"/>
      <c r="K245" s="82"/>
      <c r="L245" s="123"/>
      <c r="M245" s="3"/>
      <c r="N245" s="3"/>
      <c r="O245" s="3"/>
      <c r="P245" s="125"/>
      <c r="Q245" s="125"/>
      <c r="R245" s="127"/>
      <c r="S245" s="123"/>
      <c r="T245" s="3"/>
      <c r="W245" s="86"/>
      <c r="Y245" s="75"/>
    </row>
    <row r="246" spans="1:25" x14ac:dyDescent="0.25">
      <c r="A246" s="75"/>
      <c r="C246" s="81"/>
      <c r="D246" s="81"/>
      <c r="I246" s="81"/>
      <c r="K246" s="82"/>
      <c r="L246" s="123"/>
      <c r="M246" s="3"/>
      <c r="N246" s="3"/>
      <c r="O246" s="3"/>
      <c r="P246" s="125"/>
      <c r="Q246" s="125"/>
      <c r="R246" s="127"/>
      <c r="S246" s="123"/>
      <c r="T246" s="3"/>
      <c r="W246" s="86"/>
      <c r="Y246" s="75"/>
    </row>
    <row r="247" spans="1:25" x14ac:dyDescent="0.25">
      <c r="A247" s="75"/>
      <c r="C247" s="81"/>
      <c r="D247" s="81"/>
      <c r="I247" s="81"/>
      <c r="K247" s="82"/>
      <c r="L247" s="123"/>
      <c r="M247" s="3"/>
      <c r="N247" s="3"/>
      <c r="O247" s="3"/>
      <c r="P247" s="125"/>
      <c r="Q247" s="125"/>
      <c r="R247" s="127"/>
      <c r="S247" s="123"/>
      <c r="T247" s="3"/>
      <c r="W247" s="86"/>
      <c r="Y247" s="75"/>
    </row>
    <row r="248" spans="1:25" x14ac:dyDescent="0.25">
      <c r="A248" s="75"/>
      <c r="C248" s="81"/>
      <c r="D248" s="81"/>
      <c r="I248" s="81"/>
      <c r="K248" s="82"/>
      <c r="L248" s="123"/>
      <c r="M248" s="3"/>
      <c r="N248" s="3"/>
      <c r="O248" s="3"/>
      <c r="P248" s="125"/>
      <c r="Q248" s="125"/>
      <c r="R248" s="127"/>
      <c r="S248" s="123"/>
      <c r="T248" s="3"/>
      <c r="W248" s="86"/>
      <c r="Y248" s="75"/>
    </row>
    <row r="249" spans="1:25" x14ac:dyDescent="0.25">
      <c r="A249" s="75"/>
      <c r="C249" s="81"/>
      <c r="D249" s="81"/>
      <c r="I249" s="81"/>
      <c r="K249" s="82"/>
      <c r="L249" s="123"/>
      <c r="M249" s="3"/>
      <c r="N249" s="3"/>
      <c r="O249" s="3"/>
      <c r="P249" s="125"/>
      <c r="Q249" s="125"/>
      <c r="R249" s="127"/>
      <c r="S249" s="123"/>
      <c r="T249" s="3"/>
      <c r="W249" s="86"/>
      <c r="Y249" s="75"/>
    </row>
    <row r="250" spans="1:25" x14ac:dyDescent="0.25">
      <c r="A250" s="75"/>
      <c r="C250" s="81"/>
      <c r="D250" s="81"/>
      <c r="I250" s="81"/>
      <c r="K250" s="82"/>
      <c r="L250" s="123"/>
      <c r="M250" s="3"/>
      <c r="N250" s="3"/>
      <c r="O250" s="3"/>
      <c r="P250" s="125"/>
      <c r="Q250" s="125"/>
      <c r="R250" s="127"/>
      <c r="S250" s="123"/>
      <c r="T250" s="3"/>
      <c r="W250" s="86"/>
      <c r="Y250" s="75"/>
    </row>
    <row r="251" spans="1:25" x14ac:dyDescent="0.25">
      <c r="A251" s="75"/>
      <c r="C251" s="81"/>
      <c r="D251" s="81"/>
      <c r="I251" s="81"/>
      <c r="K251" s="82"/>
      <c r="L251" s="123"/>
      <c r="M251" s="3"/>
      <c r="N251" s="3"/>
      <c r="O251" s="3"/>
      <c r="P251" s="125"/>
      <c r="Q251" s="125"/>
      <c r="R251" s="127"/>
      <c r="S251" s="123"/>
      <c r="T251" s="3"/>
      <c r="W251" s="86"/>
      <c r="Y251" s="75"/>
    </row>
    <row r="252" spans="1:25" x14ac:dyDescent="0.25">
      <c r="A252" s="75"/>
      <c r="C252" s="81"/>
      <c r="D252" s="81"/>
      <c r="I252" s="81"/>
      <c r="K252" s="82"/>
      <c r="L252" s="123"/>
      <c r="M252" s="3"/>
      <c r="N252" s="3"/>
      <c r="O252" s="3"/>
      <c r="P252" s="125"/>
      <c r="Q252" s="125"/>
      <c r="R252" s="127"/>
      <c r="S252" s="123"/>
      <c r="T252" s="3"/>
      <c r="W252" s="86"/>
      <c r="Y252" s="75"/>
    </row>
    <row r="253" spans="1:25" x14ac:dyDescent="0.25">
      <c r="A253" s="75"/>
      <c r="C253" s="81"/>
      <c r="D253" s="81"/>
      <c r="I253" s="81"/>
      <c r="K253" s="82"/>
      <c r="L253" s="123"/>
      <c r="M253" s="3"/>
      <c r="N253" s="3"/>
      <c r="O253" s="3"/>
      <c r="P253" s="125"/>
      <c r="Q253" s="125"/>
      <c r="R253" s="127"/>
      <c r="S253" s="123"/>
      <c r="T253" s="3"/>
      <c r="W253" s="86"/>
      <c r="Y253" s="75"/>
    </row>
    <row r="254" spans="1:25" x14ac:dyDescent="0.25">
      <c r="A254" s="75"/>
      <c r="C254" s="81"/>
      <c r="D254" s="81"/>
      <c r="I254" s="81"/>
      <c r="K254" s="82"/>
      <c r="L254" s="123"/>
      <c r="M254" s="3"/>
      <c r="N254" s="3"/>
      <c r="O254" s="3"/>
      <c r="P254" s="125"/>
      <c r="Q254" s="125"/>
      <c r="R254" s="127"/>
      <c r="S254" s="123"/>
      <c r="T254" s="3"/>
      <c r="W254" s="86"/>
      <c r="Y254" s="75"/>
    </row>
    <row r="255" spans="1:25" x14ac:dyDescent="0.25">
      <c r="A255" s="75"/>
      <c r="C255" s="81"/>
      <c r="D255" s="81"/>
      <c r="I255" s="81"/>
      <c r="K255" s="82"/>
      <c r="L255" s="123"/>
      <c r="M255" s="3"/>
      <c r="N255" s="3"/>
      <c r="O255" s="3"/>
      <c r="P255" s="125"/>
      <c r="Q255" s="125"/>
      <c r="R255" s="127"/>
      <c r="S255" s="123"/>
      <c r="T255" s="3"/>
      <c r="W255" s="86"/>
      <c r="Y255" s="75"/>
    </row>
    <row r="256" spans="1:25" x14ac:dyDescent="0.25">
      <c r="A256" s="75"/>
      <c r="C256" s="81"/>
      <c r="D256" s="81"/>
      <c r="I256" s="81"/>
      <c r="K256" s="82"/>
      <c r="L256" s="123"/>
      <c r="M256" s="3"/>
      <c r="N256" s="3"/>
      <c r="O256" s="3"/>
      <c r="P256" s="125"/>
      <c r="Q256" s="125"/>
      <c r="R256" s="127"/>
      <c r="S256" s="123"/>
      <c r="T256" s="3"/>
      <c r="W256" s="86"/>
      <c r="Y256" s="75"/>
    </row>
    <row r="257" spans="1:25" x14ac:dyDescent="0.25">
      <c r="A257" s="75"/>
      <c r="C257" s="81"/>
      <c r="D257" s="81"/>
      <c r="I257" s="81"/>
      <c r="K257" s="82"/>
      <c r="L257" s="123"/>
      <c r="M257" s="3"/>
      <c r="N257" s="3"/>
      <c r="O257" s="3"/>
      <c r="P257" s="125"/>
      <c r="Q257" s="125"/>
      <c r="R257" s="127"/>
      <c r="S257" s="123"/>
      <c r="T257" s="3"/>
      <c r="W257" s="86"/>
      <c r="Y257" s="75"/>
    </row>
    <row r="258" spans="1:25" x14ac:dyDescent="0.25">
      <c r="A258" s="75"/>
      <c r="C258" s="81"/>
      <c r="D258" s="81"/>
      <c r="I258" s="81"/>
      <c r="K258" s="82"/>
      <c r="L258" s="123"/>
      <c r="M258" s="3"/>
      <c r="N258" s="3"/>
      <c r="O258" s="3"/>
      <c r="P258" s="125"/>
      <c r="Q258" s="125"/>
      <c r="R258" s="127"/>
      <c r="S258" s="123"/>
      <c r="T258" s="3"/>
      <c r="W258" s="86"/>
      <c r="Y258" s="75"/>
    </row>
    <row r="259" spans="1:25" x14ac:dyDescent="0.25">
      <c r="A259" s="75"/>
      <c r="C259" s="81"/>
      <c r="D259" s="81"/>
      <c r="I259" s="81"/>
      <c r="K259" s="82"/>
      <c r="L259" s="123"/>
      <c r="M259" s="3"/>
      <c r="N259" s="3"/>
      <c r="O259" s="3"/>
      <c r="P259" s="125"/>
      <c r="Q259" s="125"/>
      <c r="R259" s="127"/>
      <c r="S259" s="123"/>
      <c r="T259" s="3"/>
      <c r="W259" s="86"/>
      <c r="Y259" s="75"/>
    </row>
    <row r="260" spans="1:25" x14ac:dyDescent="0.25">
      <c r="A260" s="75"/>
      <c r="C260" s="81"/>
      <c r="D260" s="81"/>
      <c r="I260" s="81"/>
      <c r="K260" s="82"/>
      <c r="L260" s="123"/>
      <c r="M260" s="3"/>
      <c r="N260" s="3"/>
      <c r="O260" s="3"/>
      <c r="P260" s="125"/>
      <c r="Q260" s="125"/>
      <c r="R260" s="127"/>
      <c r="S260" s="123"/>
      <c r="T260" s="3"/>
      <c r="W260" s="86"/>
      <c r="Y260" s="75"/>
    </row>
    <row r="261" spans="1:25" x14ac:dyDescent="0.25">
      <c r="A261" s="75"/>
      <c r="C261" s="81"/>
      <c r="D261" s="81"/>
      <c r="I261" s="81"/>
      <c r="K261" s="82"/>
      <c r="L261" s="123"/>
      <c r="M261" s="3"/>
      <c r="N261" s="3"/>
      <c r="O261" s="3"/>
      <c r="P261" s="125"/>
      <c r="Q261" s="125"/>
      <c r="R261" s="127"/>
      <c r="S261" s="123"/>
      <c r="T261" s="3"/>
      <c r="W261" s="86"/>
      <c r="Y261" s="75"/>
    </row>
    <row r="262" spans="1:25" x14ac:dyDescent="0.25">
      <c r="A262" s="75"/>
      <c r="C262" s="81"/>
      <c r="D262" s="81"/>
      <c r="I262" s="81"/>
      <c r="K262" s="82"/>
      <c r="L262" s="123"/>
      <c r="M262" s="3"/>
      <c r="N262" s="3"/>
      <c r="O262" s="3"/>
      <c r="P262" s="125"/>
      <c r="Q262" s="125"/>
      <c r="R262" s="127"/>
      <c r="S262" s="123"/>
      <c r="T262" s="3"/>
      <c r="W262" s="86"/>
      <c r="Y262" s="75"/>
    </row>
    <row r="263" spans="1:25" x14ac:dyDescent="0.25">
      <c r="A263" s="75"/>
      <c r="C263" s="81"/>
      <c r="D263" s="81"/>
      <c r="I263" s="81"/>
      <c r="K263" s="82"/>
      <c r="L263" s="123"/>
      <c r="M263" s="3"/>
      <c r="N263" s="3"/>
      <c r="O263" s="3"/>
      <c r="P263" s="125"/>
      <c r="Q263" s="125"/>
      <c r="R263" s="127"/>
      <c r="S263" s="123"/>
      <c r="T263" s="3"/>
      <c r="W263" s="86"/>
      <c r="Y263" s="75"/>
    </row>
    <row r="264" spans="1:25" x14ac:dyDescent="0.25">
      <c r="A264" s="75"/>
      <c r="C264" s="81"/>
      <c r="D264" s="81"/>
      <c r="I264" s="81"/>
      <c r="K264" s="82"/>
      <c r="L264" s="123"/>
      <c r="M264" s="3"/>
      <c r="N264" s="3"/>
      <c r="O264" s="3"/>
      <c r="P264" s="125"/>
      <c r="Q264" s="125"/>
      <c r="R264" s="127"/>
      <c r="S264" s="123"/>
      <c r="T264" s="3"/>
      <c r="W264" s="86"/>
      <c r="Y264" s="75"/>
    </row>
    <row r="265" spans="1:25" x14ac:dyDescent="0.25">
      <c r="A265" s="75"/>
      <c r="C265" s="81"/>
      <c r="D265" s="81"/>
      <c r="I265" s="81"/>
      <c r="K265" s="82"/>
      <c r="L265" s="123"/>
      <c r="M265" s="3"/>
      <c r="N265" s="3"/>
      <c r="O265" s="3"/>
      <c r="P265" s="125"/>
      <c r="Q265" s="125"/>
      <c r="R265" s="127"/>
      <c r="S265" s="123"/>
      <c r="T265" s="3"/>
      <c r="W265" s="86"/>
      <c r="Y265" s="75"/>
    </row>
    <row r="266" spans="1:25" x14ac:dyDescent="0.25">
      <c r="A266" s="75"/>
      <c r="C266" s="81"/>
      <c r="D266" s="81"/>
      <c r="I266" s="81"/>
      <c r="K266" s="82"/>
      <c r="L266" s="123"/>
      <c r="M266" s="3"/>
      <c r="N266" s="3"/>
      <c r="O266" s="3"/>
      <c r="P266" s="125"/>
      <c r="Q266" s="125"/>
      <c r="R266" s="127"/>
      <c r="S266" s="123"/>
      <c r="T266" s="3"/>
      <c r="W266" s="86"/>
      <c r="Y266" s="75"/>
    </row>
    <row r="267" spans="1:25" x14ac:dyDescent="0.25">
      <c r="A267" s="75"/>
      <c r="C267" s="81"/>
      <c r="D267" s="81"/>
      <c r="I267" s="81"/>
      <c r="K267" s="82"/>
      <c r="L267" s="123"/>
      <c r="M267" s="3"/>
      <c r="N267" s="3"/>
      <c r="O267" s="3"/>
      <c r="P267" s="125"/>
      <c r="Q267" s="125"/>
      <c r="R267" s="127"/>
      <c r="S267" s="123"/>
      <c r="T267" s="3"/>
      <c r="W267" s="86"/>
      <c r="Y267" s="75"/>
    </row>
    <row r="268" spans="1:25" x14ac:dyDescent="0.25">
      <c r="A268" s="75"/>
      <c r="C268" s="81"/>
      <c r="D268" s="81"/>
      <c r="I268" s="81"/>
      <c r="K268" s="82"/>
      <c r="L268" s="123"/>
      <c r="M268" s="3"/>
      <c r="N268" s="3"/>
      <c r="O268" s="3"/>
      <c r="P268" s="125"/>
      <c r="Q268" s="125"/>
      <c r="R268" s="127"/>
      <c r="S268" s="123"/>
      <c r="T268" s="3"/>
      <c r="W268" s="86"/>
      <c r="Y268" s="75"/>
    </row>
    <row r="269" spans="1:25" x14ac:dyDescent="0.25">
      <c r="A269" s="75"/>
      <c r="C269" s="81"/>
      <c r="D269" s="81"/>
      <c r="I269" s="81"/>
      <c r="K269" s="82"/>
      <c r="L269" s="123"/>
      <c r="M269" s="3"/>
      <c r="N269" s="3"/>
      <c r="O269" s="3"/>
      <c r="P269" s="125"/>
      <c r="Q269" s="125"/>
      <c r="R269" s="127"/>
      <c r="S269" s="123"/>
      <c r="T269" s="3"/>
      <c r="W269" s="86"/>
      <c r="Y269" s="75"/>
    </row>
    <row r="270" spans="1:25" x14ac:dyDescent="0.25">
      <c r="A270" s="75"/>
      <c r="C270" s="81"/>
      <c r="D270" s="81"/>
      <c r="I270" s="81"/>
      <c r="K270" s="82"/>
      <c r="L270" s="123"/>
      <c r="M270" s="3"/>
      <c r="N270" s="3"/>
      <c r="O270" s="3"/>
      <c r="P270" s="125"/>
      <c r="Q270" s="125"/>
      <c r="R270" s="127"/>
      <c r="S270" s="123"/>
      <c r="T270" s="3"/>
      <c r="W270" s="86"/>
      <c r="Y270" s="75"/>
    </row>
    <row r="271" spans="1:25" x14ac:dyDescent="0.25">
      <c r="A271" s="75"/>
      <c r="C271" s="81"/>
      <c r="D271" s="81"/>
      <c r="I271" s="81"/>
      <c r="K271" s="82"/>
      <c r="L271" s="123"/>
      <c r="M271" s="3"/>
      <c r="N271" s="3"/>
      <c r="O271" s="3"/>
      <c r="P271" s="125"/>
      <c r="Q271" s="125"/>
      <c r="R271" s="127"/>
      <c r="S271" s="123"/>
      <c r="T271" s="3"/>
      <c r="W271" s="86"/>
      <c r="Y271" s="75"/>
    </row>
    <row r="272" spans="1:25" x14ac:dyDescent="0.25">
      <c r="A272" s="75"/>
      <c r="C272" s="81"/>
      <c r="D272" s="81"/>
      <c r="I272" s="81"/>
      <c r="K272" s="82"/>
      <c r="L272" s="123"/>
      <c r="M272" s="3"/>
      <c r="N272" s="3"/>
      <c r="O272" s="3"/>
      <c r="P272" s="125"/>
      <c r="Q272" s="125"/>
      <c r="R272" s="127"/>
      <c r="S272" s="123"/>
      <c r="T272" s="3"/>
      <c r="W272" s="86"/>
      <c r="Y272" s="75"/>
    </row>
    <row r="273" spans="1:25" x14ac:dyDescent="0.25">
      <c r="A273" s="75"/>
      <c r="C273" s="81"/>
      <c r="D273" s="81"/>
      <c r="I273" s="81"/>
      <c r="K273" s="82"/>
      <c r="L273" s="123"/>
      <c r="M273" s="3"/>
      <c r="N273" s="3"/>
      <c r="O273" s="3"/>
      <c r="P273" s="125"/>
      <c r="Q273" s="125"/>
      <c r="R273" s="127"/>
      <c r="S273" s="123"/>
      <c r="T273" s="3"/>
      <c r="W273" s="86"/>
      <c r="Y273" s="75"/>
    </row>
    <row r="274" spans="1:25" x14ac:dyDescent="0.25">
      <c r="A274" s="75"/>
      <c r="C274" s="81"/>
      <c r="D274" s="81"/>
      <c r="I274" s="81"/>
      <c r="K274" s="82"/>
      <c r="L274" s="123"/>
      <c r="M274" s="3"/>
      <c r="N274" s="3"/>
      <c r="O274" s="3"/>
      <c r="P274" s="125"/>
      <c r="Q274" s="125"/>
      <c r="R274" s="127"/>
      <c r="S274" s="123"/>
      <c r="T274" s="3"/>
      <c r="W274" s="86"/>
      <c r="Y274" s="75"/>
    </row>
    <row r="275" spans="1:25" x14ac:dyDescent="0.25">
      <c r="A275" s="75"/>
      <c r="C275" s="81"/>
      <c r="D275" s="81"/>
      <c r="I275" s="81"/>
      <c r="K275" s="82"/>
      <c r="L275" s="123"/>
      <c r="M275" s="3"/>
      <c r="N275" s="3"/>
      <c r="O275" s="3"/>
      <c r="P275" s="125"/>
      <c r="Q275" s="125"/>
      <c r="R275" s="127"/>
      <c r="S275" s="123"/>
      <c r="T275" s="3"/>
      <c r="W275" s="86"/>
      <c r="Y275" s="75"/>
    </row>
    <row r="276" spans="1:25" x14ac:dyDescent="0.25">
      <c r="A276" s="75"/>
      <c r="C276" s="81"/>
      <c r="D276" s="81"/>
      <c r="I276" s="81"/>
      <c r="K276" s="82"/>
      <c r="L276" s="123"/>
      <c r="M276" s="3"/>
      <c r="N276" s="3"/>
      <c r="O276" s="3"/>
      <c r="P276" s="125"/>
      <c r="Q276" s="125"/>
      <c r="R276" s="127"/>
      <c r="S276" s="123"/>
      <c r="T276" s="3"/>
      <c r="W276" s="86"/>
      <c r="Y276" s="75"/>
    </row>
    <row r="277" spans="1:25" x14ac:dyDescent="0.25">
      <c r="A277" s="75"/>
      <c r="C277" s="81"/>
      <c r="D277" s="81"/>
      <c r="I277" s="81"/>
      <c r="K277" s="82"/>
      <c r="L277" s="123"/>
      <c r="M277" s="3"/>
      <c r="N277" s="3"/>
      <c r="O277" s="3"/>
      <c r="P277" s="125"/>
      <c r="Q277" s="125"/>
      <c r="R277" s="127"/>
      <c r="S277" s="123"/>
      <c r="T277" s="3"/>
      <c r="W277" s="86"/>
      <c r="Y277" s="75"/>
    </row>
    <row r="278" spans="1:25" x14ac:dyDescent="0.25">
      <c r="A278" s="75"/>
      <c r="C278" s="81"/>
      <c r="D278" s="81"/>
      <c r="I278" s="81"/>
      <c r="K278" s="82"/>
      <c r="L278" s="123"/>
      <c r="M278" s="3"/>
      <c r="N278" s="3"/>
      <c r="O278" s="3"/>
      <c r="P278" s="125"/>
      <c r="Q278" s="125"/>
      <c r="R278" s="127"/>
      <c r="S278" s="123"/>
      <c r="T278" s="3"/>
      <c r="W278" s="86"/>
      <c r="Y278" s="75"/>
    </row>
    <row r="279" spans="1:25" x14ac:dyDescent="0.25">
      <c r="A279" s="75"/>
      <c r="C279" s="81"/>
      <c r="D279" s="81"/>
      <c r="I279" s="81"/>
      <c r="K279" s="82"/>
      <c r="L279" s="123"/>
      <c r="M279" s="3"/>
      <c r="N279" s="3"/>
      <c r="O279" s="3"/>
      <c r="P279" s="125"/>
      <c r="Q279" s="125"/>
      <c r="R279" s="127"/>
      <c r="S279" s="123"/>
      <c r="T279" s="3"/>
      <c r="W279" s="86"/>
      <c r="Y279" s="75"/>
    </row>
    <row r="280" spans="1:25" x14ac:dyDescent="0.25">
      <c r="A280" s="75"/>
      <c r="C280" s="81"/>
      <c r="D280" s="81"/>
      <c r="I280" s="81"/>
      <c r="K280" s="82"/>
      <c r="L280" s="123"/>
      <c r="M280" s="3"/>
      <c r="N280" s="3"/>
      <c r="O280" s="3"/>
      <c r="P280" s="125"/>
      <c r="Q280" s="125"/>
      <c r="R280" s="127"/>
      <c r="S280" s="123"/>
      <c r="T280" s="3"/>
      <c r="W280" s="86"/>
      <c r="Y280" s="75"/>
    </row>
    <row r="281" spans="1:25" x14ac:dyDescent="0.25">
      <c r="A281" s="75"/>
      <c r="C281" s="81"/>
      <c r="D281" s="81"/>
      <c r="I281" s="81"/>
      <c r="K281" s="82"/>
      <c r="L281" s="123"/>
      <c r="M281" s="3"/>
      <c r="N281" s="3"/>
      <c r="O281" s="3"/>
      <c r="P281" s="125"/>
      <c r="Q281" s="125"/>
      <c r="R281" s="127"/>
      <c r="S281" s="123"/>
      <c r="T281" s="3"/>
      <c r="W281" s="86"/>
      <c r="Y281" s="75"/>
    </row>
    <row r="282" spans="1:25" x14ac:dyDescent="0.25">
      <c r="A282" s="75"/>
      <c r="C282" s="81"/>
      <c r="D282" s="81"/>
      <c r="I282" s="81"/>
      <c r="K282" s="82"/>
      <c r="L282" s="123"/>
      <c r="M282" s="3"/>
      <c r="N282" s="3"/>
      <c r="O282" s="3"/>
      <c r="P282" s="125"/>
      <c r="Q282" s="125"/>
      <c r="R282" s="127"/>
      <c r="S282" s="123"/>
      <c r="T282" s="3"/>
      <c r="W282" s="86"/>
      <c r="Y282" s="75"/>
    </row>
    <row r="283" spans="1:25" x14ac:dyDescent="0.25">
      <c r="A283" s="75"/>
      <c r="C283" s="81"/>
      <c r="D283" s="81"/>
      <c r="I283" s="81"/>
      <c r="K283" s="82"/>
      <c r="L283" s="123"/>
      <c r="M283" s="3"/>
      <c r="N283" s="3"/>
      <c r="O283" s="3"/>
      <c r="P283" s="125"/>
      <c r="Q283" s="125"/>
      <c r="R283" s="127"/>
      <c r="S283" s="123"/>
      <c r="T283" s="3"/>
      <c r="W283" s="86"/>
      <c r="Y283" s="75"/>
    </row>
    <row r="284" spans="1:25" x14ac:dyDescent="0.25">
      <c r="A284" s="75"/>
      <c r="C284" s="81"/>
      <c r="D284" s="81"/>
      <c r="I284" s="81"/>
      <c r="K284" s="82"/>
      <c r="L284" s="123"/>
      <c r="M284" s="3"/>
      <c r="N284" s="3"/>
      <c r="O284" s="3"/>
      <c r="P284" s="125"/>
      <c r="Q284" s="125"/>
      <c r="R284" s="127"/>
      <c r="S284" s="123"/>
      <c r="T284" s="3"/>
      <c r="W284" s="86"/>
      <c r="Y284" s="75"/>
    </row>
    <row r="285" spans="1:25" x14ac:dyDescent="0.25">
      <c r="A285" s="75"/>
      <c r="C285" s="81"/>
      <c r="D285" s="81"/>
      <c r="I285" s="81"/>
      <c r="K285" s="82"/>
      <c r="L285" s="123"/>
      <c r="M285" s="3"/>
      <c r="N285" s="3"/>
      <c r="O285" s="3"/>
      <c r="P285" s="125"/>
      <c r="Q285" s="125"/>
      <c r="R285" s="127"/>
      <c r="S285" s="123"/>
      <c r="T285" s="3"/>
      <c r="W285" s="86"/>
      <c r="Y285" s="75"/>
    </row>
    <row r="286" spans="1:25" x14ac:dyDescent="0.25">
      <c r="A286" s="75"/>
      <c r="C286" s="81"/>
      <c r="D286" s="81"/>
      <c r="I286" s="81"/>
      <c r="K286" s="82"/>
      <c r="L286" s="123"/>
      <c r="M286" s="3"/>
      <c r="N286" s="3"/>
      <c r="O286" s="3"/>
      <c r="P286" s="125"/>
      <c r="Q286" s="125"/>
      <c r="R286" s="127"/>
      <c r="S286" s="123"/>
      <c r="T286" s="3"/>
      <c r="W286" s="86"/>
      <c r="Y286" s="75"/>
    </row>
    <row r="287" spans="1:25" x14ac:dyDescent="0.25">
      <c r="A287" s="75"/>
      <c r="C287" s="81"/>
      <c r="D287" s="81"/>
      <c r="I287" s="81"/>
      <c r="K287" s="82"/>
      <c r="L287" s="123"/>
      <c r="M287" s="3"/>
      <c r="N287" s="3"/>
      <c r="O287" s="3"/>
      <c r="P287" s="125"/>
      <c r="Q287" s="125"/>
      <c r="R287" s="127"/>
      <c r="S287" s="123"/>
      <c r="T287" s="3"/>
      <c r="W287" s="86"/>
      <c r="Y287" s="75"/>
    </row>
    <row r="288" spans="1:25" x14ac:dyDescent="0.25">
      <c r="A288" s="75"/>
      <c r="C288" s="81"/>
      <c r="D288" s="81"/>
      <c r="I288" s="81"/>
      <c r="K288" s="82"/>
      <c r="L288" s="123"/>
      <c r="M288" s="3"/>
      <c r="N288" s="3"/>
      <c r="O288" s="3"/>
      <c r="P288" s="125"/>
      <c r="Q288" s="125"/>
      <c r="R288" s="127"/>
      <c r="S288" s="123"/>
      <c r="T288" s="3"/>
      <c r="W288" s="86"/>
      <c r="Y288" s="75"/>
    </row>
    <row r="289" spans="1:25" x14ac:dyDescent="0.25">
      <c r="A289" s="75"/>
      <c r="C289" s="81"/>
      <c r="D289" s="81"/>
      <c r="I289" s="81"/>
      <c r="K289" s="82"/>
      <c r="L289" s="123"/>
      <c r="M289" s="3"/>
      <c r="N289" s="3"/>
      <c r="O289" s="3"/>
      <c r="P289" s="125"/>
      <c r="Q289" s="125"/>
      <c r="R289" s="127"/>
      <c r="S289" s="123"/>
      <c r="T289" s="3"/>
      <c r="W289" s="86"/>
      <c r="Y289" s="75"/>
    </row>
    <row r="290" spans="1:25" x14ac:dyDescent="0.25">
      <c r="A290" s="75"/>
      <c r="C290" s="81"/>
      <c r="D290" s="81"/>
      <c r="I290" s="81"/>
      <c r="K290" s="82"/>
      <c r="L290" s="123"/>
      <c r="M290" s="3"/>
      <c r="N290" s="3"/>
      <c r="O290" s="3"/>
      <c r="P290" s="125"/>
      <c r="Q290" s="125"/>
      <c r="R290" s="127"/>
      <c r="S290" s="123"/>
      <c r="T290" s="3"/>
      <c r="W290" s="86"/>
      <c r="Y290" s="75"/>
    </row>
    <row r="291" spans="1:25" x14ac:dyDescent="0.25">
      <c r="A291" s="75"/>
      <c r="C291" s="81"/>
      <c r="D291" s="81"/>
      <c r="I291" s="81"/>
      <c r="K291" s="82"/>
      <c r="L291" s="123"/>
      <c r="M291" s="3"/>
      <c r="N291" s="3"/>
      <c r="O291" s="3"/>
      <c r="P291" s="125"/>
      <c r="Q291" s="125"/>
      <c r="R291" s="127"/>
      <c r="S291" s="123"/>
      <c r="T291" s="3"/>
      <c r="W291" s="86"/>
      <c r="Y291" s="75"/>
    </row>
    <row r="292" spans="1:25" x14ac:dyDescent="0.25">
      <c r="A292" s="75"/>
      <c r="C292" s="81"/>
      <c r="D292" s="81"/>
      <c r="I292" s="81"/>
      <c r="K292" s="82"/>
      <c r="L292" s="123"/>
      <c r="M292" s="3"/>
      <c r="N292" s="3"/>
      <c r="O292" s="3"/>
      <c r="P292" s="125"/>
      <c r="Q292" s="125"/>
      <c r="R292" s="127"/>
      <c r="S292" s="123"/>
      <c r="T292" s="3"/>
      <c r="W292" s="86"/>
      <c r="Y292" s="75"/>
    </row>
    <row r="293" spans="1:25" x14ac:dyDescent="0.25">
      <c r="A293" s="75"/>
      <c r="C293" s="81"/>
      <c r="D293" s="81"/>
      <c r="I293" s="81"/>
      <c r="K293" s="82"/>
      <c r="L293" s="123"/>
      <c r="M293" s="3"/>
      <c r="N293" s="3"/>
      <c r="O293" s="3"/>
      <c r="P293" s="125"/>
      <c r="Q293" s="125"/>
      <c r="R293" s="127"/>
      <c r="S293" s="123"/>
      <c r="T293" s="3"/>
      <c r="W293" s="86"/>
      <c r="Y293" s="75"/>
    </row>
    <row r="294" spans="1:25" x14ac:dyDescent="0.25">
      <c r="A294" s="75"/>
      <c r="C294" s="81"/>
      <c r="D294" s="81"/>
      <c r="I294" s="81"/>
      <c r="K294" s="82"/>
      <c r="L294" s="123"/>
      <c r="M294" s="3"/>
      <c r="N294" s="3"/>
      <c r="O294" s="3"/>
      <c r="P294" s="125"/>
      <c r="Q294" s="125"/>
      <c r="R294" s="127"/>
      <c r="S294" s="123"/>
      <c r="T294" s="3"/>
      <c r="W294" s="86"/>
      <c r="Y294" s="75"/>
    </row>
    <row r="295" spans="1:25" x14ac:dyDescent="0.25">
      <c r="A295" s="75"/>
      <c r="C295" s="81"/>
      <c r="D295" s="81"/>
      <c r="I295" s="81"/>
      <c r="K295" s="82"/>
      <c r="L295" s="123"/>
      <c r="M295" s="3"/>
      <c r="N295" s="3"/>
      <c r="O295" s="3"/>
      <c r="P295" s="125"/>
      <c r="Q295" s="125"/>
      <c r="R295" s="127"/>
      <c r="S295" s="123"/>
      <c r="T295" s="3"/>
      <c r="W295" s="86"/>
      <c r="Y295" s="75"/>
    </row>
    <row r="296" spans="1:25" x14ac:dyDescent="0.25">
      <c r="A296" s="75"/>
      <c r="C296" s="81"/>
      <c r="D296" s="81"/>
      <c r="I296" s="81"/>
      <c r="K296" s="82"/>
      <c r="L296" s="123"/>
      <c r="M296" s="3"/>
      <c r="N296" s="3"/>
      <c r="O296" s="3"/>
      <c r="P296" s="125"/>
      <c r="Q296" s="125"/>
      <c r="R296" s="127"/>
      <c r="S296" s="123"/>
      <c r="T296" s="3"/>
      <c r="W296" s="86"/>
      <c r="Y296" s="75"/>
    </row>
    <row r="297" spans="1:25" x14ac:dyDescent="0.25">
      <c r="A297" s="75"/>
      <c r="C297" s="81"/>
      <c r="D297" s="81"/>
      <c r="I297" s="81"/>
      <c r="K297" s="82"/>
      <c r="L297" s="123"/>
      <c r="M297" s="3"/>
      <c r="N297" s="3"/>
      <c r="O297" s="3"/>
      <c r="P297" s="125"/>
      <c r="Q297" s="125"/>
      <c r="R297" s="127"/>
      <c r="S297" s="123"/>
      <c r="T297" s="3"/>
      <c r="W297" s="86"/>
      <c r="Y297" s="75"/>
    </row>
    <row r="298" spans="1:25" x14ac:dyDescent="0.25">
      <c r="A298" s="75"/>
      <c r="C298" s="81"/>
      <c r="D298" s="81"/>
      <c r="I298" s="81"/>
      <c r="K298" s="82"/>
      <c r="L298" s="123"/>
      <c r="M298" s="3"/>
      <c r="N298" s="3"/>
      <c r="O298" s="3"/>
      <c r="P298" s="125"/>
      <c r="Q298" s="125"/>
      <c r="R298" s="127"/>
      <c r="S298" s="123"/>
      <c r="T298" s="3"/>
      <c r="W298" s="86"/>
      <c r="Y298" s="75"/>
    </row>
    <row r="299" spans="1:25" x14ac:dyDescent="0.25">
      <c r="A299" s="75"/>
      <c r="C299" s="81"/>
      <c r="D299" s="81"/>
      <c r="I299" s="81"/>
      <c r="K299" s="82"/>
      <c r="L299" s="123"/>
      <c r="M299" s="3"/>
      <c r="N299" s="3"/>
      <c r="O299" s="3"/>
      <c r="P299" s="125"/>
      <c r="Q299" s="125"/>
      <c r="R299" s="127"/>
      <c r="S299" s="123"/>
      <c r="T299" s="3"/>
      <c r="W299" s="86"/>
      <c r="Y299" s="75"/>
    </row>
    <row r="300" spans="1:25" x14ac:dyDescent="0.25">
      <c r="A300" s="75"/>
      <c r="C300" s="81"/>
      <c r="D300" s="81"/>
      <c r="I300" s="81"/>
      <c r="K300" s="82"/>
      <c r="L300" s="123"/>
      <c r="M300" s="3"/>
      <c r="N300" s="3"/>
      <c r="O300" s="3"/>
      <c r="P300" s="125"/>
      <c r="Q300" s="125"/>
      <c r="R300" s="127"/>
      <c r="S300" s="123"/>
      <c r="T300" s="3"/>
      <c r="W300" s="86"/>
      <c r="Y300" s="75"/>
    </row>
    <row r="301" spans="1:25" x14ac:dyDescent="0.25">
      <c r="A301" s="75"/>
      <c r="C301" s="81"/>
      <c r="D301" s="81"/>
      <c r="I301" s="81"/>
      <c r="K301" s="82"/>
      <c r="L301" s="123"/>
      <c r="M301" s="3"/>
      <c r="N301" s="3"/>
      <c r="O301" s="3"/>
      <c r="P301" s="125"/>
      <c r="Q301" s="125"/>
      <c r="R301" s="127"/>
      <c r="S301" s="123"/>
      <c r="T301" s="3"/>
      <c r="W301" s="86"/>
      <c r="Y301" s="75"/>
    </row>
    <row r="302" spans="1:25" x14ac:dyDescent="0.25">
      <c r="A302" s="75"/>
      <c r="C302" s="81"/>
      <c r="D302" s="81"/>
      <c r="I302" s="81"/>
      <c r="K302" s="82"/>
      <c r="L302" s="123"/>
      <c r="M302" s="3"/>
      <c r="N302" s="3"/>
      <c r="O302" s="3"/>
      <c r="P302" s="125"/>
      <c r="Q302" s="125"/>
      <c r="R302" s="127"/>
      <c r="S302" s="123"/>
      <c r="T302" s="3"/>
      <c r="W302" s="86"/>
      <c r="Y302" s="75"/>
    </row>
    <row r="303" spans="1:25" x14ac:dyDescent="0.25">
      <c r="A303" s="75"/>
      <c r="C303" s="81"/>
      <c r="D303" s="81"/>
      <c r="I303" s="81"/>
      <c r="K303" s="82"/>
      <c r="L303" s="123"/>
      <c r="M303" s="3"/>
      <c r="N303" s="3"/>
      <c r="O303" s="3"/>
      <c r="P303" s="125"/>
      <c r="Q303" s="125"/>
      <c r="R303" s="127"/>
      <c r="S303" s="123"/>
      <c r="T303" s="3"/>
      <c r="W303" s="86"/>
      <c r="Y303" s="75"/>
    </row>
    <row r="304" spans="1:25" x14ac:dyDescent="0.25">
      <c r="A304" s="75"/>
      <c r="C304" s="81"/>
      <c r="D304" s="81"/>
      <c r="I304" s="81"/>
      <c r="K304" s="82"/>
      <c r="L304" s="123"/>
      <c r="M304" s="3"/>
      <c r="N304" s="3"/>
      <c r="O304" s="3"/>
      <c r="P304" s="125"/>
      <c r="Q304" s="125"/>
      <c r="R304" s="127"/>
      <c r="S304" s="123"/>
      <c r="T304" s="3"/>
      <c r="W304" s="86"/>
      <c r="Y304" s="75"/>
    </row>
    <row r="305" spans="1:25" x14ac:dyDescent="0.25">
      <c r="A305" s="75"/>
      <c r="C305" s="81"/>
      <c r="D305" s="81"/>
      <c r="I305" s="81"/>
      <c r="K305" s="82"/>
      <c r="L305" s="123"/>
      <c r="M305" s="3"/>
      <c r="N305" s="3"/>
      <c r="O305" s="3"/>
      <c r="P305" s="125"/>
      <c r="Q305" s="125"/>
      <c r="R305" s="127"/>
      <c r="S305" s="123"/>
      <c r="T305" s="3"/>
      <c r="W305" s="86"/>
      <c r="Y305" s="75"/>
    </row>
    <row r="306" spans="1:25" x14ac:dyDescent="0.25">
      <c r="A306" s="75"/>
      <c r="C306" s="81"/>
      <c r="D306" s="81"/>
      <c r="I306" s="81"/>
      <c r="K306" s="82"/>
      <c r="L306" s="123"/>
      <c r="M306" s="3"/>
      <c r="N306" s="3"/>
      <c r="O306" s="3"/>
      <c r="P306" s="125"/>
      <c r="Q306" s="125"/>
      <c r="R306" s="127"/>
      <c r="S306" s="123"/>
      <c r="T306" s="3"/>
      <c r="W306" s="86"/>
      <c r="Y306" s="75"/>
    </row>
    <row r="307" spans="1:25" x14ac:dyDescent="0.25">
      <c r="A307" s="75"/>
      <c r="C307" s="81"/>
      <c r="D307" s="81"/>
      <c r="I307" s="81"/>
      <c r="K307" s="82"/>
      <c r="L307" s="123"/>
      <c r="M307" s="3"/>
      <c r="N307" s="3"/>
      <c r="O307" s="3"/>
      <c r="P307" s="125"/>
      <c r="Q307" s="125"/>
      <c r="R307" s="127"/>
      <c r="S307" s="123"/>
      <c r="T307" s="3"/>
      <c r="W307" s="86"/>
      <c r="Y307" s="75"/>
    </row>
    <row r="308" spans="1:25" x14ac:dyDescent="0.25">
      <c r="A308" s="75"/>
      <c r="C308" s="81"/>
      <c r="D308" s="81"/>
      <c r="I308" s="81"/>
      <c r="K308" s="82"/>
      <c r="L308" s="123"/>
      <c r="M308" s="3"/>
      <c r="N308" s="3"/>
      <c r="O308" s="3"/>
      <c r="P308" s="125"/>
      <c r="Q308" s="125"/>
      <c r="R308" s="127"/>
      <c r="S308" s="123"/>
      <c r="T308" s="3"/>
      <c r="W308" s="86"/>
      <c r="Y308" s="75"/>
    </row>
    <row r="309" spans="1:25" x14ac:dyDescent="0.25">
      <c r="A309" s="75"/>
      <c r="C309" s="81"/>
      <c r="D309" s="81"/>
      <c r="I309" s="81"/>
      <c r="K309" s="82"/>
      <c r="L309" s="123"/>
      <c r="M309" s="3"/>
      <c r="N309" s="3"/>
      <c r="O309" s="3"/>
      <c r="P309" s="125"/>
      <c r="Q309" s="125"/>
      <c r="R309" s="127"/>
      <c r="S309" s="123"/>
      <c r="T309" s="3"/>
      <c r="W309" s="86"/>
      <c r="Y309" s="75"/>
    </row>
    <row r="310" spans="1:25" x14ac:dyDescent="0.25">
      <c r="A310" s="75"/>
      <c r="C310" s="81"/>
      <c r="D310" s="81"/>
      <c r="I310" s="81"/>
      <c r="K310" s="82"/>
      <c r="L310" s="123"/>
      <c r="M310" s="3"/>
      <c r="N310" s="3"/>
      <c r="O310" s="3"/>
      <c r="P310" s="125"/>
      <c r="Q310" s="125"/>
      <c r="R310" s="127"/>
      <c r="S310" s="123"/>
      <c r="T310" s="3"/>
      <c r="W310" s="86"/>
      <c r="Y310" s="75"/>
    </row>
    <row r="311" spans="1:25" x14ac:dyDescent="0.25">
      <c r="A311" s="75"/>
      <c r="C311" s="81"/>
      <c r="D311" s="81"/>
      <c r="I311" s="81"/>
      <c r="K311" s="82"/>
      <c r="L311" s="123"/>
      <c r="M311" s="3"/>
      <c r="N311" s="3"/>
      <c r="O311" s="3"/>
      <c r="P311" s="125"/>
      <c r="Q311" s="125"/>
      <c r="R311" s="127"/>
      <c r="S311" s="123"/>
      <c r="T311" s="3"/>
      <c r="W311" s="86"/>
      <c r="Y311" s="75"/>
    </row>
    <row r="312" spans="1:25" x14ac:dyDescent="0.25">
      <c r="A312" s="75"/>
      <c r="C312" s="81"/>
      <c r="D312" s="81"/>
      <c r="I312" s="81"/>
      <c r="K312" s="82"/>
      <c r="L312" s="123"/>
      <c r="M312" s="3"/>
      <c r="N312" s="3"/>
      <c r="O312" s="3"/>
      <c r="P312" s="125"/>
      <c r="Q312" s="125"/>
      <c r="R312" s="127"/>
      <c r="S312" s="123"/>
      <c r="T312" s="3"/>
      <c r="W312" s="86"/>
      <c r="Y312" s="75"/>
    </row>
    <row r="313" spans="1:25" x14ac:dyDescent="0.25">
      <c r="A313" s="75"/>
      <c r="C313" s="81"/>
      <c r="D313" s="81"/>
      <c r="I313" s="81"/>
      <c r="K313" s="82"/>
      <c r="L313" s="123"/>
      <c r="M313" s="3"/>
      <c r="N313" s="3"/>
      <c r="O313" s="3"/>
      <c r="P313" s="125"/>
      <c r="Q313" s="125"/>
      <c r="R313" s="127"/>
      <c r="S313" s="123"/>
      <c r="T313" s="3"/>
      <c r="W313" s="86"/>
      <c r="Y313" s="75"/>
    </row>
    <row r="314" spans="1:25" x14ac:dyDescent="0.25">
      <c r="A314" s="75"/>
      <c r="C314" s="81"/>
      <c r="D314" s="81"/>
      <c r="I314" s="81"/>
      <c r="K314" s="82"/>
      <c r="L314" s="123"/>
      <c r="M314" s="3"/>
      <c r="N314" s="3"/>
      <c r="O314" s="3"/>
      <c r="P314" s="125"/>
      <c r="Q314" s="125"/>
      <c r="R314" s="127"/>
      <c r="S314" s="123"/>
      <c r="T314" s="3"/>
      <c r="W314" s="86"/>
      <c r="Y314" s="75"/>
    </row>
    <row r="315" spans="1:25" x14ac:dyDescent="0.25">
      <c r="A315" s="75"/>
      <c r="C315" s="81"/>
      <c r="D315" s="81"/>
      <c r="I315" s="81"/>
      <c r="K315" s="82"/>
      <c r="L315" s="123"/>
      <c r="M315" s="3"/>
      <c r="N315" s="3"/>
      <c r="O315" s="3"/>
      <c r="P315" s="125"/>
      <c r="Q315" s="125"/>
      <c r="R315" s="127"/>
      <c r="S315" s="123"/>
      <c r="T315" s="3"/>
      <c r="W315" s="86"/>
      <c r="Y315" s="75"/>
    </row>
    <row r="316" spans="1:25" x14ac:dyDescent="0.25">
      <c r="A316" s="75"/>
      <c r="C316" s="81"/>
      <c r="D316" s="81"/>
      <c r="I316" s="81"/>
      <c r="K316" s="82"/>
      <c r="L316" s="123"/>
      <c r="M316" s="3"/>
      <c r="N316" s="3"/>
      <c r="O316" s="3"/>
      <c r="P316" s="125"/>
      <c r="Q316" s="125"/>
      <c r="R316" s="127"/>
      <c r="S316" s="123"/>
      <c r="T316" s="3"/>
      <c r="W316" s="86"/>
      <c r="Y316" s="75"/>
    </row>
    <row r="317" spans="1:25" x14ac:dyDescent="0.25">
      <c r="A317" s="75"/>
      <c r="C317" s="81"/>
      <c r="D317" s="81"/>
      <c r="I317" s="81"/>
      <c r="K317" s="82"/>
      <c r="L317" s="123"/>
      <c r="M317" s="3"/>
      <c r="N317" s="3"/>
      <c r="O317" s="3"/>
      <c r="P317" s="125"/>
      <c r="Q317" s="125"/>
      <c r="R317" s="127"/>
      <c r="S317" s="123"/>
      <c r="T317" s="3"/>
      <c r="W317" s="86"/>
      <c r="Y317" s="75"/>
    </row>
    <row r="318" spans="1:25" x14ac:dyDescent="0.25">
      <c r="A318" s="75"/>
      <c r="C318" s="81"/>
      <c r="D318" s="81"/>
      <c r="I318" s="81"/>
      <c r="K318" s="82"/>
      <c r="L318" s="123"/>
      <c r="M318" s="3"/>
      <c r="N318" s="3"/>
      <c r="O318" s="3"/>
      <c r="P318" s="125"/>
      <c r="Q318" s="125"/>
      <c r="R318" s="127"/>
      <c r="S318" s="123"/>
      <c r="T318" s="3"/>
      <c r="W318" s="86"/>
      <c r="Y318" s="75"/>
    </row>
    <row r="319" spans="1:25" x14ac:dyDescent="0.25">
      <c r="A319" s="75"/>
      <c r="C319" s="81"/>
      <c r="D319" s="81"/>
      <c r="I319" s="81"/>
      <c r="K319" s="82"/>
      <c r="L319" s="123"/>
      <c r="M319" s="3"/>
      <c r="N319" s="3"/>
      <c r="O319" s="3"/>
      <c r="P319" s="125"/>
      <c r="Q319" s="125"/>
      <c r="R319" s="127"/>
      <c r="S319" s="123"/>
      <c r="T319" s="3"/>
      <c r="W319" s="86"/>
      <c r="Y319" s="75"/>
    </row>
    <row r="320" spans="1:25" x14ac:dyDescent="0.25">
      <c r="A320" s="75"/>
      <c r="C320" s="81"/>
      <c r="D320" s="81"/>
      <c r="I320" s="81"/>
      <c r="K320" s="82"/>
      <c r="L320" s="123"/>
      <c r="M320" s="3"/>
      <c r="N320" s="3"/>
      <c r="O320" s="3"/>
      <c r="P320" s="125"/>
      <c r="Q320" s="125"/>
      <c r="R320" s="127"/>
      <c r="S320" s="123"/>
      <c r="T320" s="3"/>
      <c r="W320" s="86"/>
      <c r="Y320" s="75"/>
    </row>
    <row r="321" spans="1:25" x14ac:dyDescent="0.25">
      <c r="A321" s="75"/>
      <c r="C321" s="81"/>
      <c r="D321" s="81"/>
      <c r="I321" s="81"/>
      <c r="K321" s="82"/>
      <c r="L321" s="123"/>
      <c r="M321" s="3"/>
      <c r="N321" s="3"/>
      <c r="O321" s="3"/>
      <c r="P321" s="125"/>
      <c r="Q321" s="125"/>
      <c r="R321" s="127"/>
      <c r="S321" s="123"/>
      <c r="T321" s="3"/>
      <c r="W321" s="86"/>
      <c r="Y321" s="75"/>
    </row>
    <row r="322" spans="1:25" x14ac:dyDescent="0.25">
      <c r="A322" s="75"/>
      <c r="C322" s="81"/>
      <c r="D322" s="81"/>
      <c r="I322" s="81"/>
      <c r="K322" s="82"/>
      <c r="L322" s="123"/>
      <c r="M322" s="3"/>
      <c r="N322" s="3"/>
      <c r="O322" s="3"/>
      <c r="P322" s="125"/>
      <c r="Q322" s="125"/>
      <c r="R322" s="127"/>
      <c r="S322" s="123"/>
      <c r="T322" s="3"/>
      <c r="W322" s="86"/>
      <c r="Y322" s="75"/>
    </row>
    <row r="323" spans="1:25" x14ac:dyDescent="0.25">
      <c r="A323" s="75"/>
      <c r="C323" s="81"/>
      <c r="D323" s="81"/>
      <c r="I323" s="81"/>
      <c r="K323" s="82"/>
      <c r="L323" s="123"/>
      <c r="M323" s="3"/>
      <c r="N323" s="3"/>
      <c r="O323" s="3"/>
      <c r="P323" s="125"/>
      <c r="Q323" s="125"/>
      <c r="R323" s="127"/>
      <c r="S323" s="123"/>
      <c r="T323" s="3"/>
      <c r="W323" s="86"/>
      <c r="Y323" s="75"/>
    </row>
    <row r="324" spans="1:25" x14ac:dyDescent="0.25">
      <c r="A324" s="75"/>
      <c r="C324" s="81"/>
      <c r="D324" s="81"/>
      <c r="I324" s="81"/>
      <c r="K324" s="82"/>
      <c r="L324" s="123"/>
      <c r="M324" s="3"/>
      <c r="N324" s="3"/>
      <c r="O324" s="3"/>
      <c r="P324" s="125"/>
      <c r="Q324" s="125"/>
      <c r="R324" s="127"/>
      <c r="S324" s="123"/>
      <c r="T324" s="3"/>
      <c r="W324" s="86"/>
      <c r="Y324" s="75"/>
    </row>
    <row r="325" spans="1:25" x14ac:dyDescent="0.25">
      <c r="A325" s="75"/>
      <c r="C325" s="81"/>
      <c r="D325" s="81"/>
      <c r="I325" s="81"/>
      <c r="K325" s="82"/>
      <c r="L325" s="123"/>
      <c r="M325" s="3"/>
      <c r="N325" s="3"/>
      <c r="O325" s="3"/>
      <c r="P325" s="125"/>
      <c r="Q325" s="125"/>
      <c r="R325" s="127"/>
      <c r="S325" s="123"/>
      <c r="T325" s="3"/>
      <c r="W325" s="86"/>
      <c r="Y325" s="75"/>
    </row>
    <row r="326" spans="1:25" x14ac:dyDescent="0.25">
      <c r="A326" s="75"/>
      <c r="C326" s="81"/>
      <c r="D326" s="81"/>
      <c r="I326" s="81"/>
      <c r="K326" s="82"/>
      <c r="L326" s="123"/>
      <c r="M326" s="3"/>
      <c r="N326" s="3"/>
      <c r="O326" s="3"/>
      <c r="P326" s="125"/>
      <c r="Q326" s="125"/>
      <c r="R326" s="127"/>
      <c r="S326" s="123"/>
      <c r="T326" s="3"/>
      <c r="W326" s="86"/>
      <c r="Y326" s="75"/>
    </row>
    <row r="327" spans="1:25" x14ac:dyDescent="0.25">
      <c r="A327" s="75"/>
      <c r="C327" s="81"/>
      <c r="D327" s="81"/>
      <c r="I327" s="81"/>
      <c r="K327" s="82"/>
      <c r="L327" s="123"/>
      <c r="M327" s="3"/>
      <c r="N327" s="3"/>
      <c r="O327" s="3"/>
      <c r="P327" s="125"/>
      <c r="Q327" s="125"/>
      <c r="R327" s="127"/>
      <c r="S327" s="123"/>
      <c r="T327" s="3"/>
      <c r="W327" s="86"/>
      <c r="Y327" s="75"/>
    </row>
    <row r="328" spans="1:25" x14ac:dyDescent="0.25">
      <c r="A328" s="75"/>
      <c r="C328" s="81"/>
      <c r="D328" s="81"/>
      <c r="I328" s="81"/>
      <c r="K328" s="82"/>
      <c r="L328" s="123"/>
      <c r="M328" s="3"/>
      <c r="N328" s="3"/>
      <c r="O328" s="3"/>
      <c r="P328" s="125"/>
      <c r="Q328" s="125"/>
      <c r="R328" s="127"/>
      <c r="S328" s="123"/>
      <c r="T328" s="3"/>
      <c r="W328" s="86"/>
      <c r="Y328" s="75"/>
    </row>
    <row r="329" spans="1:25" x14ac:dyDescent="0.25">
      <c r="A329" s="75"/>
      <c r="C329" s="81"/>
      <c r="D329" s="81"/>
      <c r="I329" s="81"/>
      <c r="K329" s="82"/>
      <c r="L329" s="123"/>
      <c r="M329" s="3"/>
      <c r="N329" s="3"/>
      <c r="O329" s="3"/>
      <c r="P329" s="125"/>
      <c r="Q329" s="125"/>
      <c r="R329" s="127"/>
      <c r="S329" s="123"/>
      <c r="T329" s="3"/>
      <c r="W329" s="86"/>
      <c r="Y329" s="75"/>
    </row>
    <row r="330" spans="1:25" x14ac:dyDescent="0.25">
      <c r="A330" s="75"/>
      <c r="C330" s="81"/>
      <c r="D330" s="81"/>
      <c r="I330" s="81"/>
      <c r="K330" s="82"/>
      <c r="L330" s="123"/>
      <c r="M330" s="3"/>
      <c r="N330" s="3"/>
      <c r="O330" s="3"/>
      <c r="P330" s="125"/>
      <c r="Q330" s="125"/>
      <c r="R330" s="127"/>
      <c r="S330" s="123"/>
      <c r="T330" s="3"/>
      <c r="W330" s="86"/>
      <c r="Y330" s="75"/>
    </row>
    <row r="331" spans="1:25" x14ac:dyDescent="0.25">
      <c r="A331" s="75"/>
      <c r="C331" s="81"/>
      <c r="D331" s="81"/>
      <c r="I331" s="81"/>
      <c r="K331" s="82"/>
      <c r="L331" s="123"/>
      <c r="M331" s="3"/>
      <c r="N331" s="3"/>
      <c r="O331" s="3"/>
      <c r="P331" s="125"/>
      <c r="Q331" s="125"/>
      <c r="R331" s="127"/>
      <c r="S331" s="123"/>
      <c r="T331" s="3"/>
      <c r="W331" s="86"/>
      <c r="Y331" s="75"/>
    </row>
    <row r="332" spans="1:25" x14ac:dyDescent="0.25">
      <c r="A332" s="75"/>
      <c r="C332" s="81"/>
      <c r="D332" s="81"/>
      <c r="I332" s="81"/>
      <c r="K332" s="82"/>
      <c r="L332" s="123"/>
      <c r="M332" s="3"/>
      <c r="N332" s="3"/>
      <c r="O332" s="3"/>
      <c r="P332" s="125"/>
      <c r="Q332" s="125"/>
      <c r="R332" s="127"/>
      <c r="S332" s="123"/>
      <c r="T332" s="3"/>
      <c r="W332" s="86"/>
      <c r="Y332" s="75"/>
    </row>
    <row r="333" spans="1:25" x14ac:dyDescent="0.25">
      <c r="A333" s="75"/>
      <c r="C333" s="81"/>
      <c r="D333" s="81"/>
      <c r="I333" s="81"/>
      <c r="K333" s="82"/>
      <c r="L333" s="123"/>
      <c r="M333" s="3"/>
      <c r="N333" s="3"/>
      <c r="O333" s="3"/>
      <c r="P333" s="125"/>
      <c r="Q333" s="125"/>
      <c r="R333" s="127"/>
      <c r="S333" s="123"/>
      <c r="T333" s="3"/>
      <c r="W333" s="86"/>
      <c r="Y333" s="75"/>
    </row>
    <row r="334" spans="1:25" x14ac:dyDescent="0.25">
      <c r="A334" s="75"/>
      <c r="C334" s="81"/>
      <c r="D334" s="81"/>
      <c r="I334" s="81"/>
      <c r="K334" s="82"/>
      <c r="L334" s="123"/>
      <c r="M334" s="3"/>
      <c r="N334" s="3"/>
      <c r="O334" s="3"/>
      <c r="P334" s="125"/>
      <c r="Q334" s="125"/>
      <c r="R334" s="127"/>
      <c r="S334" s="123"/>
      <c r="T334" s="3"/>
      <c r="W334" s="86"/>
      <c r="Y334" s="75"/>
    </row>
    <row r="335" spans="1:25" x14ac:dyDescent="0.25">
      <c r="A335" s="75"/>
      <c r="C335" s="81"/>
      <c r="D335" s="81"/>
      <c r="I335" s="81"/>
      <c r="K335" s="82"/>
      <c r="L335" s="123"/>
      <c r="M335" s="3"/>
      <c r="N335" s="3"/>
      <c r="O335" s="3"/>
      <c r="P335" s="125"/>
      <c r="Q335" s="125"/>
      <c r="R335" s="127"/>
      <c r="S335" s="123"/>
      <c r="T335" s="3"/>
      <c r="W335" s="86"/>
      <c r="Y335" s="75"/>
    </row>
    <row r="336" spans="1:25" x14ac:dyDescent="0.25">
      <c r="A336" s="75"/>
      <c r="C336" s="81"/>
      <c r="D336" s="81"/>
      <c r="I336" s="81"/>
      <c r="K336" s="82"/>
      <c r="L336" s="123"/>
      <c r="M336" s="3"/>
      <c r="N336" s="3"/>
      <c r="O336" s="3"/>
      <c r="P336" s="125"/>
      <c r="Q336" s="125"/>
      <c r="R336" s="127"/>
      <c r="S336" s="123"/>
      <c r="T336" s="3"/>
      <c r="W336" s="86"/>
      <c r="Y336" s="75"/>
    </row>
    <row r="337" spans="1:25" x14ac:dyDescent="0.25">
      <c r="A337" s="75"/>
      <c r="C337" s="81"/>
      <c r="D337" s="81"/>
      <c r="I337" s="81"/>
      <c r="K337" s="82"/>
      <c r="L337" s="123"/>
      <c r="M337" s="3"/>
      <c r="N337" s="3"/>
      <c r="O337" s="3"/>
      <c r="P337" s="125"/>
      <c r="Q337" s="125"/>
      <c r="R337" s="127"/>
      <c r="S337" s="123"/>
      <c r="T337" s="3"/>
      <c r="W337" s="86"/>
      <c r="Y337" s="75"/>
    </row>
    <row r="338" spans="1:25" x14ac:dyDescent="0.25">
      <c r="A338" s="75"/>
      <c r="C338" s="81"/>
      <c r="D338" s="81"/>
      <c r="I338" s="81"/>
      <c r="K338" s="82"/>
      <c r="L338" s="123"/>
      <c r="M338" s="3"/>
      <c r="N338" s="3"/>
      <c r="O338" s="3"/>
      <c r="P338" s="125"/>
      <c r="Q338" s="125"/>
      <c r="R338" s="127"/>
      <c r="S338" s="123"/>
      <c r="T338" s="3"/>
      <c r="W338" s="86"/>
      <c r="Y338" s="75"/>
    </row>
    <row r="339" spans="1:25" x14ac:dyDescent="0.25">
      <c r="A339" s="75"/>
      <c r="C339" s="81"/>
      <c r="D339" s="81"/>
      <c r="I339" s="81"/>
      <c r="K339" s="82"/>
      <c r="L339" s="123"/>
      <c r="M339" s="3"/>
      <c r="N339" s="3"/>
      <c r="O339" s="3"/>
      <c r="P339" s="125"/>
      <c r="Q339" s="125"/>
      <c r="R339" s="127"/>
      <c r="S339" s="123"/>
      <c r="T339" s="3"/>
      <c r="W339" s="86"/>
      <c r="Y339" s="75"/>
    </row>
    <row r="340" spans="1:25" x14ac:dyDescent="0.25">
      <c r="A340" s="75"/>
      <c r="C340" s="81"/>
      <c r="D340" s="81"/>
      <c r="I340" s="81"/>
      <c r="K340" s="82"/>
      <c r="L340" s="123"/>
      <c r="M340" s="3"/>
      <c r="N340" s="3"/>
      <c r="O340" s="3"/>
      <c r="P340" s="125"/>
      <c r="Q340" s="125"/>
      <c r="R340" s="127"/>
      <c r="S340" s="123"/>
      <c r="T340" s="3"/>
      <c r="W340" s="86"/>
      <c r="Y340" s="75"/>
    </row>
    <row r="341" spans="1:25" x14ac:dyDescent="0.25">
      <c r="A341" s="75"/>
      <c r="C341" s="81"/>
      <c r="D341" s="81"/>
      <c r="I341" s="81"/>
      <c r="K341" s="82"/>
      <c r="L341" s="123"/>
      <c r="M341" s="3"/>
      <c r="N341" s="3"/>
      <c r="O341" s="3"/>
      <c r="P341" s="125"/>
      <c r="Q341" s="125"/>
      <c r="R341" s="127"/>
      <c r="S341" s="123"/>
      <c r="T341" s="3"/>
      <c r="W341" s="86"/>
      <c r="Y341" s="75"/>
    </row>
    <row r="342" spans="1:25" x14ac:dyDescent="0.25">
      <c r="A342" s="75"/>
      <c r="C342" s="81"/>
      <c r="D342" s="81"/>
      <c r="I342" s="81"/>
      <c r="K342" s="82"/>
      <c r="L342" s="123"/>
      <c r="M342" s="3"/>
      <c r="N342" s="3"/>
      <c r="O342" s="3"/>
      <c r="P342" s="125"/>
      <c r="Q342" s="125"/>
      <c r="R342" s="127"/>
      <c r="S342" s="123"/>
      <c r="T342" s="3"/>
      <c r="W342" s="86"/>
      <c r="Y342" s="75"/>
    </row>
    <row r="343" spans="1:25" x14ac:dyDescent="0.25">
      <c r="A343" s="75"/>
      <c r="C343" s="81"/>
      <c r="D343" s="81"/>
      <c r="I343" s="81"/>
      <c r="K343" s="82"/>
      <c r="L343" s="123"/>
      <c r="M343" s="3"/>
      <c r="N343" s="3"/>
      <c r="O343" s="3"/>
      <c r="P343" s="125"/>
      <c r="Q343" s="125"/>
      <c r="R343" s="127"/>
      <c r="S343" s="123"/>
      <c r="T343" s="3"/>
      <c r="W343" s="86"/>
      <c r="Y343" s="75"/>
    </row>
    <row r="344" spans="1:25" x14ac:dyDescent="0.25">
      <c r="A344" s="75"/>
      <c r="C344" s="81"/>
      <c r="D344" s="81"/>
      <c r="I344" s="81"/>
      <c r="K344" s="82"/>
      <c r="L344" s="123"/>
      <c r="M344" s="3"/>
      <c r="N344" s="3"/>
      <c r="O344" s="3"/>
      <c r="P344" s="125"/>
      <c r="Q344" s="125"/>
      <c r="R344" s="127"/>
      <c r="S344" s="123"/>
      <c r="T344" s="3"/>
      <c r="W344" s="86"/>
      <c r="Y344" s="75"/>
    </row>
    <row r="345" spans="1:25" x14ac:dyDescent="0.25">
      <c r="A345" s="75"/>
      <c r="C345" s="81"/>
      <c r="D345" s="81"/>
      <c r="I345" s="81"/>
      <c r="K345" s="82"/>
      <c r="L345" s="123"/>
      <c r="M345" s="3"/>
      <c r="N345" s="3"/>
      <c r="O345" s="3"/>
      <c r="P345" s="125"/>
      <c r="Q345" s="125"/>
      <c r="R345" s="127"/>
      <c r="S345" s="123"/>
      <c r="T345" s="3"/>
      <c r="W345" s="86"/>
      <c r="Y345" s="75"/>
    </row>
    <row r="346" spans="1:25" x14ac:dyDescent="0.25">
      <c r="A346" s="75"/>
      <c r="C346" s="81"/>
      <c r="D346" s="81"/>
      <c r="I346" s="81"/>
      <c r="K346" s="82"/>
      <c r="L346" s="123"/>
      <c r="M346" s="3"/>
      <c r="N346" s="3"/>
      <c r="O346" s="3"/>
      <c r="P346" s="125"/>
      <c r="Q346" s="125"/>
      <c r="R346" s="127"/>
      <c r="S346" s="123"/>
      <c r="T346" s="3"/>
      <c r="W346" s="86"/>
      <c r="Y346" s="75"/>
    </row>
    <row r="347" spans="1:25" x14ac:dyDescent="0.25">
      <c r="A347" s="75"/>
      <c r="C347" s="81"/>
      <c r="D347" s="81"/>
      <c r="I347" s="81"/>
      <c r="K347" s="82"/>
      <c r="L347" s="123"/>
      <c r="M347" s="3"/>
      <c r="N347" s="3"/>
      <c r="O347" s="3"/>
      <c r="P347" s="125"/>
      <c r="Q347" s="125"/>
      <c r="R347" s="127"/>
      <c r="S347" s="123"/>
      <c r="T347" s="3"/>
      <c r="W347" s="86"/>
      <c r="Y347" s="75"/>
    </row>
    <row r="348" spans="1:25" x14ac:dyDescent="0.25">
      <c r="A348" s="75"/>
      <c r="C348" s="81"/>
      <c r="D348" s="81"/>
      <c r="I348" s="81"/>
      <c r="K348" s="82"/>
      <c r="L348" s="123"/>
      <c r="M348" s="3"/>
      <c r="N348" s="3"/>
      <c r="O348" s="3"/>
      <c r="P348" s="125"/>
      <c r="Q348" s="125"/>
      <c r="R348" s="127"/>
      <c r="S348" s="123"/>
      <c r="T348" s="3"/>
      <c r="W348" s="86"/>
      <c r="Y348" s="75"/>
    </row>
    <row r="349" spans="1:25" x14ac:dyDescent="0.25">
      <c r="A349" s="75"/>
      <c r="C349" s="81"/>
      <c r="D349" s="81"/>
      <c r="I349" s="81"/>
      <c r="K349" s="82"/>
      <c r="L349" s="123"/>
      <c r="M349" s="3"/>
      <c r="N349" s="3"/>
      <c r="O349" s="3"/>
      <c r="P349" s="125"/>
      <c r="Q349" s="125"/>
      <c r="R349" s="127"/>
      <c r="S349" s="123"/>
      <c r="T349" s="3"/>
      <c r="W349" s="86"/>
      <c r="Y349" s="75"/>
    </row>
    <row r="350" spans="1:25" x14ac:dyDescent="0.25">
      <c r="A350" s="75"/>
      <c r="C350" s="81"/>
      <c r="D350" s="81"/>
      <c r="I350" s="81"/>
      <c r="K350" s="82"/>
      <c r="L350" s="123"/>
      <c r="M350" s="3"/>
      <c r="N350" s="3"/>
      <c r="O350" s="3"/>
      <c r="P350" s="125"/>
      <c r="Q350" s="125"/>
      <c r="R350" s="127"/>
      <c r="S350" s="123"/>
      <c r="T350" s="3"/>
      <c r="W350" s="86"/>
      <c r="Y350" s="75"/>
    </row>
    <row r="351" spans="1:25" x14ac:dyDescent="0.25">
      <c r="A351" s="75"/>
      <c r="C351" s="81"/>
      <c r="D351" s="81"/>
      <c r="I351" s="81"/>
      <c r="K351" s="82"/>
      <c r="L351" s="123"/>
      <c r="M351" s="3"/>
      <c r="N351" s="3"/>
      <c r="O351" s="3"/>
      <c r="P351" s="125"/>
      <c r="Q351" s="125"/>
      <c r="R351" s="127"/>
      <c r="S351" s="123"/>
      <c r="T351" s="3"/>
      <c r="W351" s="86"/>
      <c r="Y351" s="75"/>
    </row>
    <row r="352" spans="1:25" x14ac:dyDescent="0.25">
      <c r="A352" s="75"/>
      <c r="C352" s="81"/>
      <c r="D352" s="81"/>
      <c r="I352" s="81"/>
      <c r="K352" s="82"/>
      <c r="L352" s="123"/>
      <c r="M352" s="3"/>
      <c r="N352" s="3"/>
      <c r="O352" s="3"/>
      <c r="P352" s="125"/>
      <c r="Q352" s="125"/>
      <c r="R352" s="127"/>
      <c r="S352" s="123"/>
      <c r="T352" s="3"/>
      <c r="W352" s="86"/>
      <c r="Y352" s="75"/>
    </row>
    <row r="353" spans="1:25" x14ac:dyDescent="0.25">
      <c r="A353" s="75"/>
      <c r="C353" s="81"/>
      <c r="D353" s="81"/>
      <c r="I353" s="81"/>
      <c r="K353" s="82"/>
      <c r="L353" s="123"/>
      <c r="M353" s="3"/>
      <c r="N353" s="3"/>
      <c r="O353" s="3"/>
      <c r="P353" s="125"/>
      <c r="Q353" s="125"/>
      <c r="R353" s="127"/>
      <c r="S353" s="123"/>
      <c r="T353" s="3"/>
      <c r="W353" s="86"/>
      <c r="Y353" s="75"/>
    </row>
    <row r="354" spans="1:25" x14ac:dyDescent="0.25">
      <c r="A354" s="75"/>
      <c r="C354" s="81"/>
      <c r="D354" s="81"/>
      <c r="I354" s="81"/>
      <c r="K354" s="82"/>
      <c r="L354" s="123"/>
      <c r="M354" s="3"/>
      <c r="N354" s="3"/>
      <c r="O354" s="3"/>
      <c r="P354" s="125"/>
      <c r="Q354" s="125"/>
      <c r="R354" s="127"/>
      <c r="S354" s="123"/>
      <c r="T354" s="3"/>
      <c r="W354" s="86"/>
      <c r="Y354" s="75"/>
    </row>
    <row r="355" spans="1:25" x14ac:dyDescent="0.25">
      <c r="A355" s="75"/>
      <c r="C355" s="81"/>
      <c r="D355" s="81"/>
      <c r="I355" s="81"/>
      <c r="K355" s="82"/>
      <c r="L355" s="123"/>
      <c r="M355" s="3"/>
      <c r="N355" s="3"/>
      <c r="O355" s="3"/>
      <c r="P355" s="125"/>
      <c r="Q355" s="125"/>
      <c r="R355" s="127"/>
      <c r="S355" s="123"/>
      <c r="T355" s="3"/>
      <c r="W355" s="86"/>
      <c r="Y355" s="75"/>
    </row>
    <row r="356" spans="1:25" x14ac:dyDescent="0.25">
      <c r="A356" s="75"/>
      <c r="C356" s="81"/>
      <c r="D356" s="81"/>
      <c r="I356" s="81"/>
      <c r="K356" s="82"/>
      <c r="L356" s="123"/>
      <c r="M356" s="3"/>
      <c r="N356" s="3"/>
      <c r="O356" s="3"/>
      <c r="P356" s="125"/>
      <c r="Q356" s="125"/>
      <c r="R356" s="127"/>
      <c r="S356" s="123"/>
      <c r="T356" s="3"/>
      <c r="W356" s="86"/>
      <c r="Y356" s="75"/>
    </row>
    <row r="357" spans="1:25" x14ac:dyDescent="0.25">
      <c r="A357" s="75"/>
      <c r="C357" s="81"/>
      <c r="D357" s="81"/>
      <c r="I357" s="81"/>
      <c r="K357" s="82"/>
      <c r="L357" s="123"/>
      <c r="M357" s="3"/>
      <c r="N357" s="3"/>
      <c r="O357" s="3"/>
      <c r="P357" s="125"/>
      <c r="Q357" s="125"/>
      <c r="R357" s="127"/>
      <c r="S357" s="123"/>
      <c r="T357" s="3"/>
      <c r="W357" s="86"/>
      <c r="Y357" s="75"/>
    </row>
    <row r="358" spans="1:25" x14ac:dyDescent="0.25">
      <c r="A358" s="75"/>
      <c r="C358" s="81"/>
      <c r="D358" s="81"/>
      <c r="I358" s="81"/>
      <c r="K358" s="82"/>
      <c r="L358" s="123"/>
      <c r="M358" s="3"/>
      <c r="N358" s="3"/>
      <c r="O358" s="3"/>
      <c r="P358" s="125"/>
      <c r="Q358" s="125"/>
      <c r="R358" s="127"/>
      <c r="S358" s="123"/>
      <c r="T358" s="3"/>
      <c r="W358" s="86"/>
      <c r="Y358" s="75"/>
    </row>
    <row r="359" spans="1:25" x14ac:dyDescent="0.25">
      <c r="A359" s="75"/>
      <c r="C359" s="81"/>
      <c r="D359" s="81"/>
      <c r="I359" s="81"/>
      <c r="K359" s="82"/>
      <c r="L359" s="123"/>
      <c r="M359" s="3"/>
      <c r="N359" s="3"/>
      <c r="O359" s="3"/>
      <c r="P359" s="125"/>
      <c r="Q359" s="125"/>
      <c r="R359" s="127"/>
      <c r="S359" s="123"/>
      <c r="T359" s="3"/>
      <c r="W359" s="86"/>
      <c r="Y359" s="75"/>
    </row>
    <row r="360" spans="1:25" x14ac:dyDescent="0.25">
      <c r="A360" s="75"/>
      <c r="C360" s="81"/>
      <c r="D360" s="81"/>
      <c r="I360" s="81"/>
      <c r="K360" s="82"/>
      <c r="L360" s="123"/>
      <c r="M360" s="3"/>
      <c r="N360" s="3"/>
      <c r="O360" s="3"/>
      <c r="P360" s="125"/>
      <c r="Q360" s="125"/>
      <c r="R360" s="127"/>
      <c r="S360" s="123"/>
      <c r="T360" s="3"/>
      <c r="W360" s="86"/>
      <c r="Y360" s="75"/>
    </row>
    <row r="361" spans="1:25" x14ac:dyDescent="0.25">
      <c r="A361" s="75"/>
      <c r="C361" s="81"/>
      <c r="D361" s="81"/>
      <c r="I361" s="81"/>
      <c r="K361" s="82"/>
      <c r="L361" s="123"/>
      <c r="M361" s="3"/>
      <c r="N361" s="3"/>
      <c r="O361" s="3"/>
      <c r="P361" s="125"/>
      <c r="Q361" s="125"/>
      <c r="R361" s="127"/>
      <c r="S361" s="123"/>
      <c r="T361" s="3"/>
      <c r="W361" s="86"/>
      <c r="Y361" s="75"/>
    </row>
    <row r="362" spans="1:25" x14ac:dyDescent="0.25">
      <c r="A362" s="75"/>
      <c r="C362" s="81"/>
      <c r="D362" s="81"/>
      <c r="I362" s="81"/>
      <c r="K362" s="82"/>
      <c r="L362" s="123"/>
      <c r="M362" s="3"/>
      <c r="N362" s="3"/>
      <c r="O362" s="3"/>
      <c r="P362" s="125"/>
      <c r="Q362" s="125"/>
      <c r="R362" s="127"/>
      <c r="S362" s="123"/>
      <c r="T362" s="3"/>
      <c r="W362" s="86"/>
      <c r="Y362" s="75"/>
    </row>
    <row r="363" spans="1:25" x14ac:dyDescent="0.25">
      <c r="A363" s="75"/>
      <c r="C363" s="81"/>
      <c r="D363" s="81"/>
      <c r="I363" s="81"/>
      <c r="K363" s="82"/>
      <c r="L363" s="123"/>
      <c r="M363" s="3"/>
      <c r="N363" s="3"/>
      <c r="O363" s="3"/>
      <c r="P363" s="125"/>
      <c r="Q363" s="125"/>
      <c r="R363" s="127"/>
      <c r="S363" s="123"/>
      <c r="T363" s="3"/>
      <c r="W363" s="86"/>
      <c r="Y363" s="75"/>
    </row>
    <row r="364" spans="1:25" x14ac:dyDescent="0.25">
      <c r="A364" s="75"/>
      <c r="C364" s="81"/>
      <c r="D364" s="81"/>
      <c r="I364" s="81"/>
      <c r="K364" s="82"/>
      <c r="L364" s="123"/>
      <c r="M364" s="3"/>
      <c r="N364" s="3"/>
      <c r="O364" s="3"/>
      <c r="P364" s="125"/>
      <c r="Q364" s="125"/>
      <c r="R364" s="127"/>
      <c r="S364" s="123"/>
      <c r="T364" s="3"/>
      <c r="W364" s="86"/>
      <c r="Y364" s="75"/>
    </row>
    <row r="365" spans="1:25" x14ac:dyDescent="0.25">
      <c r="A365" s="75"/>
      <c r="C365" s="81"/>
      <c r="D365" s="81"/>
      <c r="I365" s="81"/>
      <c r="K365" s="82"/>
      <c r="L365" s="123"/>
      <c r="M365" s="3"/>
      <c r="N365" s="3"/>
      <c r="O365" s="3"/>
      <c r="P365" s="125"/>
      <c r="Q365" s="125"/>
      <c r="R365" s="127"/>
      <c r="S365" s="123"/>
      <c r="T365" s="3"/>
      <c r="W365" s="86"/>
      <c r="Y365" s="75"/>
    </row>
    <row r="366" spans="1:25" x14ac:dyDescent="0.25">
      <c r="A366" s="75"/>
      <c r="C366" s="81"/>
      <c r="D366" s="81"/>
      <c r="I366" s="81"/>
      <c r="K366" s="82"/>
      <c r="L366" s="123"/>
      <c r="M366" s="3"/>
      <c r="N366" s="3"/>
      <c r="O366" s="3"/>
      <c r="P366" s="125"/>
      <c r="Q366" s="125"/>
      <c r="R366" s="127"/>
      <c r="S366" s="123"/>
      <c r="T366" s="3"/>
      <c r="W366" s="86"/>
      <c r="Y366" s="75"/>
    </row>
    <row r="367" spans="1:25" x14ac:dyDescent="0.25">
      <c r="A367" s="75"/>
      <c r="C367" s="81"/>
      <c r="D367" s="81"/>
      <c r="I367" s="81"/>
      <c r="K367" s="82"/>
      <c r="L367" s="123"/>
      <c r="M367" s="3"/>
      <c r="N367" s="3"/>
      <c r="O367" s="3"/>
      <c r="P367" s="125"/>
      <c r="Q367" s="125"/>
      <c r="R367" s="127"/>
      <c r="S367" s="123"/>
      <c r="T367" s="3"/>
      <c r="W367" s="86"/>
      <c r="Y367" s="75"/>
    </row>
    <row r="368" spans="1:25" x14ac:dyDescent="0.25">
      <c r="A368" s="75"/>
      <c r="C368" s="81"/>
      <c r="D368" s="81"/>
      <c r="I368" s="81"/>
      <c r="K368" s="82"/>
      <c r="L368" s="123"/>
      <c r="M368" s="3"/>
      <c r="N368" s="3"/>
      <c r="O368" s="3"/>
      <c r="P368" s="125"/>
      <c r="Q368" s="125"/>
      <c r="R368" s="127"/>
      <c r="S368" s="123"/>
      <c r="T368" s="3"/>
      <c r="W368" s="86"/>
      <c r="Y368" s="75"/>
    </row>
    <row r="369" spans="1:25" x14ac:dyDescent="0.25">
      <c r="A369" s="75"/>
      <c r="C369" s="81"/>
      <c r="D369" s="81"/>
      <c r="I369" s="81"/>
      <c r="K369" s="82"/>
      <c r="L369" s="123"/>
      <c r="M369" s="3"/>
      <c r="N369" s="3"/>
      <c r="O369" s="3"/>
      <c r="P369" s="125"/>
      <c r="Q369" s="125"/>
      <c r="R369" s="127"/>
      <c r="S369" s="123"/>
      <c r="T369" s="3"/>
      <c r="W369" s="86"/>
      <c r="Y369" s="75"/>
    </row>
    <row r="370" spans="1:25" x14ac:dyDescent="0.25">
      <c r="A370" s="75"/>
      <c r="C370" s="81"/>
      <c r="D370" s="81"/>
      <c r="I370" s="81"/>
      <c r="K370" s="82"/>
      <c r="L370" s="123"/>
      <c r="M370" s="3"/>
      <c r="N370" s="3"/>
      <c r="O370" s="3"/>
      <c r="P370" s="125"/>
      <c r="Q370" s="125"/>
      <c r="R370" s="127"/>
      <c r="S370" s="123"/>
      <c r="T370" s="3"/>
      <c r="W370" s="86"/>
      <c r="Y370" s="75"/>
    </row>
    <row r="371" spans="1:25" x14ac:dyDescent="0.25">
      <c r="A371" s="75"/>
      <c r="C371" s="81"/>
      <c r="D371" s="81"/>
      <c r="I371" s="81"/>
      <c r="K371" s="82"/>
      <c r="L371" s="123"/>
      <c r="M371" s="3"/>
      <c r="N371" s="3"/>
      <c r="O371" s="3"/>
      <c r="P371" s="125"/>
      <c r="Q371" s="125"/>
      <c r="R371" s="127"/>
      <c r="S371" s="123"/>
      <c r="T371" s="3"/>
      <c r="W371" s="86"/>
      <c r="Y371" s="75"/>
    </row>
    <row r="372" spans="1:25" x14ac:dyDescent="0.25">
      <c r="A372" s="75"/>
      <c r="C372" s="81"/>
      <c r="D372" s="81"/>
      <c r="I372" s="81"/>
      <c r="K372" s="82"/>
      <c r="L372" s="123"/>
      <c r="M372" s="3"/>
      <c r="N372" s="3"/>
      <c r="O372" s="3"/>
      <c r="P372" s="125"/>
      <c r="Q372" s="125"/>
      <c r="R372" s="127"/>
      <c r="S372" s="123"/>
      <c r="T372" s="3"/>
      <c r="W372" s="86"/>
      <c r="Y372" s="75"/>
    </row>
    <row r="373" spans="1:25" x14ac:dyDescent="0.25">
      <c r="A373" s="75"/>
      <c r="C373" s="81"/>
      <c r="D373" s="81"/>
      <c r="I373" s="81"/>
      <c r="K373" s="82"/>
      <c r="L373" s="123"/>
      <c r="M373" s="3"/>
      <c r="N373" s="3"/>
      <c r="O373" s="3"/>
      <c r="P373" s="125"/>
      <c r="Q373" s="125"/>
      <c r="R373" s="127"/>
      <c r="S373" s="123"/>
      <c r="T373" s="3"/>
      <c r="W373" s="86"/>
      <c r="Y373" s="75"/>
    </row>
    <row r="374" spans="1:25" x14ac:dyDescent="0.25">
      <c r="A374" s="75"/>
      <c r="C374" s="81"/>
      <c r="D374" s="81"/>
      <c r="I374" s="81"/>
      <c r="K374" s="82"/>
      <c r="L374" s="123"/>
      <c r="M374" s="3"/>
      <c r="N374" s="3"/>
      <c r="O374" s="3"/>
      <c r="P374" s="125"/>
      <c r="Q374" s="125"/>
      <c r="R374" s="127"/>
      <c r="S374" s="123"/>
      <c r="T374" s="3"/>
      <c r="W374" s="86"/>
      <c r="Y374" s="75"/>
    </row>
    <row r="375" spans="1:25" x14ac:dyDescent="0.25">
      <c r="A375" s="75"/>
      <c r="C375" s="81"/>
      <c r="D375" s="81"/>
      <c r="I375" s="81"/>
      <c r="K375" s="82"/>
      <c r="L375" s="123"/>
      <c r="M375" s="3"/>
      <c r="N375" s="3"/>
      <c r="O375" s="3"/>
      <c r="P375" s="125"/>
      <c r="Q375" s="125"/>
      <c r="R375" s="127"/>
      <c r="S375" s="123"/>
      <c r="T375" s="3"/>
      <c r="W375" s="86"/>
      <c r="Y375" s="75"/>
    </row>
    <row r="376" spans="1:25" x14ac:dyDescent="0.25">
      <c r="A376" s="75"/>
      <c r="C376" s="81"/>
      <c r="D376" s="81"/>
      <c r="I376" s="81"/>
      <c r="K376" s="82"/>
      <c r="L376" s="123"/>
      <c r="M376" s="3"/>
      <c r="N376" s="3"/>
      <c r="O376" s="3"/>
      <c r="P376" s="125"/>
      <c r="Q376" s="125"/>
      <c r="R376" s="127"/>
      <c r="S376" s="123"/>
      <c r="T376" s="3"/>
      <c r="W376" s="86"/>
      <c r="Y376" s="75"/>
    </row>
    <row r="377" spans="1:25" x14ac:dyDescent="0.25">
      <c r="A377" s="75"/>
      <c r="C377" s="81"/>
      <c r="D377" s="81"/>
      <c r="I377" s="81"/>
      <c r="K377" s="82"/>
      <c r="L377" s="123"/>
      <c r="M377" s="3"/>
      <c r="N377" s="3"/>
      <c r="O377" s="3"/>
      <c r="P377" s="125"/>
      <c r="Q377" s="125"/>
      <c r="R377" s="127"/>
      <c r="S377" s="123"/>
      <c r="T377" s="3"/>
      <c r="W377" s="86"/>
      <c r="Y377" s="75"/>
    </row>
    <row r="378" spans="1:25" x14ac:dyDescent="0.25">
      <c r="A378" s="75"/>
      <c r="C378" s="81"/>
      <c r="D378" s="81"/>
      <c r="I378" s="81"/>
      <c r="K378" s="82"/>
      <c r="L378" s="123"/>
      <c r="M378" s="3"/>
      <c r="N378" s="3"/>
      <c r="O378" s="3"/>
      <c r="P378" s="125"/>
      <c r="Q378" s="125"/>
      <c r="R378" s="127"/>
      <c r="S378" s="123"/>
      <c r="T378" s="3"/>
      <c r="W378" s="86"/>
      <c r="Y378" s="75"/>
    </row>
    <row r="379" spans="1:25" x14ac:dyDescent="0.25">
      <c r="A379" s="75"/>
      <c r="C379" s="81"/>
      <c r="D379" s="81"/>
      <c r="I379" s="81"/>
      <c r="K379" s="82"/>
      <c r="L379" s="123"/>
      <c r="M379" s="3"/>
      <c r="N379" s="3"/>
      <c r="O379" s="3"/>
      <c r="P379" s="125"/>
      <c r="Q379" s="125"/>
      <c r="R379" s="127"/>
      <c r="S379" s="123"/>
      <c r="T379" s="3"/>
      <c r="W379" s="86"/>
      <c r="Y379" s="75"/>
    </row>
    <row r="380" spans="1:25" x14ac:dyDescent="0.25">
      <c r="A380" s="75"/>
      <c r="C380" s="81"/>
      <c r="D380" s="81"/>
      <c r="I380" s="81"/>
      <c r="K380" s="82"/>
      <c r="L380" s="123"/>
      <c r="M380" s="3"/>
      <c r="N380" s="3"/>
      <c r="O380" s="3"/>
      <c r="P380" s="125"/>
      <c r="Q380" s="125"/>
      <c r="R380" s="127"/>
      <c r="S380" s="123"/>
      <c r="T380" s="3"/>
      <c r="W380" s="86"/>
      <c r="Y380" s="75"/>
    </row>
    <row r="381" spans="1:25" x14ac:dyDescent="0.25">
      <c r="A381" s="75"/>
      <c r="C381" s="81"/>
      <c r="D381" s="81"/>
      <c r="I381" s="81"/>
      <c r="K381" s="82"/>
      <c r="L381" s="123"/>
      <c r="M381" s="3"/>
      <c r="N381" s="3"/>
      <c r="O381" s="3"/>
      <c r="P381" s="125"/>
      <c r="Q381" s="125"/>
      <c r="R381" s="127"/>
      <c r="S381" s="123"/>
      <c r="T381" s="3"/>
      <c r="W381" s="86"/>
      <c r="Y381" s="75"/>
    </row>
    <row r="382" spans="1:25" x14ac:dyDescent="0.25">
      <c r="A382" s="75"/>
      <c r="C382" s="81"/>
      <c r="D382" s="81"/>
      <c r="I382" s="81"/>
      <c r="K382" s="82"/>
      <c r="L382" s="123"/>
      <c r="M382" s="3"/>
      <c r="N382" s="3"/>
      <c r="O382" s="3"/>
      <c r="P382" s="125"/>
      <c r="Q382" s="125"/>
      <c r="R382" s="127"/>
      <c r="S382" s="123"/>
      <c r="T382" s="3"/>
      <c r="W382" s="86"/>
      <c r="Y382" s="75"/>
    </row>
    <row r="383" spans="1:25" x14ac:dyDescent="0.25">
      <c r="A383" s="75"/>
      <c r="C383" s="81"/>
      <c r="D383" s="81"/>
      <c r="I383" s="81"/>
      <c r="K383" s="82"/>
      <c r="L383" s="123"/>
      <c r="M383" s="3"/>
      <c r="N383" s="3"/>
      <c r="O383" s="3"/>
      <c r="P383" s="125"/>
      <c r="Q383" s="125"/>
      <c r="R383" s="127"/>
      <c r="S383" s="123"/>
      <c r="T383" s="3"/>
      <c r="W383" s="86"/>
      <c r="Y383" s="75"/>
    </row>
    <row r="384" spans="1:25" x14ac:dyDescent="0.25">
      <c r="A384" s="75"/>
      <c r="C384" s="81"/>
      <c r="D384" s="81"/>
      <c r="I384" s="81"/>
      <c r="K384" s="82"/>
      <c r="L384" s="123"/>
      <c r="M384" s="3"/>
      <c r="N384" s="3"/>
      <c r="O384" s="3"/>
      <c r="P384" s="125"/>
      <c r="Q384" s="125"/>
      <c r="R384" s="127"/>
      <c r="S384" s="123"/>
      <c r="T384" s="3"/>
      <c r="W384" s="86"/>
      <c r="Y384" s="75"/>
    </row>
    <row r="385" spans="1:25" x14ac:dyDescent="0.25">
      <c r="A385" s="75"/>
      <c r="C385" s="81"/>
      <c r="D385" s="81"/>
      <c r="I385" s="81"/>
      <c r="K385" s="82"/>
      <c r="L385" s="123"/>
      <c r="M385" s="3"/>
      <c r="N385" s="3"/>
      <c r="O385" s="3"/>
      <c r="P385" s="125"/>
      <c r="Q385" s="125"/>
      <c r="R385" s="127"/>
      <c r="S385" s="123"/>
      <c r="T385" s="3"/>
      <c r="W385" s="86"/>
      <c r="Y385" s="75"/>
    </row>
    <row r="386" spans="1:25" x14ac:dyDescent="0.25">
      <c r="A386" s="75"/>
      <c r="C386" s="81"/>
      <c r="D386" s="81"/>
      <c r="I386" s="81"/>
      <c r="K386" s="82"/>
      <c r="L386" s="123"/>
      <c r="M386" s="3"/>
      <c r="N386" s="3"/>
      <c r="O386" s="3"/>
      <c r="P386" s="125"/>
      <c r="Q386" s="125"/>
      <c r="R386" s="127"/>
      <c r="S386" s="123"/>
      <c r="T386" s="3"/>
      <c r="W386" s="86"/>
      <c r="Y386" s="75"/>
    </row>
    <row r="387" spans="1:25" x14ac:dyDescent="0.25">
      <c r="A387" s="75"/>
      <c r="C387" s="81"/>
      <c r="D387" s="81"/>
      <c r="I387" s="81"/>
      <c r="K387" s="82"/>
      <c r="L387" s="123"/>
      <c r="M387" s="3"/>
      <c r="N387" s="3"/>
      <c r="O387" s="3"/>
      <c r="P387" s="125"/>
      <c r="Q387" s="125"/>
      <c r="R387" s="127"/>
      <c r="S387" s="123"/>
      <c r="T387" s="3"/>
      <c r="W387" s="86"/>
      <c r="Y387" s="75"/>
    </row>
    <row r="388" spans="1:25" x14ac:dyDescent="0.25">
      <c r="A388" s="75"/>
      <c r="C388" s="81"/>
      <c r="D388" s="81"/>
      <c r="I388" s="81"/>
      <c r="K388" s="82"/>
      <c r="L388" s="123"/>
      <c r="M388" s="3"/>
      <c r="N388" s="3"/>
      <c r="O388" s="3"/>
      <c r="P388" s="125"/>
      <c r="Q388" s="125"/>
      <c r="R388" s="127"/>
      <c r="S388" s="123"/>
      <c r="T388" s="3"/>
      <c r="W388" s="86"/>
      <c r="Y388" s="75"/>
    </row>
    <row r="389" spans="1:25" x14ac:dyDescent="0.25">
      <c r="A389" s="75"/>
      <c r="C389" s="81"/>
      <c r="D389" s="81"/>
      <c r="I389" s="81"/>
      <c r="K389" s="82"/>
      <c r="L389" s="123"/>
      <c r="M389" s="3"/>
      <c r="N389" s="3"/>
      <c r="O389" s="3"/>
      <c r="P389" s="125"/>
      <c r="Q389" s="125"/>
      <c r="R389" s="127"/>
      <c r="S389" s="123"/>
      <c r="T389" s="3"/>
      <c r="W389" s="86"/>
      <c r="Y389" s="75"/>
    </row>
    <row r="390" spans="1:25" x14ac:dyDescent="0.25">
      <c r="A390" s="75"/>
      <c r="C390" s="81"/>
      <c r="D390" s="81"/>
      <c r="I390" s="81"/>
      <c r="K390" s="82"/>
      <c r="L390" s="123"/>
      <c r="M390" s="3"/>
      <c r="N390" s="3"/>
      <c r="O390" s="3"/>
      <c r="P390" s="125"/>
      <c r="Q390" s="125"/>
      <c r="R390" s="127"/>
      <c r="S390" s="123"/>
      <c r="T390" s="3"/>
      <c r="W390" s="86"/>
      <c r="Y390" s="75"/>
    </row>
    <row r="391" spans="1:25" x14ac:dyDescent="0.25">
      <c r="A391" s="75"/>
      <c r="C391" s="81"/>
      <c r="D391" s="81"/>
      <c r="I391" s="81"/>
      <c r="K391" s="82"/>
      <c r="L391" s="123"/>
      <c r="M391" s="3"/>
      <c r="N391" s="3"/>
      <c r="O391" s="3"/>
      <c r="P391" s="125"/>
      <c r="Q391" s="125"/>
      <c r="R391" s="127"/>
      <c r="S391" s="123"/>
      <c r="T391" s="3"/>
      <c r="W391" s="86"/>
      <c r="Y391" s="75"/>
    </row>
    <row r="392" spans="1:25" x14ac:dyDescent="0.25">
      <c r="A392" s="75"/>
      <c r="C392" s="81"/>
      <c r="D392" s="81"/>
      <c r="I392" s="81"/>
      <c r="K392" s="82"/>
      <c r="L392" s="123"/>
      <c r="M392" s="3"/>
      <c r="N392" s="3"/>
      <c r="O392" s="3"/>
      <c r="P392" s="125"/>
      <c r="Q392" s="125"/>
      <c r="R392" s="127"/>
      <c r="S392" s="123"/>
      <c r="T392" s="3"/>
      <c r="W392" s="86"/>
      <c r="Y392" s="75"/>
    </row>
    <row r="393" spans="1:25" x14ac:dyDescent="0.25">
      <c r="A393" s="75"/>
      <c r="C393" s="81"/>
      <c r="D393" s="81"/>
      <c r="I393" s="81"/>
      <c r="K393" s="82"/>
      <c r="L393" s="123"/>
      <c r="M393" s="3"/>
      <c r="N393" s="3"/>
      <c r="O393" s="3"/>
      <c r="P393" s="125"/>
      <c r="Q393" s="125"/>
      <c r="R393" s="127"/>
      <c r="S393" s="123"/>
      <c r="T393" s="3"/>
      <c r="W393" s="86"/>
      <c r="Y393" s="75"/>
    </row>
    <row r="394" spans="1:25" x14ac:dyDescent="0.25">
      <c r="A394" s="75"/>
      <c r="C394" s="81"/>
      <c r="D394" s="81"/>
      <c r="I394" s="81"/>
      <c r="K394" s="82"/>
      <c r="L394" s="123"/>
      <c r="M394" s="3"/>
      <c r="N394" s="3"/>
      <c r="O394" s="3"/>
      <c r="P394" s="125"/>
      <c r="Q394" s="125"/>
      <c r="R394" s="127"/>
      <c r="S394" s="123"/>
      <c r="T394" s="3"/>
      <c r="W394" s="86"/>
      <c r="Y394" s="75"/>
    </row>
    <row r="395" spans="1:25" x14ac:dyDescent="0.25">
      <c r="A395" s="75"/>
      <c r="C395" s="81"/>
      <c r="D395" s="81"/>
      <c r="I395" s="81"/>
      <c r="K395" s="82"/>
      <c r="L395" s="123"/>
      <c r="M395" s="3"/>
      <c r="N395" s="3"/>
      <c r="O395" s="3"/>
      <c r="P395" s="125"/>
      <c r="Q395" s="125"/>
      <c r="R395" s="127"/>
      <c r="S395" s="123"/>
      <c r="T395" s="3"/>
      <c r="W395" s="86"/>
      <c r="Y395" s="75"/>
    </row>
    <row r="396" spans="1:25" x14ac:dyDescent="0.25">
      <c r="A396" s="75"/>
      <c r="C396" s="81"/>
      <c r="D396" s="81"/>
      <c r="I396" s="81"/>
      <c r="K396" s="82"/>
      <c r="L396" s="123"/>
      <c r="M396" s="3"/>
      <c r="N396" s="3"/>
      <c r="O396" s="3"/>
      <c r="P396" s="125"/>
      <c r="Q396" s="125"/>
      <c r="R396" s="127"/>
      <c r="S396" s="123"/>
      <c r="T396" s="3"/>
      <c r="W396" s="86"/>
      <c r="Y396" s="75"/>
    </row>
    <row r="397" spans="1:25" x14ac:dyDescent="0.25">
      <c r="A397" s="75"/>
      <c r="C397" s="81"/>
      <c r="D397" s="81"/>
      <c r="I397" s="81"/>
      <c r="K397" s="82"/>
      <c r="L397" s="123"/>
      <c r="M397" s="3"/>
      <c r="N397" s="3"/>
      <c r="O397" s="3"/>
      <c r="P397" s="125"/>
      <c r="Q397" s="125"/>
      <c r="R397" s="127"/>
      <c r="S397" s="123"/>
      <c r="T397" s="3"/>
      <c r="W397" s="86"/>
      <c r="Y397" s="75"/>
    </row>
    <row r="398" spans="1:25" x14ac:dyDescent="0.25">
      <c r="A398" s="75"/>
      <c r="C398" s="81"/>
      <c r="D398" s="81"/>
      <c r="I398" s="81"/>
      <c r="K398" s="82"/>
      <c r="L398" s="123"/>
      <c r="M398" s="3"/>
      <c r="N398" s="3"/>
      <c r="O398" s="3"/>
      <c r="P398" s="125"/>
      <c r="Q398" s="125"/>
      <c r="R398" s="127"/>
      <c r="S398" s="123"/>
      <c r="T398" s="3"/>
      <c r="W398" s="86"/>
      <c r="Y398" s="75"/>
    </row>
    <row r="399" spans="1:25" x14ac:dyDescent="0.25">
      <c r="A399" s="75"/>
      <c r="C399" s="81"/>
      <c r="D399" s="81"/>
      <c r="I399" s="81"/>
      <c r="K399" s="82"/>
      <c r="L399" s="123"/>
      <c r="M399" s="3"/>
      <c r="N399" s="3"/>
      <c r="O399" s="3"/>
      <c r="P399" s="125"/>
      <c r="Q399" s="125"/>
      <c r="R399" s="127"/>
      <c r="S399" s="123"/>
      <c r="T399" s="3"/>
      <c r="W399" s="86"/>
      <c r="Y399" s="75"/>
    </row>
    <row r="400" spans="1:25" x14ac:dyDescent="0.25">
      <c r="A400" s="75"/>
      <c r="C400" s="81"/>
      <c r="D400" s="81"/>
      <c r="I400" s="81"/>
      <c r="K400" s="82"/>
      <c r="L400" s="123"/>
      <c r="M400" s="3"/>
      <c r="N400" s="3"/>
      <c r="O400" s="3"/>
      <c r="P400" s="125"/>
      <c r="Q400" s="125"/>
      <c r="R400" s="127"/>
      <c r="S400" s="123"/>
      <c r="T400" s="3"/>
      <c r="W400" s="86"/>
      <c r="Y400" s="75"/>
    </row>
    <row r="401" spans="1:25" x14ac:dyDescent="0.25">
      <c r="A401" s="75"/>
      <c r="C401" s="81"/>
      <c r="D401" s="81"/>
      <c r="I401" s="81"/>
      <c r="K401" s="82"/>
      <c r="L401" s="123"/>
      <c r="M401" s="3"/>
      <c r="N401" s="3"/>
      <c r="O401" s="3"/>
      <c r="P401" s="125"/>
      <c r="Q401" s="125"/>
      <c r="R401" s="127"/>
      <c r="S401" s="123"/>
      <c r="T401" s="3"/>
      <c r="W401" s="86"/>
      <c r="Y401" s="75"/>
    </row>
    <row r="402" spans="1:25" x14ac:dyDescent="0.25">
      <c r="A402" s="75"/>
      <c r="C402" s="81"/>
      <c r="D402" s="81"/>
      <c r="I402" s="81"/>
      <c r="K402" s="82"/>
      <c r="L402" s="123"/>
      <c r="M402" s="3"/>
      <c r="N402" s="3"/>
      <c r="O402" s="3"/>
      <c r="P402" s="125"/>
      <c r="Q402" s="125"/>
      <c r="R402" s="127"/>
      <c r="S402" s="123"/>
      <c r="T402" s="3"/>
      <c r="W402" s="86"/>
      <c r="Y402" s="75"/>
    </row>
    <row r="403" spans="1:25" x14ac:dyDescent="0.25">
      <c r="A403" s="75"/>
      <c r="C403" s="81"/>
      <c r="D403" s="81"/>
      <c r="I403" s="81"/>
      <c r="K403" s="82"/>
      <c r="L403" s="123"/>
      <c r="M403" s="3"/>
      <c r="N403" s="3"/>
      <c r="O403" s="3"/>
      <c r="P403" s="125"/>
      <c r="Q403" s="125"/>
      <c r="R403" s="127"/>
      <c r="S403" s="123"/>
      <c r="T403" s="3"/>
      <c r="W403" s="86"/>
      <c r="Y403" s="75"/>
    </row>
    <row r="404" spans="1:25" x14ac:dyDescent="0.25">
      <c r="A404" s="75"/>
      <c r="C404" s="81"/>
      <c r="D404" s="81"/>
      <c r="I404" s="81"/>
      <c r="K404" s="82"/>
      <c r="L404" s="123"/>
      <c r="M404" s="3"/>
      <c r="N404" s="3"/>
      <c r="O404" s="3"/>
      <c r="P404" s="125"/>
      <c r="Q404" s="125"/>
      <c r="R404" s="127"/>
      <c r="S404" s="123"/>
      <c r="T404" s="3"/>
      <c r="W404" s="86"/>
      <c r="Y404" s="75"/>
    </row>
    <row r="405" spans="1:25" x14ac:dyDescent="0.25">
      <c r="A405" s="75"/>
      <c r="C405" s="81"/>
      <c r="D405" s="81"/>
      <c r="I405" s="81"/>
      <c r="K405" s="82"/>
      <c r="L405" s="123"/>
      <c r="M405" s="3"/>
      <c r="N405" s="3"/>
      <c r="O405" s="3"/>
      <c r="P405" s="125"/>
      <c r="Q405" s="125"/>
      <c r="R405" s="127"/>
      <c r="S405" s="123"/>
      <c r="T405" s="3"/>
      <c r="W405" s="86"/>
      <c r="Y405" s="75"/>
    </row>
    <row r="406" spans="1:25" x14ac:dyDescent="0.25">
      <c r="A406" s="75"/>
      <c r="C406" s="81"/>
      <c r="D406" s="81"/>
      <c r="I406" s="81"/>
      <c r="K406" s="82"/>
      <c r="L406" s="123"/>
      <c r="M406" s="3"/>
      <c r="N406" s="3"/>
      <c r="O406" s="3"/>
      <c r="P406" s="125"/>
      <c r="Q406" s="125"/>
      <c r="R406" s="127"/>
      <c r="S406" s="123"/>
      <c r="T406" s="3"/>
      <c r="W406" s="86"/>
      <c r="Y406" s="75"/>
    </row>
    <row r="407" spans="1:25" x14ac:dyDescent="0.25">
      <c r="A407" s="75"/>
      <c r="C407" s="81"/>
      <c r="D407" s="81"/>
      <c r="I407" s="81"/>
      <c r="K407" s="82"/>
      <c r="L407" s="123"/>
      <c r="M407" s="3"/>
      <c r="N407" s="3"/>
      <c r="O407" s="3"/>
      <c r="P407" s="125"/>
      <c r="Q407" s="125"/>
      <c r="R407" s="127"/>
      <c r="S407" s="123"/>
      <c r="T407" s="3"/>
      <c r="W407" s="86"/>
      <c r="Y407" s="75"/>
    </row>
    <row r="408" spans="1:25" x14ac:dyDescent="0.25">
      <c r="A408" s="75"/>
      <c r="C408" s="81"/>
      <c r="D408" s="81"/>
      <c r="I408" s="81"/>
      <c r="K408" s="82"/>
      <c r="L408" s="123"/>
      <c r="M408" s="3"/>
      <c r="N408" s="3"/>
      <c r="O408" s="3"/>
      <c r="P408" s="125"/>
      <c r="Q408" s="125"/>
      <c r="R408" s="127"/>
      <c r="S408" s="123"/>
      <c r="T408" s="3"/>
      <c r="W408" s="86"/>
      <c r="Y408" s="75"/>
    </row>
    <row r="409" spans="1:25" x14ac:dyDescent="0.25">
      <c r="A409" s="75"/>
      <c r="C409" s="81"/>
      <c r="D409" s="81"/>
      <c r="I409" s="81"/>
      <c r="K409" s="82"/>
      <c r="L409" s="123"/>
      <c r="M409" s="3"/>
      <c r="N409" s="3"/>
      <c r="O409" s="3"/>
      <c r="P409" s="125"/>
      <c r="Q409" s="125"/>
      <c r="R409" s="127"/>
      <c r="S409" s="123"/>
      <c r="T409" s="3"/>
      <c r="W409" s="86"/>
      <c r="Y409" s="75"/>
    </row>
    <row r="410" spans="1:25" x14ac:dyDescent="0.25">
      <c r="A410" s="75"/>
      <c r="C410" s="81"/>
      <c r="D410" s="81"/>
      <c r="I410" s="81"/>
      <c r="K410" s="82"/>
      <c r="L410" s="123"/>
      <c r="M410" s="3"/>
      <c r="N410" s="3"/>
      <c r="O410" s="3"/>
      <c r="P410" s="125"/>
      <c r="Q410" s="125"/>
      <c r="R410" s="127"/>
      <c r="S410" s="123"/>
      <c r="T410" s="3"/>
      <c r="W410" s="86"/>
      <c r="Y410" s="75"/>
    </row>
    <row r="411" spans="1:25" x14ac:dyDescent="0.25">
      <c r="A411" s="75"/>
      <c r="C411" s="81"/>
      <c r="D411" s="81"/>
      <c r="I411" s="81"/>
      <c r="K411" s="82"/>
      <c r="L411" s="123"/>
      <c r="M411" s="3"/>
      <c r="N411" s="3"/>
      <c r="O411" s="3"/>
      <c r="P411" s="125"/>
      <c r="Q411" s="125"/>
      <c r="R411" s="127"/>
      <c r="S411" s="123"/>
      <c r="T411" s="3"/>
      <c r="W411" s="86"/>
      <c r="Y411" s="75"/>
    </row>
    <row r="412" spans="1:25" x14ac:dyDescent="0.25">
      <c r="A412" s="75"/>
      <c r="C412" s="81"/>
      <c r="D412" s="81"/>
      <c r="I412" s="81"/>
      <c r="K412" s="82"/>
      <c r="L412" s="123"/>
      <c r="M412" s="3"/>
      <c r="N412" s="3"/>
      <c r="O412" s="3"/>
      <c r="P412" s="125"/>
      <c r="Q412" s="125"/>
      <c r="R412" s="127"/>
      <c r="S412" s="123"/>
      <c r="T412" s="3"/>
      <c r="W412" s="86"/>
      <c r="Y412" s="75"/>
    </row>
    <row r="413" spans="1:25" x14ac:dyDescent="0.25">
      <c r="A413" s="75"/>
      <c r="C413" s="81"/>
      <c r="D413" s="81"/>
      <c r="I413" s="81"/>
      <c r="K413" s="82"/>
      <c r="L413" s="123"/>
      <c r="M413" s="3"/>
      <c r="N413" s="3"/>
      <c r="O413" s="3"/>
      <c r="P413" s="125"/>
      <c r="Q413" s="125"/>
      <c r="R413" s="127"/>
      <c r="S413" s="123"/>
      <c r="T413" s="3"/>
      <c r="W413" s="86"/>
      <c r="Y413" s="75"/>
    </row>
    <row r="414" spans="1:25" x14ac:dyDescent="0.25">
      <c r="A414" s="75"/>
      <c r="C414" s="81"/>
      <c r="D414" s="81"/>
      <c r="I414" s="81"/>
      <c r="K414" s="82"/>
      <c r="L414" s="123"/>
      <c r="M414" s="3"/>
      <c r="N414" s="3"/>
      <c r="O414" s="3"/>
      <c r="P414" s="125"/>
      <c r="Q414" s="125"/>
      <c r="R414" s="127"/>
      <c r="S414" s="123"/>
      <c r="T414" s="3"/>
      <c r="W414" s="86"/>
      <c r="Y414" s="75"/>
    </row>
    <row r="415" spans="1:25" x14ac:dyDescent="0.25">
      <c r="A415" s="75"/>
      <c r="C415" s="81"/>
      <c r="D415" s="81"/>
      <c r="I415" s="81"/>
      <c r="K415" s="82"/>
      <c r="L415" s="123"/>
      <c r="M415" s="3"/>
      <c r="N415" s="3"/>
      <c r="O415" s="3"/>
      <c r="P415" s="125"/>
      <c r="Q415" s="125"/>
      <c r="R415" s="127"/>
      <c r="S415" s="123"/>
      <c r="T415" s="3"/>
      <c r="W415" s="86"/>
      <c r="Y415" s="75"/>
    </row>
    <row r="416" spans="1:25" x14ac:dyDescent="0.25">
      <c r="A416" s="75"/>
      <c r="C416" s="81"/>
      <c r="D416" s="81"/>
      <c r="I416" s="81"/>
      <c r="K416" s="82"/>
      <c r="L416" s="123"/>
      <c r="M416" s="3"/>
      <c r="N416" s="3"/>
      <c r="O416" s="3"/>
      <c r="P416" s="125"/>
      <c r="Q416" s="125"/>
      <c r="R416" s="127"/>
      <c r="S416" s="123"/>
      <c r="T416" s="3"/>
      <c r="W416" s="86"/>
      <c r="Y416" s="75"/>
    </row>
    <row r="417" spans="1:25" x14ac:dyDescent="0.25">
      <c r="A417" s="75"/>
      <c r="C417" s="81"/>
      <c r="D417" s="81"/>
      <c r="I417" s="81"/>
      <c r="K417" s="82"/>
      <c r="L417" s="123"/>
      <c r="M417" s="3"/>
      <c r="N417" s="3"/>
      <c r="O417" s="3"/>
      <c r="P417" s="125"/>
      <c r="Q417" s="125"/>
      <c r="R417" s="127"/>
      <c r="S417" s="123"/>
      <c r="T417" s="3"/>
      <c r="W417" s="86"/>
      <c r="Y417" s="75"/>
    </row>
    <row r="418" spans="1:25" x14ac:dyDescent="0.25">
      <c r="A418" s="75"/>
      <c r="C418" s="81"/>
      <c r="D418" s="81"/>
      <c r="I418" s="81"/>
      <c r="K418" s="82"/>
      <c r="L418" s="123"/>
      <c r="M418" s="3"/>
      <c r="N418" s="3"/>
      <c r="O418" s="3"/>
      <c r="P418" s="125"/>
      <c r="Q418" s="125"/>
      <c r="R418" s="127"/>
      <c r="S418" s="123"/>
      <c r="T418" s="3"/>
      <c r="W418" s="86"/>
      <c r="Y418" s="75"/>
    </row>
    <row r="419" spans="1:25" x14ac:dyDescent="0.25">
      <c r="A419" s="75"/>
      <c r="C419" s="81"/>
      <c r="D419" s="81"/>
      <c r="I419" s="81"/>
      <c r="K419" s="82"/>
      <c r="L419" s="123"/>
      <c r="M419" s="3"/>
      <c r="N419" s="3"/>
      <c r="O419" s="3"/>
      <c r="P419" s="125"/>
      <c r="Q419" s="125"/>
      <c r="R419" s="127"/>
      <c r="S419" s="123"/>
      <c r="T419" s="3"/>
      <c r="W419" s="86"/>
      <c r="Y419" s="75"/>
    </row>
    <row r="420" spans="1:25" x14ac:dyDescent="0.25">
      <c r="A420" s="75"/>
      <c r="C420" s="81"/>
      <c r="D420" s="81"/>
      <c r="I420" s="81"/>
      <c r="K420" s="82"/>
      <c r="L420" s="123"/>
      <c r="M420" s="3"/>
      <c r="N420" s="3"/>
      <c r="O420" s="3"/>
      <c r="P420" s="125"/>
      <c r="Q420" s="125"/>
      <c r="R420" s="127"/>
      <c r="S420" s="123"/>
      <c r="T420" s="3"/>
      <c r="W420" s="86"/>
      <c r="Y420" s="75"/>
    </row>
    <row r="421" spans="1:25" x14ac:dyDescent="0.25">
      <c r="A421" s="75"/>
      <c r="C421" s="81"/>
      <c r="D421" s="81"/>
      <c r="I421" s="81"/>
      <c r="K421" s="82"/>
      <c r="L421" s="123"/>
      <c r="M421" s="3"/>
      <c r="N421" s="3"/>
      <c r="O421" s="3"/>
      <c r="P421" s="125"/>
      <c r="Q421" s="125"/>
      <c r="R421" s="127"/>
      <c r="S421" s="123"/>
      <c r="T421" s="3"/>
      <c r="W421" s="86"/>
      <c r="Y421" s="75"/>
    </row>
    <row r="422" spans="1:25" x14ac:dyDescent="0.25">
      <c r="A422" s="75"/>
      <c r="C422" s="81"/>
      <c r="D422" s="81"/>
      <c r="I422" s="81"/>
      <c r="K422" s="82"/>
      <c r="L422" s="123"/>
      <c r="M422" s="3"/>
      <c r="N422" s="3"/>
      <c r="O422" s="3"/>
      <c r="P422" s="125"/>
      <c r="Q422" s="125"/>
      <c r="R422" s="127"/>
      <c r="S422" s="123"/>
      <c r="T422" s="3"/>
      <c r="W422" s="86"/>
      <c r="Y422" s="75"/>
    </row>
    <row r="423" spans="1:25" x14ac:dyDescent="0.25">
      <c r="A423" s="75"/>
      <c r="C423" s="81"/>
      <c r="D423" s="81"/>
      <c r="I423" s="81"/>
      <c r="K423" s="82"/>
      <c r="L423" s="123"/>
      <c r="M423" s="3"/>
      <c r="N423" s="3"/>
      <c r="O423" s="3"/>
      <c r="P423" s="125"/>
      <c r="Q423" s="125"/>
      <c r="R423" s="127"/>
      <c r="S423" s="123"/>
      <c r="T423" s="3"/>
      <c r="W423" s="86"/>
      <c r="Y423" s="75"/>
    </row>
    <row r="424" spans="1:25" x14ac:dyDescent="0.25">
      <c r="A424" s="75"/>
      <c r="C424" s="81"/>
      <c r="D424" s="81"/>
      <c r="I424" s="81"/>
      <c r="K424" s="82"/>
      <c r="L424" s="123"/>
      <c r="M424" s="3"/>
      <c r="N424" s="3"/>
      <c r="O424" s="3"/>
      <c r="P424" s="125"/>
      <c r="Q424" s="125"/>
      <c r="R424" s="127"/>
      <c r="S424" s="123"/>
      <c r="T424" s="3"/>
      <c r="W424" s="86"/>
      <c r="Y424" s="75"/>
    </row>
    <row r="425" spans="1:25" x14ac:dyDescent="0.25">
      <c r="A425" s="75"/>
      <c r="C425" s="81"/>
      <c r="D425" s="81"/>
      <c r="I425" s="81"/>
      <c r="K425" s="82"/>
      <c r="L425" s="123"/>
      <c r="M425" s="3"/>
      <c r="N425" s="3"/>
      <c r="O425" s="3"/>
      <c r="P425" s="125"/>
      <c r="Q425" s="125"/>
      <c r="R425" s="127"/>
      <c r="S425" s="123"/>
      <c r="T425" s="3"/>
      <c r="W425" s="86"/>
      <c r="Y425" s="75"/>
    </row>
    <row r="426" spans="1:25" x14ac:dyDescent="0.25">
      <c r="A426" s="75"/>
      <c r="C426" s="81"/>
      <c r="D426" s="81"/>
      <c r="I426" s="81"/>
      <c r="K426" s="82"/>
      <c r="L426" s="123"/>
      <c r="M426" s="3"/>
      <c r="N426" s="3"/>
      <c r="O426" s="3"/>
      <c r="P426" s="125"/>
      <c r="Q426" s="125"/>
      <c r="R426" s="127"/>
      <c r="S426" s="123"/>
      <c r="T426" s="3"/>
      <c r="W426" s="86"/>
      <c r="Y426" s="75"/>
    </row>
    <row r="427" spans="1:25" x14ac:dyDescent="0.25">
      <c r="A427" s="75"/>
      <c r="C427" s="81"/>
      <c r="D427" s="81"/>
      <c r="I427" s="81"/>
      <c r="K427" s="82"/>
      <c r="L427" s="123"/>
      <c r="M427" s="3"/>
      <c r="N427" s="3"/>
      <c r="O427" s="3"/>
      <c r="P427" s="125"/>
      <c r="Q427" s="125"/>
      <c r="R427" s="127"/>
      <c r="S427" s="123"/>
      <c r="T427" s="3"/>
      <c r="W427" s="86"/>
      <c r="Y427" s="75"/>
    </row>
    <row r="428" spans="1:25" x14ac:dyDescent="0.25">
      <c r="A428" s="75"/>
      <c r="C428" s="81"/>
      <c r="D428" s="81"/>
      <c r="I428" s="81"/>
      <c r="K428" s="82"/>
      <c r="L428" s="123"/>
      <c r="M428" s="3"/>
      <c r="N428" s="3"/>
      <c r="O428" s="3"/>
      <c r="P428" s="125"/>
      <c r="Q428" s="125"/>
      <c r="R428" s="127"/>
      <c r="S428" s="123"/>
      <c r="T428" s="3"/>
      <c r="W428" s="86"/>
      <c r="Y428" s="75"/>
    </row>
    <row r="429" spans="1:25" x14ac:dyDescent="0.25">
      <c r="A429" s="75"/>
      <c r="C429" s="81"/>
      <c r="D429" s="81"/>
      <c r="I429" s="81"/>
      <c r="K429" s="82"/>
      <c r="L429" s="123"/>
      <c r="M429" s="3"/>
      <c r="N429" s="3"/>
      <c r="O429" s="3"/>
      <c r="P429" s="125"/>
      <c r="Q429" s="125"/>
      <c r="R429" s="127"/>
      <c r="S429" s="123"/>
      <c r="T429" s="3"/>
      <c r="W429" s="86"/>
      <c r="Y429" s="75"/>
    </row>
    <row r="430" spans="1:25" x14ac:dyDescent="0.25">
      <c r="A430" s="75"/>
      <c r="C430" s="81"/>
      <c r="D430" s="81"/>
      <c r="I430" s="81"/>
      <c r="K430" s="82"/>
      <c r="L430" s="123"/>
      <c r="M430" s="3"/>
      <c r="N430" s="3"/>
      <c r="O430" s="3"/>
      <c r="P430" s="125"/>
      <c r="Q430" s="125"/>
      <c r="R430" s="127"/>
      <c r="S430" s="123"/>
      <c r="T430" s="3"/>
      <c r="W430" s="86"/>
      <c r="Y430" s="75"/>
    </row>
    <row r="431" spans="1:25" x14ac:dyDescent="0.25">
      <c r="A431" s="75"/>
      <c r="C431" s="81"/>
      <c r="D431" s="81"/>
      <c r="I431" s="81"/>
      <c r="K431" s="82"/>
      <c r="L431" s="123"/>
      <c r="M431" s="3"/>
      <c r="N431" s="3"/>
      <c r="O431" s="3"/>
      <c r="P431" s="125"/>
      <c r="Q431" s="125"/>
      <c r="R431" s="127"/>
      <c r="S431" s="123"/>
      <c r="T431" s="3"/>
      <c r="W431" s="86"/>
      <c r="Y431" s="75"/>
    </row>
    <row r="432" spans="1:25" x14ac:dyDescent="0.25">
      <c r="A432" s="75"/>
      <c r="C432" s="81"/>
      <c r="D432" s="81"/>
      <c r="I432" s="81"/>
      <c r="K432" s="82"/>
      <c r="L432" s="123"/>
      <c r="M432" s="3"/>
      <c r="N432" s="3"/>
      <c r="O432" s="3"/>
      <c r="P432" s="125"/>
      <c r="Q432" s="125"/>
      <c r="R432" s="127"/>
      <c r="S432" s="123"/>
      <c r="T432" s="3"/>
      <c r="W432" s="86"/>
      <c r="Y432" s="75"/>
    </row>
    <row r="433" spans="1:25" x14ac:dyDescent="0.25">
      <c r="A433" s="75"/>
      <c r="C433" s="81"/>
      <c r="D433" s="81"/>
      <c r="I433" s="81"/>
      <c r="K433" s="82"/>
      <c r="L433" s="123"/>
      <c r="M433" s="3"/>
      <c r="N433" s="3"/>
      <c r="O433" s="3"/>
      <c r="P433" s="125"/>
      <c r="Q433" s="125"/>
      <c r="R433" s="127"/>
      <c r="S433" s="123"/>
      <c r="T433" s="3"/>
      <c r="W433" s="86"/>
      <c r="Y433" s="75"/>
    </row>
    <row r="434" spans="1:25" x14ac:dyDescent="0.25">
      <c r="A434" s="75"/>
      <c r="C434" s="81"/>
      <c r="D434" s="81"/>
      <c r="I434" s="81"/>
      <c r="K434" s="82"/>
      <c r="L434" s="123"/>
      <c r="M434" s="3"/>
      <c r="N434" s="3"/>
      <c r="O434" s="3"/>
      <c r="P434" s="125"/>
      <c r="Q434" s="125"/>
      <c r="R434" s="127"/>
      <c r="S434" s="123"/>
      <c r="T434" s="3"/>
      <c r="W434" s="86"/>
      <c r="Y434" s="75"/>
    </row>
    <row r="435" spans="1:25" x14ac:dyDescent="0.25">
      <c r="A435" s="75"/>
      <c r="C435" s="81"/>
      <c r="D435" s="81"/>
      <c r="I435" s="81"/>
      <c r="K435" s="82"/>
      <c r="L435" s="123"/>
      <c r="M435" s="3"/>
      <c r="N435" s="3"/>
      <c r="O435" s="3"/>
      <c r="P435" s="125"/>
      <c r="Q435" s="125"/>
      <c r="R435" s="127"/>
      <c r="S435" s="123"/>
      <c r="T435" s="3"/>
      <c r="W435" s="86"/>
      <c r="Y435" s="75"/>
    </row>
    <row r="436" spans="1:25" x14ac:dyDescent="0.25">
      <c r="A436" s="75"/>
      <c r="C436" s="81"/>
      <c r="D436" s="81"/>
      <c r="I436" s="81"/>
      <c r="K436" s="82"/>
      <c r="L436" s="123"/>
      <c r="M436" s="3"/>
      <c r="N436" s="3"/>
      <c r="O436" s="3"/>
      <c r="P436" s="125"/>
      <c r="Q436" s="125"/>
      <c r="R436" s="127"/>
      <c r="S436" s="123"/>
      <c r="T436" s="3"/>
      <c r="W436" s="86"/>
      <c r="Y436" s="75"/>
    </row>
    <row r="437" spans="1:25" x14ac:dyDescent="0.25">
      <c r="A437" s="75"/>
      <c r="C437" s="81"/>
      <c r="D437" s="81"/>
      <c r="I437" s="81"/>
      <c r="K437" s="82"/>
      <c r="L437" s="123"/>
      <c r="M437" s="3"/>
      <c r="N437" s="3"/>
      <c r="O437" s="3"/>
      <c r="P437" s="125"/>
      <c r="Q437" s="125"/>
      <c r="R437" s="127"/>
      <c r="S437" s="123"/>
      <c r="T437" s="3"/>
      <c r="W437" s="86"/>
      <c r="Y437" s="75"/>
    </row>
    <row r="438" spans="1:25" x14ac:dyDescent="0.25">
      <c r="A438" s="75"/>
      <c r="C438" s="81"/>
      <c r="D438" s="81"/>
      <c r="I438" s="81"/>
      <c r="K438" s="82"/>
      <c r="L438" s="123"/>
      <c r="M438" s="3"/>
      <c r="N438" s="3"/>
      <c r="O438" s="3"/>
      <c r="P438" s="125"/>
      <c r="Q438" s="125"/>
      <c r="R438" s="127"/>
      <c r="S438" s="123"/>
      <c r="T438" s="3"/>
      <c r="W438" s="86"/>
      <c r="Y438" s="75"/>
    </row>
    <row r="439" spans="1:25" x14ac:dyDescent="0.25">
      <c r="A439" s="75"/>
      <c r="C439" s="81"/>
      <c r="D439" s="81"/>
      <c r="I439" s="81"/>
      <c r="K439" s="82"/>
      <c r="L439" s="123"/>
      <c r="M439" s="3"/>
      <c r="N439" s="3"/>
      <c r="O439" s="3"/>
      <c r="P439" s="125"/>
      <c r="Q439" s="125"/>
      <c r="R439" s="127"/>
      <c r="S439" s="123"/>
      <c r="T439" s="3"/>
      <c r="W439" s="86"/>
      <c r="Y439" s="75"/>
    </row>
    <row r="440" spans="1:25" x14ac:dyDescent="0.25">
      <c r="A440" s="75"/>
      <c r="C440" s="81"/>
      <c r="D440" s="81"/>
      <c r="I440" s="81"/>
      <c r="K440" s="82"/>
      <c r="L440" s="123"/>
      <c r="M440" s="3"/>
      <c r="N440" s="3"/>
      <c r="O440" s="3"/>
      <c r="P440" s="125"/>
      <c r="Q440" s="125"/>
      <c r="R440" s="127"/>
      <c r="S440" s="123"/>
      <c r="T440" s="3"/>
      <c r="W440" s="86"/>
      <c r="Y440" s="75"/>
    </row>
    <row r="441" spans="1:25" x14ac:dyDescent="0.25">
      <c r="A441" s="75"/>
      <c r="C441" s="81"/>
      <c r="D441" s="81"/>
      <c r="I441" s="81"/>
      <c r="K441" s="82"/>
      <c r="L441" s="123"/>
      <c r="M441" s="3"/>
      <c r="N441" s="3"/>
      <c r="O441" s="3"/>
      <c r="P441" s="125"/>
      <c r="Q441" s="125"/>
      <c r="R441" s="127"/>
      <c r="S441" s="123"/>
      <c r="T441" s="3"/>
      <c r="W441" s="86"/>
      <c r="Y441" s="75"/>
    </row>
    <row r="442" spans="1:25" x14ac:dyDescent="0.25">
      <c r="A442" s="75"/>
      <c r="C442" s="81"/>
      <c r="D442" s="81"/>
      <c r="I442" s="81"/>
      <c r="K442" s="82"/>
      <c r="L442" s="123"/>
      <c r="M442" s="3"/>
      <c r="N442" s="3"/>
      <c r="O442" s="3"/>
      <c r="P442" s="125"/>
      <c r="Q442" s="125"/>
      <c r="R442" s="127"/>
      <c r="S442" s="123"/>
      <c r="T442" s="3"/>
      <c r="W442" s="86"/>
      <c r="Y442" s="75"/>
    </row>
    <row r="443" spans="1:25" x14ac:dyDescent="0.25">
      <c r="A443" s="75"/>
      <c r="C443" s="81"/>
      <c r="D443" s="81"/>
      <c r="I443" s="81"/>
      <c r="K443" s="82"/>
      <c r="L443" s="123"/>
      <c r="M443" s="3"/>
      <c r="N443" s="3"/>
      <c r="O443" s="3"/>
      <c r="P443" s="125"/>
      <c r="Q443" s="125"/>
      <c r="R443" s="127"/>
      <c r="S443" s="123"/>
      <c r="T443" s="3"/>
      <c r="W443" s="86"/>
      <c r="Y443" s="75"/>
    </row>
    <row r="444" spans="1:25" x14ac:dyDescent="0.25">
      <c r="A444" s="75"/>
      <c r="C444" s="81"/>
      <c r="D444" s="81"/>
      <c r="I444" s="81"/>
      <c r="K444" s="82"/>
      <c r="L444" s="123"/>
      <c r="M444" s="3"/>
      <c r="N444" s="3"/>
      <c r="O444" s="3"/>
      <c r="P444" s="125"/>
      <c r="Q444" s="125"/>
      <c r="R444" s="127"/>
      <c r="S444" s="123"/>
      <c r="T444" s="3"/>
      <c r="W444" s="86"/>
      <c r="Y444" s="75"/>
    </row>
    <row r="445" spans="1:25" x14ac:dyDescent="0.25">
      <c r="A445" s="75"/>
      <c r="C445" s="81"/>
      <c r="D445" s="81"/>
      <c r="I445" s="81"/>
      <c r="K445" s="82"/>
      <c r="L445" s="123"/>
      <c r="M445" s="3"/>
      <c r="N445" s="3"/>
      <c r="O445" s="3"/>
      <c r="P445" s="125"/>
      <c r="Q445" s="125"/>
      <c r="R445" s="127"/>
      <c r="S445" s="123"/>
      <c r="T445" s="3"/>
      <c r="W445" s="86"/>
      <c r="Y445" s="75"/>
    </row>
    <row r="446" spans="1:25" x14ac:dyDescent="0.25">
      <c r="A446" s="75"/>
      <c r="C446" s="81"/>
      <c r="D446" s="81"/>
      <c r="I446" s="81"/>
      <c r="K446" s="82"/>
      <c r="L446" s="123"/>
      <c r="M446" s="3"/>
      <c r="N446" s="3"/>
      <c r="O446" s="3"/>
      <c r="P446" s="125"/>
      <c r="Q446" s="125"/>
      <c r="R446" s="127"/>
      <c r="S446" s="123"/>
      <c r="T446" s="3"/>
      <c r="W446" s="86"/>
      <c r="Y446" s="75"/>
    </row>
    <row r="447" spans="1:25" x14ac:dyDescent="0.25">
      <c r="A447" s="75"/>
      <c r="C447" s="81"/>
      <c r="D447" s="81"/>
      <c r="I447" s="81"/>
      <c r="K447" s="82"/>
      <c r="L447" s="123"/>
      <c r="M447" s="3"/>
      <c r="N447" s="3"/>
      <c r="O447" s="3"/>
      <c r="P447" s="125"/>
      <c r="Q447" s="125"/>
      <c r="R447" s="127"/>
      <c r="S447" s="123"/>
      <c r="T447" s="3"/>
      <c r="W447" s="86"/>
      <c r="Y447" s="75"/>
    </row>
    <row r="448" spans="1:25" x14ac:dyDescent="0.25">
      <c r="A448" s="75"/>
      <c r="C448" s="81"/>
      <c r="D448" s="81"/>
      <c r="I448" s="81"/>
      <c r="K448" s="82"/>
      <c r="L448" s="123"/>
      <c r="M448" s="3"/>
      <c r="N448" s="3"/>
      <c r="O448" s="3"/>
      <c r="P448" s="125"/>
      <c r="Q448" s="125"/>
      <c r="R448" s="127"/>
      <c r="S448" s="123"/>
      <c r="T448" s="3"/>
      <c r="W448" s="86"/>
      <c r="Y448" s="75"/>
    </row>
    <row r="449" spans="1:25" x14ac:dyDescent="0.25">
      <c r="A449" s="75"/>
      <c r="C449" s="81"/>
      <c r="D449" s="81"/>
      <c r="I449" s="81"/>
      <c r="K449" s="82"/>
      <c r="L449" s="123"/>
      <c r="M449" s="3"/>
      <c r="N449" s="3"/>
      <c r="O449" s="3"/>
      <c r="P449" s="125"/>
      <c r="Q449" s="125"/>
      <c r="R449" s="127"/>
      <c r="S449" s="123"/>
      <c r="T449" s="3"/>
      <c r="W449" s="86"/>
      <c r="Y449" s="75"/>
    </row>
    <row r="450" spans="1:25" x14ac:dyDescent="0.25">
      <c r="A450" s="75"/>
      <c r="C450" s="81"/>
      <c r="D450" s="81"/>
      <c r="I450" s="81"/>
      <c r="K450" s="82"/>
      <c r="L450" s="123"/>
      <c r="M450" s="3"/>
      <c r="N450" s="3"/>
      <c r="O450" s="3"/>
      <c r="P450" s="125"/>
      <c r="Q450" s="125"/>
      <c r="R450" s="127"/>
      <c r="S450" s="123"/>
      <c r="T450" s="3"/>
      <c r="W450" s="86"/>
      <c r="Y450" s="75"/>
    </row>
    <row r="451" spans="1:25" x14ac:dyDescent="0.25">
      <c r="A451" s="75"/>
      <c r="C451" s="81"/>
      <c r="D451" s="81"/>
      <c r="I451" s="81"/>
      <c r="K451" s="82"/>
      <c r="L451" s="123"/>
      <c r="M451" s="3"/>
      <c r="N451" s="3"/>
      <c r="O451" s="3"/>
      <c r="P451" s="125"/>
      <c r="Q451" s="125"/>
      <c r="R451" s="127"/>
      <c r="S451" s="123"/>
      <c r="T451" s="3"/>
      <c r="W451" s="86"/>
      <c r="Y451" s="75"/>
    </row>
    <row r="452" spans="1:25" x14ac:dyDescent="0.25">
      <c r="A452" s="75"/>
      <c r="C452" s="81"/>
      <c r="D452" s="81"/>
      <c r="I452" s="81"/>
      <c r="K452" s="82"/>
      <c r="L452" s="123"/>
      <c r="M452" s="3"/>
      <c r="N452" s="3"/>
      <c r="O452" s="3"/>
      <c r="P452" s="125"/>
      <c r="Q452" s="125"/>
      <c r="R452" s="127"/>
      <c r="S452" s="123"/>
      <c r="T452" s="3"/>
      <c r="W452" s="86"/>
      <c r="Y452" s="75"/>
    </row>
    <row r="453" spans="1:25" x14ac:dyDescent="0.25">
      <c r="A453" s="75"/>
      <c r="C453" s="81"/>
      <c r="D453" s="81"/>
      <c r="I453" s="81"/>
      <c r="K453" s="82"/>
      <c r="L453" s="123"/>
      <c r="M453" s="3"/>
      <c r="N453" s="3"/>
      <c r="O453" s="3"/>
      <c r="P453" s="125"/>
      <c r="Q453" s="125"/>
      <c r="R453" s="127"/>
      <c r="S453" s="123"/>
      <c r="T453" s="3"/>
      <c r="W453" s="86"/>
      <c r="Y453" s="75"/>
    </row>
    <row r="454" spans="1:25" x14ac:dyDescent="0.25">
      <c r="A454" s="75"/>
      <c r="C454" s="81"/>
      <c r="D454" s="81"/>
      <c r="I454" s="81"/>
      <c r="K454" s="82"/>
      <c r="L454" s="123"/>
      <c r="M454" s="3"/>
      <c r="N454" s="3"/>
      <c r="O454" s="3"/>
      <c r="P454" s="125"/>
      <c r="Q454" s="125"/>
      <c r="R454" s="127"/>
      <c r="S454" s="123"/>
      <c r="T454" s="3"/>
      <c r="W454" s="86"/>
      <c r="Y454" s="75"/>
    </row>
    <row r="455" spans="1:25" x14ac:dyDescent="0.25">
      <c r="A455" s="75"/>
      <c r="C455" s="81"/>
      <c r="D455" s="81"/>
      <c r="I455" s="81"/>
      <c r="K455" s="82"/>
      <c r="L455" s="123"/>
      <c r="M455" s="3"/>
      <c r="N455" s="3"/>
      <c r="O455" s="3"/>
      <c r="P455" s="125"/>
      <c r="Q455" s="125"/>
      <c r="R455" s="127"/>
      <c r="S455" s="123"/>
      <c r="T455" s="3"/>
      <c r="W455" s="86"/>
      <c r="Y455" s="75"/>
    </row>
    <row r="456" spans="1:25" x14ac:dyDescent="0.25">
      <c r="A456" s="75"/>
      <c r="C456" s="81"/>
      <c r="D456" s="81"/>
      <c r="I456" s="81"/>
      <c r="K456" s="82"/>
      <c r="L456" s="123"/>
      <c r="M456" s="3"/>
      <c r="N456" s="3"/>
      <c r="O456" s="3"/>
      <c r="P456" s="125"/>
      <c r="Q456" s="125"/>
      <c r="R456" s="127"/>
      <c r="S456" s="123"/>
      <c r="T456" s="3"/>
      <c r="W456" s="86"/>
      <c r="Y456" s="75"/>
    </row>
    <row r="457" spans="1:25" x14ac:dyDescent="0.25">
      <c r="A457" s="75"/>
      <c r="C457" s="81"/>
      <c r="D457" s="81"/>
      <c r="I457" s="81"/>
      <c r="K457" s="82"/>
      <c r="L457" s="123"/>
      <c r="M457" s="3"/>
      <c r="N457" s="3"/>
      <c r="O457" s="3"/>
      <c r="P457" s="125"/>
      <c r="Q457" s="125"/>
      <c r="R457" s="127"/>
      <c r="S457" s="123"/>
      <c r="T457" s="3"/>
      <c r="W457" s="86"/>
      <c r="Y457" s="75"/>
    </row>
    <row r="458" spans="1:25" x14ac:dyDescent="0.25">
      <c r="A458" s="75"/>
      <c r="C458" s="81"/>
      <c r="D458" s="81"/>
      <c r="I458" s="81"/>
      <c r="K458" s="82"/>
      <c r="L458" s="123"/>
      <c r="M458" s="3"/>
      <c r="N458" s="3"/>
      <c r="O458" s="3"/>
      <c r="P458" s="125"/>
      <c r="Q458" s="125"/>
      <c r="R458" s="127"/>
      <c r="S458" s="123"/>
      <c r="T458" s="3"/>
      <c r="W458" s="86"/>
      <c r="Y458" s="75"/>
    </row>
    <row r="459" spans="1:25" x14ac:dyDescent="0.25">
      <c r="A459" s="75"/>
      <c r="C459" s="81"/>
      <c r="D459" s="81"/>
      <c r="I459" s="81"/>
      <c r="K459" s="82"/>
      <c r="L459" s="123"/>
      <c r="M459" s="3"/>
      <c r="N459" s="3"/>
      <c r="O459" s="3"/>
      <c r="P459" s="125"/>
      <c r="Q459" s="125"/>
      <c r="R459" s="127"/>
      <c r="S459" s="123"/>
      <c r="T459" s="3"/>
      <c r="W459" s="86"/>
      <c r="Y459" s="75"/>
    </row>
    <row r="460" spans="1:25" x14ac:dyDescent="0.25">
      <c r="A460" s="75"/>
      <c r="C460" s="81"/>
      <c r="D460" s="81"/>
      <c r="I460" s="81"/>
      <c r="K460" s="82"/>
      <c r="L460" s="123"/>
      <c r="M460" s="3"/>
      <c r="N460" s="3"/>
      <c r="O460" s="3"/>
      <c r="P460" s="125"/>
      <c r="Q460" s="125"/>
      <c r="R460" s="127"/>
      <c r="S460" s="123"/>
      <c r="T460" s="3"/>
      <c r="W460" s="86"/>
      <c r="Y460" s="75"/>
    </row>
    <row r="461" spans="1:25" x14ac:dyDescent="0.25">
      <c r="A461" s="75"/>
      <c r="C461" s="81"/>
      <c r="D461" s="81"/>
      <c r="I461" s="81"/>
      <c r="K461" s="82"/>
      <c r="L461" s="123"/>
      <c r="M461" s="3"/>
      <c r="N461" s="3"/>
      <c r="O461" s="3"/>
      <c r="P461" s="125"/>
      <c r="Q461" s="125"/>
      <c r="R461" s="127"/>
      <c r="S461" s="123"/>
      <c r="T461" s="3"/>
      <c r="W461" s="86"/>
      <c r="Y461" s="75"/>
    </row>
    <row r="462" spans="1:25" x14ac:dyDescent="0.25">
      <c r="A462" s="75"/>
      <c r="C462" s="81"/>
      <c r="D462" s="81"/>
      <c r="I462" s="81"/>
      <c r="K462" s="82"/>
      <c r="L462" s="123"/>
      <c r="M462" s="3"/>
      <c r="N462" s="3"/>
      <c r="O462" s="3"/>
      <c r="P462" s="125"/>
      <c r="Q462" s="125"/>
      <c r="R462" s="127"/>
      <c r="S462" s="123"/>
      <c r="T462" s="3"/>
      <c r="W462" s="86"/>
      <c r="Y462" s="75"/>
    </row>
    <row r="463" spans="1:25" x14ac:dyDescent="0.25">
      <c r="A463" s="75"/>
      <c r="C463" s="81"/>
      <c r="D463" s="81"/>
      <c r="I463" s="81"/>
      <c r="K463" s="82"/>
      <c r="L463" s="123"/>
      <c r="M463" s="3"/>
      <c r="N463" s="3"/>
      <c r="O463" s="3"/>
      <c r="P463" s="125"/>
      <c r="Q463" s="125"/>
      <c r="R463" s="127"/>
      <c r="S463" s="123"/>
      <c r="T463" s="3"/>
      <c r="W463" s="86"/>
      <c r="Y463" s="75"/>
    </row>
    <row r="464" spans="1:25" x14ac:dyDescent="0.25">
      <c r="A464" s="75"/>
      <c r="C464" s="81"/>
      <c r="D464" s="81"/>
      <c r="I464" s="81"/>
      <c r="K464" s="82"/>
      <c r="L464" s="123"/>
      <c r="M464" s="3"/>
      <c r="N464" s="3"/>
      <c r="O464" s="3"/>
      <c r="P464" s="125"/>
      <c r="Q464" s="125"/>
      <c r="R464" s="127"/>
      <c r="S464" s="123"/>
      <c r="T464" s="3"/>
      <c r="W464" s="86"/>
      <c r="Y464" s="75"/>
    </row>
    <row r="465" spans="1:25" x14ac:dyDescent="0.25">
      <c r="A465" s="75"/>
      <c r="C465" s="81"/>
      <c r="D465" s="81"/>
      <c r="I465" s="81"/>
      <c r="K465" s="82"/>
      <c r="L465" s="123"/>
      <c r="M465" s="3"/>
      <c r="N465" s="3"/>
      <c r="O465" s="3"/>
      <c r="P465" s="125"/>
      <c r="Q465" s="125"/>
      <c r="R465" s="127"/>
      <c r="S465" s="123"/>
      <c r="T465" s="3"/>
      <c r="W465" s="86"/>
      <c r="Y465" s="75"/>
    </row>
    <row r="466" spans="1:25" x14ac:dyDescent="0.25">
      <c r="A466" s="75"/>
      <c r="C466" s="81"/>
      <c r="D466" s="81"/>
      <c r="I466" s="81"/>
      <c r="K466" s="82"/>
      <c r="L466" s="123"/>
      <c r="M466" s="3"/>
      <c r="N466" s="3"/>
      <c r="O466" s="3"/>
      <c r="P466" s="125"/>
      <c r="Q466" s="125"/>
      <c r="R466" s="127"/>
      <c r="S466" s="123"/>
      <c r="T466" s="3"/>
      <c r="W466" s="86"/>
      <c r="Y466" s="75"/>
    </row>
    <row r="467" spans="1:25" x14ac:dyDescent="0.25">
      <c r="A467" s="75"/>
      <c r="C467" s="81"/>
      <c r="D467" s="81"/>
      <c r="I467" s="81"/>
      <c r="K467" s="82"/>
      <c r="L467" s="123"/>
      <c r="M467" s="3"/>
      <c r="N467" s="3"/>
      <c r="O467" s="3"/>
      <c r="P467" s="125"/>
      <c r="Q467" s="125"/>
      <c r="R467" s="127"/>
      <c r="S467" s="123"/>
      <c r="T467" s="3"/>
      <c r="W467" s="86"/>
      <c r="Y467" s="75"/>
    </row>
    <row r="468" spans="1:25" x14ac:dyDescent="0.25">
      <c r="A468" s="75"/>
      <c r="C468" s="81"/>
      <c r="D468" s="81"/>
      <c r="I468" s="81"/>
      <c r="K468" s="82"/>
      <c r="L468" s="123"/>
      <c r="M468" s="3"/>
      <c r="N468" s="3"/>
      <c r="O468" s="3"/>
      <c r="P468" s="125"/>
      <c r="Q468" s="125"/>
      <c r="R468" s="127"/>
      <c r="S468" s="123"/>
      <c r="T468" s="3"/>
      <c r="W468" s="86"/>
      <c r="Y468" s="75"/>
    </row>
    <row r="469" spans="1:25" x14ac:dyDescent="0.25">
      <c r="A469" s="75"/>
      <c r="C469" s="81"/>
      <c r="D469" s="81"/>
      <c r="I469" s="81"/>
      <c r="K469" s="82"/>
      <c r="L469" s="123"/>
      <c r="M469" s="3"/>
      <c r="N469" s="3"/>
      <c r="O469" s="3"/>
      <c r="P469" s="125"/>
      <c r="Q469" s="125"/>
      <c r="R469" s="127"/>
      <c r="S469" s="123"/>
      <c r="T469" s="3"/>
      <c r="W469" s="86"/>
      <c r="Y469" s="75"/>
    </row>
    <row r="470" spans="1:25" x14ac:dyDescent="0.25">
      <c r="A470" s="75"/>
      <c r="C470" s="81"/>
      <c r="D470" s="81"/>
      <c r="I470" s="81"/>
      <c r="K470" s="82"/>
      <c r="L470" s="123"/>
      <c r="M470" s="3"/>
      <c r="N470" s="3"/>
      <c r="O470" s="3"/>
      <c r="P470" s="125"/>
      <c r="Q470" s="125"/>
      <c r="R470" s="127"/>
      <c r="S470" s="123"/>
      <c r="T470" s="3"/>
      <c r="W470" s="86"/>
      <c r="Y470" s="75"/>
    </row>
    <row r="471" spans="1:25" x14ac:dyDescent="0.25">
      <c r="A471" s="75"/>
      <c r="C471" s="81"/>
      <c r="D471" s="81"/>
      <c r="I471" s="81"/>
      <c r="K471" s="82"/>
      <c r="L471" s="123"/>
      <c r="M471" s="3"/>
      <c r="N471" s="3"/>
      <c r="O471" s="3"/>
      <c r="P471" s="125"/>
      <c r="Q471" s="125"/>
      <c r="R471" s="127"/>
      <c r="S471" s="123"/>
      <c r="T471" s="3"/>
      <c r="W471" s="86"/>
      <c r="Y471" s="75"/>
    </row>
    <row r="472" spans="1:25" x14ac:dyDescent="0.25">
      <c r="A472" s="75"/>
      <c r="C472" s="81"/>
      <c r="D472" s="81"/>
      <c r="I472" s="81"/>
      <c r="K472" s="82"/>
      <c r="L472" s="123"/>
      <c r="M472" s="3"/>
      <c r="N472" s="3"/>
      <c r="O472" s="3"/>
      <c r="P472" s="125"/>
      <c r="Q472" s="125"/>
      <c r="R472" s="127"/>
      <c r="S472" s="123"/>
      <c r="T472" s="3"/>
      <c r="W472" s="86"/>
      <c r="Y472" s="75"/>
    </row>
    <row r="473" spans="1:25" x14ac:dyDescent="0.25">
      <c r="A473" s="75"/>
      <c r="C473" s="81"/>
      <c r="D473" s="81"/>
      <c r="I473" s="81"/>
      <c r="K473" s="82"/>
      <c r="L473" s="123"/>
      <c r="M473" s="3"/>
      <c r="N473" s="3"/>
      <c r="O473" s="3"/>
      <c r="P473" s="125"/>
      <c r="Q473" s="125"/>
      <c r="R473" s="127"/>
      <c r="S473" s="123"/>
      <c r="T473" s="3"/>
      <c r="W473" s="86"/>
      <c r="Y473" s="75"/>
    </row>
    <row r="474" spans="1:25" x14ac:dyDescent="0.25">
      <c r="A474" s="75"/>
      <c r="C474" s="81"/>
      <c r="D474" s="81"/>
      <c r="I474" s="81"/>
      <c r="K474" s="82"/>
      <c r="L474" s="123"/>
      <c r="M474" s="3"/>
      <c r="N474" s="3"/>
      <c r="O474" s="3"/>
      <c r="P474" s="125"/>
      <c r="Q474" s="125"/>
      <c r="R474" s="127"/>
      <c r="S474" s="123"/>
      <c r="T474" s="3"/>
      <c r="W474" s="86"/>
      <c r="Y474" s="75"/>
    </row>
    <row r="475" spans="1:25" x14ac:dyDescent="0.25">
      <c r="A475" s="75"/>
      <c r="C475" s="81"/>
      <c r="D475" s="81"/>
      <c r="I475" s="81"/>
      <c r="K475" s="82"/>
      <c r="L475" s="123"/>
      <c r="M475" s="3"/>
      <c r="N475" s="3"/>
      <c r="O475" s="3"/>
      <c r="P475" s="125"/>
      <c r="Q475" s="125"/>
      <c r="R475" s="127"/>
      <c r="S475" s="123"/>
      <c r="T475" s="3"/>
      <c r="W475" s="86"/>
      <c r="Y475" s="75"/>
    </row>
    <row r="476" spans="1:25" x14ac:dyDescent="0.25">
      <c r="A476" s="75"/>
      <c r="C476" s="81"/>
      <c r="D476" s="81"/>
      <c r="I476" s="81"/>
      <c r="K476" s="82"/>
      <c r="L476" s="123"/>
      <c r="M476" s="3"/>
      <c r="N476" s="3"/>
      <c r="O476" s="3"/>
      <c r="P476" s="125"/>
      <c r="Q476" s="125"/>
      <c r="R476" s="127"/>
      <c r="S476" s="123"/>
      <c r="T476" s="3"/>
      <c r="W476" s="86"/>
      <c r="Y476" s="75"/>
    </row>
    <row r="477" spans="1:25" x14ac:dyDescent="0.25">
      <c r="A477" s="75"/>
      <c r="C477" s="81"/>
      <c r="D477" s="81"/>
      <c r="I477" s="81"/>
      <c r="K477" s="82"/>
      <c r="L477" s="123"/>
      <c r="M477" s="3"/>
      <c r="N477" s="3"/>
      <c r="O477" s="3"/>
      <c r="P477" s="125"/>
      <c r="Q477" s="125"/>
      <c r="R477" s="127"/>
      <c r="S477" s="123"/>
      <c r="T477" s="3"/>
      <c r="W477" s="86"/>
      <c r="Y477" s="75"/>
    </row>
    <row r="478" spans="1:25" x14ac:dyDescent="0.25">
      <c r="A478" s="75"/>
      <c r="C478" s="81"/>
      <c r="D478" s="81"/>
      <c r="I478" s="81"/>
      <c r="K478" s="82"/>
      <c r="L478" s="123"/>
      <c r="M478" s="3"/>
      <c r="N478" s="3"/>
      <c r="O478" s="3"/>
      <c r="P478" s="125"/>
      <c r="Q478" s="125"/>
      <c r="R478" s="127"/>
      <c r="S478" s="123"/>
      <c r="T478" s="3"/>
      <c r="W478" s="86"/>
      <c r="Y478" s="75"/>
    </row>
    <row r="479" spans="1:25" x14ac:dyDescent="0.25">
      <c r="A479" s="75"/>
      <c r="C479" s="81"/>
      <c r="D479" s="81"/>
      <c r="I479" s="81"/>
      <c r="K479" s="82"/>
      <c r="L479" s="123"/>
      <c r="M479" s="3"/>
      <c r="N479" s="3"/>
      <c r="O479" s="3"/>
      <c r="P479" s="125"/>
      <c r="Q479" s="125"/>
      <c r="R479" s="127"/>
      <c r="S479" s="123"/>
      <c r="T479" s="3"/>
      <c r="W479" s="86"/>
      <c r="Y479" s="75"/>
    </row>
    <row r="480" spans="1:25" x14ac:dyDescent="0.25">
      <c r="A480" s="75"/>
      <c r="C480" s="81"/>
      <c r="D480" s="81"/>
      <c r="I480" s="81"/>
      <c r="K480" s="82"/>
      <c r="L480" s="123"/>
      <c r="M480" s="3"/>
      <c r="N480" s="3"/>
      <c r="O480" s="3"/>
      <c r="P480" s="125"/>
      <c r="Q480" s="125"/>
      <c r="R480" s="127"/>
      <c r="S480" s="123"/>
      <c r="T480" s="3"/>
      <c r="W480" s="86"/>
      <c r="Y480" s="75"/>
    </row>
    <row r="481" spans="1:25" x14ac:dyDescent="0.25">
      <c r="A481" s="75"/>
      <c r="C481" s="81"/>
      <c r="D481" s="81"/>
      <c r="I481" s="81"/>
      <c r="K481" s="82"/>
      <c r="L481" s="123"/>
      <c r="M481" s="3"/>
      <c r="N481" s="3"/>
      <c r="O481" s="3"/>
      <c r="P481" s="125"/>
      <c r="Q481" s="125"/>
      <c r="R481" s="127"/>
      <c r="S481" s="123"/>
      <c r="T481" s="3"/>
      <c r="W481" s="86"/>
      <c r="Y481" s="75"/>
    </row>
    <row r="482" spans="1:25" x14ac:dyDescent="0.25">
      <c r="A482" s="75"/>
      <c r="C482" s="81"/>
      <c r="D482" s="81"/>
      <c r="I482" s="81"/>
      <c r="K482" s="82"/>
      <c r="L482" s="123"/>
      <c r="M482" s="3"/>
      <c r="N482" s="3"/>
      <c r="O482" s="3"/>
      <c r="P482" s="125"/>
      <c r="Q482" s="125"/>
      <c r="R482" s="127"/>
      <c r="S482" s="123"/>
      <c r="T482" s="3"/>
      <c r="W482" s="86"/>
      <c r="Y482" s="75"/>
    </row>
    <row r="483" spans="1:25" x14ac:dyDescent="0.25">
      <c r="A483" s="75"/>
      <c r="C483" s="81"/>
      <c r="D483" s="81"/>
      <c r="I483" s="81"/>
      <c r="K483" s="82"/>
      <c r="L483" s="123"/>
      <c r="M483" s="3"/>
      <c r="N483" s="3"/>
      <c r="O483" s="3"/>
      <c r="P483" s="125"/>
      <c r="Q483" s="125"/>
      <c r="R483" s="127"/>
      <c r="S483" s="123"/>
      <c r="T483" s="3"/>
      <c r="W483" s="86"/>
      <c r="Y483" s="75"/>
    </row>
    <row r="484" spans="1:25" x14ac:dyDescent="0.25">
      <c r="A484" s="75"/>
      <c r="C484" s="81"/>
      <c r="D484" s="81"/>
      <c r="I484" s="81"/>
      <c r="K484" s="82"/>
      <c r="L484" s="123"/>
      <c r="M484" s="3"/>
      <c r="N484" s="3"/>
      <c r="O484" s="3"/>
      <c r="P484" s="125"/>
      <c r="Q484" s="125"/>
      <c r="R484" s="127"/>
      <c r="S484" s="123"/>
      <c r="T484" s="3"/>
      <c r="W484" s="86"/>
      <c r="Y484" s="75"/>
    </row>
    <row r="485" spans="1:25" x14ac:dyDescent="0.25">
      <c r="A485" s="75"/>
      <c r="C485" s="81"/>
      <c r="D485" s="81"/>
      <c r="I485" s="81"/>
      <c r="K485" s="82"/>
      <c r="L485" s="123"/>
      <c r="M485" s="3"/>
      <c r="N485" s="3"/>
      <c r="O485" s="3"/>
      <c r="P485" s="125"/>
      <c r="Q485" s="125"/>
      <c r="R485" s="127"/>
      <c r="S485" s="123"/>
      <c r="T485" s="3"/>
      <c r="W485" s="86"/>
      <c r="Y485" s="75"/>
    </row>
    <row r="486" spans="1:25" x14ac:dyDescent="0.25">
      <c r="A486" s="75"/>
      <c r="C486" s="81"/>
      <c r="D486" s="81"/>
      <c r="I486" s="81"/>
      <c r="K486" s="82"/>
      <c r="L486" s="123"/>
      <c r="M486" s="3"/>
      <c r="N486" s="3"/>
      <c r="O486" s="3"/>
      <c r="P486" s="125"/>
      <c r="Q486" s="125"/>
      <c r="R486" s="127"/>
      <c r="S486" s="123"/>
      <c r="T486" s="3"/>
      <c r="W486" s="86"/>
      <c r="Y486" s="75"/>
    </row>
    <row r="487" spans="1:25" x14ac:dyDescent="0.25">
      <c r="A487" s="75"/>
      <c r="C487" s="81"/>
      <c r="D487" s="81"/>
      <c r="I487" s="81"/>
      <c r="K487" s="82"/>
      <c r="L487" s="123"/>
      <c r="M487" s="3"/>
      <c r="N487" s="3"/>
      <c r="O487" s="3"/>
      <c r="P487" s="125"/>
      <c r="Q487" s="125"/>
      <c r="R487" s="127"/>
      <c r="S487" s="123"/>
      <c r="T487" s="3"/>
      <c r="W487" s="86"/>
      <c r="Y487" s="75"/>
    </row>
    <row r="488" spans="1:25" x14ac:dyDescent="0.25">
      <c r="A488" s="75"/>
      <c r="C488" s="81"/>
      <c r="D488" s="81"/>
      <c r="I488" s="81"/>
      <c r="K488" s="82"/>
      <c r="L488" s="123"/>
      <c r="M488" s="3"/>
      <c r="N488" s="3"/>
      <c r="O488" s="3"/>
      <c r="P488" s="125"/>
      <c r="Q488" s="125"/>
      <c r="R488" s="127"/>
      <c r="S488" s="123"/>
      <c r="T488" s="3"/>
      <c r="W488" s="86"/>
      <c r="Y488" s="75"/>
    </row>
    <row r="489" spans="1:25" x14ac:dyDescent="0.25">
      <c r="A489" s="75"/>
      <c r="C489" s="81"/>
      <c r="D489" s="81"/>
      <c r="I489" s="81"/>
      <c r="K489" s="82"/>
      <c r="L489" s="123"/>
      <c r="M489" s="3"/>
      <c r="N489" s="3"/>
      <c r="O489" s="3"/>
      <c r="P489" s="125"/>
      <c r="Q489" s="125"/>
      <c r="R489" s="127"/>
      <c r="S489" s="123"/>
      <c r="T489" s="3"/>
      <c r="W489" s="86"/>
      <c r="Y489" s="75"/>
    </row>
    <row r="490" spans="1:25" x14ac:dyDescent="0.25">
      <c r="A490" s="75"/>
      <c r="C490" s="81"/>
      <c r="D490" s="81"/>
      <c r="I490" s="81"/>
      <c r="K490" s="82"/>
      <c r="L490" s="123"/>
      <c r="M490" s="3"/>
      <c r="N490" s="3"/>
      <c r="O490" s="3"/>
      <c r="P490" s="125"/>
      <c r="Q490" s="125"/>
      <c r="R490" s="127"/>
      <c r="S490" s="123"/>
      <c r="T490" s="3"/>
      <c r="W490" s="86"/>
      <c r="Y490" s="75"/>
    </row>
    <row r="491" spans="1:25" x14ac:dyDescent="0.25">
      <c r="A491" s="75"/>
      <c r="C491" s="81"/>
      <c r="D491" s="81"/>
      <c r="I491" s="81"/>
      <c r="K491" s="82"/>
      <c r="L491" s="123"/>
      <c r="M491" s="3"/>
      <c r="N491" s="3"/>
      <c r="O491" s="3"/>
      <c r="P491" s="125"/>
      <c r="Q491" s="125"/>
      <c r="R491" s="127"/>
      <c r="S491" s="123"/>
      <c r="T491" s="3"/>
      <c r="W491" s="86"/>
      <c r="Y491" s="75"/>
    </row>
    <row r="492" spans="1:25" x14ac:dyDescent="0.25">
      <c r="A492" s="75"/>
      <c r="C492" s="81"/>
      <c r="D492" s="81"/>
      <c r="I492" s="81"/>
      <c r="K492" s="82"/>
      <c r="L492" s="123"/>
      <c r="M492" s="3"/>
      <c r="N492" s="3"/>
      <c r="O492" s="3"/>
      <c r="P492" s="125"/>
      <c r="Q492" s="125"/>
      <c r="R492" s="127"/>
      <c r="S492" s="123"/>
      <c r="T492" s="3"/>
      <c r="W492" s="86"/>
      <c r="Y492" s="75"/>
    </row>
    <row r="493" spans="1:25" x14ac:dyDescent="0.25">
      <c r="A493" s="75"/>
      <c r="C493" s="81"/>
      <c r="D493" s="81"/>
      <c r="I493" s="81"/>
      <c r="K493" s="82"/>
      <c r="L493" s="123"/>
      <c r="M493" s="3"/>
      <c r="N493" s="3"/>
      <c r="O493" s="3"/>
      <c r="P493" s="125"/>
      <c r="Q493" s="125"/>
      <c r="R493" s="127"/>
      <c r="S493" s="123"/>
      <c r="T493" s="3"/>
      <c r="W493" s="86"/>
      <c r="Y493" s="75"/>
    </row>
    <row r="494" spans="1:25" x14ac:dyDescent="0.25">
      <c r="A494" s="75"/>
      <c r="C494" s="81"/>
      <c r="D494" s="81"/>
      <c r="I494" s="81"/>
      <c r="K494" s="82"/>
      <c r="L494" s="123"/>
      <c r="M494" s="3"/>
      <c r="N494" s="3"/>
      <c r="O494" s="3"/>
      <c r="P494" s="125"/>
      <c r="Q494" s="125"/>
      <c r="R494" s="127"/>
      <c r="S494" s="123"/>
      <c r="T494" s="3"/>
      <c r="W494" s="86"/>
      <c r="Y494" s="75"/>
    </row>
    <row r="495" spans="1:25" x14ac:dyDescent="0.25">
      <c r="A495" s="75"/>
      <c r="C495" s="81"/>
      <c r="D495" s="81"/>
      <c r="I495" s="81"/>
      <c r="K495" s="82"/>
      <c r="L495" s="123"/>
      <c r="M495" s="3"/>
      <c r="N495" s="3"/>
      <c r="O495" s="3"/>
      <c r="P495" s="125"/>
      <c r="Q495" s="125"/>
      <c r="R495" s="127"/>
      <c r="S495" s="123"/>
      <c r="T495" s="3"/>
      <c r="W495" s="86"/>
      <c r="Y495" s="75"/>
    </row>
    <row r="496" spans="1:25" x14ac:dyDescent="0.25">
      <c r="A496" s="75"/>
      <c r="C496" s="81"/>
      <c r="D496" s="81"/>
      <c r="I496" s="81"/>
      <c r="K496" s="82"/>
      <c r="L496" s="123"/>
      <c r="M496" s="3"/>
      <c r="N496" s="3"/>
      <c r="O496" s="3"/>
      <c r="P496" s="125"/>
      <c r="Q496" s="125"/>
      <c r="R496" s="127"/>
      <c r="S496" s="123"/>
      <c r="T496" s="3"/>
      <c r="W496" s="86"/>
      <c r="Y496" s="75"/>
    </row>
    <row r="497" spans="1:25" x14ac:dyDescent="0.25">
      <c r="A497" s="75"/>
      <c r="C497" s="81"/>
      <c r="D497" s="81"/>
      <c r="I497" s="81"/>
      <c r="K497" s="82"/>
      <c r="L497" s="123"/>
      <c r="M497" s="3"/>
      <c r="N497" s="3"/>
      <c r="O497" s="3"/>
      <c r="P497" s="125"/>
      <c r="Q497" s="125"/>
      <c r="R497" s="127"/>
      <c r="S497" s="123"/>
      <c r="T497" s="3"/>
      <c r="W497" s="86"/>
      <c r="Y497" s="75"/>
    </row>
    <row r="498" spans="1:25" x14ac:dyDescent="0.25">
      <c r="A498" s="75"/>
      <c r="C498" s="81"/>
      <c r="D498" s="81"/>
      <c r="I498" s="81"/>
      <c r="K498" s="82"/>
      <c r="L498" s="123"/>
      <c r="M498" s="3"/>
      <c r="N498" s="3"/>
      <c r="O498" s="3"/>
      <c r="P498" s="125"/>
      <c r="Q498" s="125"/>
      <c r="R498" s="127"/>
      <c r="S498" s="123"/>
      <c r="T498" s="3"/>
      <c r="W498" s="86"/>
      <c r="Y498" s="75"/>
    </row>
    <row r="499" spans="1:25" x14ac:dyDescent="0.25">
      <c r="A499" s="75"/>
      <c r="C499" s="81"/>
      <c r="D499" s="81"/>
      <c r="I499" s="81"/>
      <c r="K499" s="82"/>
      <c r="L499" s="123"/>
      <c r="M499" s="3"/>
      <c r="N499" s="3"/>
      <c r="O499" s="3"/>
      <c r="P499" s="125"/>
      <c r="Q499" s="125"/>
      <c r="R499" s="127"/>
      <c r="S499" s="123"/>
      <c r="T499" s="3"/>
      <c r="W499" s="86"/>
      <c r="Y499" s="75"/>
    </row>
    <row r="500" spans="1:25" x14ac:dyDescent="0.25">
      <c r="A500" s="75"/>
      <c r="C500" s="81"/>
      <c r="D500" s="81"/>
      <c r="I500" s="81"/>
      <c r="K500" s="82"/>
      <c r="L500" s="123"/>
      <c r="M500" s="3"/>
      <c r="N500" s="3"/>
      <c r="O500" s="3"/>
      <c r="P500" s="125"/>
      <c r="Q500" s="125"/>
      <c r="R500" s="127"/>
      <c r="S500" s="123"/>
      <c r="T500" s="3"/>
      <c r="W500" s="86"/>
      <c r="Y500" s="75"/>
    </row>
    <row r="501" spans="1:25" x14ac:dyDescent="0.25">
      <c r="A501" s="75"/>
      <c r="C501" s="81"/>
      <c r="D501" s="81"/>
      <c r="I501" s="81"/>
      <c r="K501" s="82"/>
      <c r="L501" s="123"/>
      <c r="M501" s="3"/>
      <c r="N501" s="3"/>
      <c r="O501" s="3"/>
      <c r="P501" s="125"/>
      <c r="Q501" s="125"/>
      <c r="R501" s="127"/>
      <c r="S501" s="123"/>
      <c r="T501" s="3"/>
      <c r="W501" s="86"/>
      <c r="Y501" s="75"/>
    </row>
    <row r="502" spans="1:25" x14ac:dyDescent="0.25">
      <c r="A502" s="75"/>
      <c r="C502" s="81"/>
      <c r="D502" s="81"/>
      <c r="I502" s="81"/>
      <c r="K502" s="82"/>
      <c r="L502" s="123"/>
      <c r="M502" s="3"/>
      <c r="N502" s="3"/>
      <c r="O502" s="3"/>
      <c r="P502" s="125"/>
      <c r="Q502" s="125"/>
      <c r="R502" s="127"/>
      <c r="S502" s="123"/>
      <c r="T502" s="3"/>
      <c r="W502" s="86"/>
      <c r="Y502" s="75"/>
    </row>
    <row r="503" spans="1:25" x14ac:dyDescent="0.25">
      <c r="A503" s="75"/>
      <c r="C503" s="81"/>
      <c r="D503" s="81"/>
      <c r="I503" s="81"/>
      <c r="K503" s="82"/>
      <c r="L503" s="123"/>
      <c r="M503" s="3"/>
      <c r="N503" s="3"/>
      <c r="O503" s="3"/>
      <c r="P503" s="125"/>
      <c r="Q503" s="125"/>
      <c r="R503" s="127"/>
      <c r="S503" s="123"/>
      <c r="T503" s="3"/>
      <c r="W503" s="86"/>
      <c r="Y503" s="75"/>
    </row>
    <row r="504" spans="1:25" x14ac:dyDescent="0.25">
      <c r="A504" s="75"/>
      <c r="C504" s="81"/>
      <c r="D504" s="81"/>
      <c r="I504" s="81"/>
      <c r="K504" s="82"/>
      <c r="L504" s="123"/>
      <c r="M504" s="3"/>
      <c r="N504" s="3"/>
      <c r="O504" s="3"/>
      <c r="P504" s="125"/>
      <c r="Q504" s="125"/>
      <c r="R504" s="127"/>
      <c r="S504" s="123"/>
      <c r="T504" s="3"/>
      <c r="W504" s="86"/>
      <c r="Y504" s="75"/>
    </row>
    <row r="505" spans="1:25" x14ac:dyDescent="0.25">
      <c r="A505" s="75"/>
      <c r="C505" s="81"/>
      <c r="D505" s="81"/>
      <c r="I505" s="81"/>
      <c r="K505" s="82"/>
      <c r="L505" s="123"/>
      <c r="M505" s="3"/>
      <c r="N505" s="3"/>
      <c r="O505" s="3"/>
      <c r="P505" s="125"/>
      <c r="Q505" s="125"/>
      <c r="R505" s="127"/>
      <c r="S505" s="123"/>
      <c r="T505" s="3"/>
      <c r="W505" s="86"/>
      <c r="Y505" s="75"/>
    </row>
    <row r="506" spans="1:25" x14ac:dyDescent="0.25">
      <c r="A506" s="75"/>
      <c r="C506" s="81"/>
      <c r="D506" s="81"/>
      <c r="I506" s="81"/>
      <c r="K506" s="82"/>
      <c r="L506" s="123"/>
      <c r="M506" s="3"/>
      <c r="N506" s="3"/>
      <c r="O506" s="3"/>
      <c r="P506" s="125"/>
      <c r="Q506" s="125"/>
      <c r="R506" s="127"/>
      <c r="S506" s="123"/>
      <c r="T506" s="3"/>
      <c r="W506" s="86"/>
      <c r="Y506" s="75"/>
    </row>
    <row r="507" spans="1:25" x14ac:dyDescent="0.25">
      <c r="A507" s="75"/>
      <c r="C507" s="81"/>
      <c r="D507" s="81"/>
      <c r="I507" s="81"/>
      <c r="K507" s="82"/>
      <c r="L507" s="123"/>
      <c r="M507" s="3"/>
      <c r="N507" s="3"/>
      <c r="O507" s="3"/>
      <c r="P507" s="125"/>
      <c r="Q507" s="125"/>
      <c r="R507" s="127"/>
      <c r="S507" s="123"/>
      <c r="T507" s="3"/>
      <c r="W507" s="86"/>
      <c r="Y507" s="75"/>
    </row>
    <row r="508" spans="1:25" x14ac:dyDescent="0.25">
      <c r="A508" s="75"/>
      <c r="C508" s="81"/>
      <c r="D508" s="81"/>
      <c r="I508" s="81"/>
      <c r="K508" s="82"/>
      <c r="L508" s="123"/>
      <c r="M508" s="3"/>
      <c r="N508" s="3"/>
      <c r="O508" s="3"/>
      <c r="P508" s="125"/>
      <c r="Q508" s="125"/>
      <c r="R508" s="127"/>
      <c r="S508" s="123"/>
      <c r="T508" s="3"/>
      <c r="W508" s="86"/>
      <c r="Y508" s="75"/>
    </row>
    <row r="509" spans="1:25" x14ac:dyDescent="0.25">
      <c r="A509" s="75"/>
      <c r="C509" s="81"/>
      <c r="D509" s="81"/>
      <c r="I509" s="81"/>
      <c r="K509" s="82"/>
      <c r="L509" s="123"/>
      <c r="M509" s="3"/>
      <c r="N509" s="3"/>
      <c r="O509" s="3"/>
      <c r="P509" s="125"/>
      <c r="Q509" s="125"/>
      <c r="R509" s="127"/>
      <c r="S509" s="123"/>
      <c r="T509" s="3"/>
      <c r="W509" s="86"/>
      <c r="Y509" s="75"/>
    </row>
    <row r="510" spans="1:25" x14ac:dyDescent="0.25">
      <c r="A510" s="75"/>
      <c r="C510" s="81"/>
      <c r="D510" s="81"/>
      <c r="I510" s="81"/>
      <c r="K510" s="82"/>
      <c r="L510" s="123"/>
      <c r="M510" s="3"/>
      <c r="N510" s="3"/>
      <c r="O510" s="3"/>
      <c r="P510" s="125"/>
      <c r="Q510" s="125"/>
      <c r="R510" s="127"/>
      <c r="S510" s="123"/>
      <c r="T510" s="3"/>
      <c r="W510" s="86"/>
      <c r="Y510" s="75"/>
    </row>
    <row r="511" spans="1:25" x14ac:dyDescent="0.25">
      <c r="A511" s="75"/>
      <c r="C511" s="81"/>
      <c r="D511" s="81"/>
      <c r="I511" s="81"/>
      <c r="K511" s="82"/>
      <c r="L511" s="123"/>
      <c r="M511" s="3"/>
      <c r="N511" s="3"/>
      <c r="O511" s="3"/>
      <c r="P511" s="125"/>
      <c r="Q511" s="125"/>
      <c r="R511" s="127"/>
      <c r="S511" s="123"/>
      <c r="T511" s="3"/>
      <c r="W511" s="86"/>
      <c r="Y511" s="75"/>
    </row>
    <row r="512" spans="1:25" x14ac:dyDescent="0.25">
      <c r="A512" s="75"/>
      <c r="C512" s="81"/>
      <c r="D512" s="81"/>
      <c r="I512" s="81"/>
      <c r="K512" s="82"/>
      <c r="L512" s="123"/>
      <c r="M512" s="3"/>
      <c r="N512" s="3"/>
      <c r="O512" s="3"/>
      <c r="P512" s="125"/>
      <c r="Q512" s="125"/>
      <c r="R512" s="127"/>
      <c r="S512" s="123"/>
      <c r="T512" s="3"/>
      <c r="W512" s="86"/>
      <c r="Y512" s="75"/>
    </row>
    <row r="513" spans="1:25" x14ac:dyDescent="0.25">
      <c r="A513" s="75"/>
      <c r="C513" s="81"/>
      <c r="D513" s="81"/>
      <c r="I513" s="81"/>
      <c r="K513" s="82"/>
      <c r="L513" s="123"/>
      <c r="M513" s="3"/>
      <c r="N513" s="3"/>
      <c r="O513" s="3"/>
      <c r="P513" s="125"/>
      <c r="Q513" s="125"/>
      <c r="R513" s="127"/>
      <c r="S513" s="123"/>
      <c r="T513" s="3"/>
      <c r="W513" s="86"/>
      <c r="Y513" s="75"/>
    </row>
    <row r="514" spans="1:25" x14ac:dyDescent="0.25">
      <c r="A514" s="75"/>
      <c r="C514" s="81"/>
      <c r="D514" s="81"/>
      <c r="I514" s="81"/>
      <c r="K514" s="82"/>
      <c r="L514" s="123"/>
      <c r="M514" s="3"/>
      <c r="N514" s="3"/>
      <c r="O514" s="3"/>
      <c r="P514" s="125"/>
      <c r="Q514" s="125"/>
      <c r="R514" s="127"/>
      <c r="S514" s="123"/>
      <c r="T514" s="3"/>
      <c r="W514" s="86"/>
      <c r="Y514" s="75"/>
    </row>
    <row r="515" spans="1:25" x14ac:dyDescent="0.25">
      <c r="A515" s="75"/>
      <c r="C515" s="81"/>
      <c r="D515" s="81"/>
      <c r="I515" s="81"/>
      <c r="K515" s="82"/>
      <c r="L515" s="123"/>
      <c r="M515" s="3"/>
      <c r="N515" s="3"/>
      <c r="O515" s="3"/>
      <c r="P515" s="125"/>
      <c r="Q515" s="125"/>
      <c r="R515" s="127"/>
      <c r="S515" s="123"/>
      <c r="T515" s="3"/>
      <c r="W515" s="86"/>
      <c r="Y515" s="75"/>
    </row>
    <row r="516" spans="1:25" x14ac:dyDescent="0.25">
      <c r="A516" s="75"/>
      <c r="C516" s="81"/>
      <c r="D516" s="81"/>
      <c r="I516" s="81"/>
      <c r="K516" s="82"/>
      <c r="L516" s="123"/>
      <c r="M516" s="3"/>
      <c r="N516" s="3"/>
      <c r="O516" s="3"/>
      <c r="P516" s="125"/>
      <c r="Q516" s="125"/>
      <c r="R516" s="127"/>
      <c r="S516" s="123"/>
      <c r="T516" s="3"/>
      <c r="W516" s="86"/>
      <c r="Y516" s="75"/>
    </row>
    <row r="517" spans="1:25" x14ac:dyDescent="0.25">
      <c r="A517" s="75"/>
      <c r="C517" s="81"/>
      <c r="D517" s="81"/>
      <c r="I517" s="81"/>
      <c r="K517" s="82"/>
      <c r="L517" s="123"/>
      <c r="M517" s="3"/>
      <c r="N517" s="3"/>
      <c r="O517" s="3"/>
      <c r="P517" s="125"/>
      <c r="Q517" s="125"/>
      <c r="R517" s="127"/>
      <c r="S517" s="123"/>
      <c r="T517" s="3"/>
      <c r="W517" s="86"/>
      <c r="Y517" s="75"/>
    </row>
    <row r="518" spans="1:25" x14ac:dyDescent="0.25">
      <c r="A518" s="75"/>
      <c r="C518" s="81"/>
      <c r="D518" s="81"/>
      <c r="I518" s="81"/>
      <c r="K518" s="82"/>
      <c r="L518" s="123"/>
      <c r="M518" s="3"/>
      <c r="N518" s="3"/>
      <c r="O518" s="3"/>
      <c r="P518" s="125"/>
      <c r="Q518" s="125"/>
      <c r="R518" s="127"/>
      <c r="S518" s="123"/>
      <c r="T518" s="3"/>
      <c r="W518" s="86"/>
      <c r="Y518" s="75"/>
    </row>
    <row r="519" spans="1:25" x14ac:dyDescent="0.25">
      <c r="A519" s="75"/>
      <c r="C519" s="81"/>
      <c r="D519" s="81"/>
      <c r="I519" s="81"/>
      <c r="K519" s="82"/>
      <c r="L519" s="123"/>
      <c r="M519" s="3"/>
      <c r="N519" s="3"/>
      <c r="O519" s="3"/>
      <c r="P519" s="125"/>
      <c r="Q519" s="125"/>
      <c r="R519" s="127"/>
      <c r="S519" s="123"/>
      <c r="T519" s="3"/>
      <c r="W519" s="86"/>
      <c r="Y519" s="75"/>
    </row>
    <row r="520" spans="1:25" x14ac:dyDescent="0.25">
      <c r="A520" s="75"/>
      <c r="C520" s="81"/>
      <c r="D520" s="81"/>
      <c r="I520" s="81"/>
      <c r="K520" s="82"/>
      <c r="L520" s="123"/>
      <c r="M520" s="3"/>
      <c r="N520" s="3"/>
      <c r="O520" s="3"/>
      <c r="P520" s="125"/>
      <c r="Q520" s="125"/>
      <c r="R520" s="127"/>
      <c r="S520" s="123"/>
      <c r="T520" s="3"/>
      <c r="W520" s="86"/>
      <c r="Y520" s="75"/>
    </row>
    <row r="521" spans="1:25" x14ac:dyDescent="0.25">
      <c r="A521" s="75"/>
      <c r="C521" s="81"/>
      <c r="D521" s="81"/>
      <c r="I521" s="81"/>
      <c r="K521" s="82"/>
      <c r="L521" s="123"/>
      <c r="M521" s="3"/>
      <c r="N521" s="3"/>
      <c r="O521" s="3"/>
      <c r="P521" s="125"/>
      <c r="Q521" s="125"/>
      <c r="R521" s="127"/>
      <c r="S521" s="123"/>
      <c r="T521" s="3"/>
      <c r="W521" s="86"/>
      <c r="Y521" s="75"/>
    </row>
    <row r="522" spans="1:25" x14ac:dyDescent="0.25">
      <c r="A522" s="75"/>
      <c r="C522" s="81"/>
      <c r="D522" s="81"/>
      <c r="I522" s="81"/>
      <c r="K522" s="82"/>
      <c r="L522" s="123"/>
      <c r="M522" s="3"/>
      <c r="N522" s="3"/>
      <c r="O522" s="3"/>
      <c r="P522" s="125"/>
      <c r="Q522" s="125"/>
      <c r="R522" s="127"/>
      <c r="S522" s="123"/>
      <c r="T522" s="3"/>
      <c r="W522" s="86"/>
      <c r="Y522" s="75"/>
    </row>
    <row r="523" spans="1:25" x14ac:dyDescent="0.25">
      <c r="A523" s="75"/>
      <c r="C523" s="81"/>
      <c r="D523" s="81"/>
      <c r="I523" s="81"/>
      <c r="K523" s="82"/>
      <c r="L523" s="123"/>
      <c r="M523" s="3"/>
      <c r="N523" s="3"/>
      <c r="O523" s="3"/>
      <c r="P523" s="125"/>
      <c r="Q523" s="125"/>
      <c r="R523" s="127"/>
      <c r="S523" s="123"/>
      <c r="T523" s="3"/>
      <c r="W523" s="86"/>
      <c r="Y523" s="75"/>
    </row>
    <row r="524" spans="1:25" x14ac:dyDescent="0.25">
      <c r="A524" s="75"/>
      <c r="C524" s="81"/>
      <c r="D524" s="81"/>
      <c r="I524" s="81"/>
      <c r="K524" s="82"/>
      <c r="L524" s="123"/>
      <c r="M524" s="3"/>
      <c r="N524" s="3"/>
      <c r="O524" s="3"/>
      <c r="P524" s="125"/>
      <c r="Q524" s="125"/>
      <c r="R524" s="127"/>
      <c r="S524" s="123"/>
      <c r="T524" s="3"/>
      <c r="W524" s="86"/>
      <c r="Y524" s="75"/>
    </row>
    <row r="525" spans="1:25" x14ac:dyDescent="0.25">
      <c r="A525" s="75"/>
      <c r="C525" s="81"/>
      <c r="D525" s="81"/>
      <c r="I525" s="81"/>
      <c r="K525" s="82"/>
      <c r="L525" s="123"/>
      <c r="M525" s="3"/>
      <c r="N525" s="3"/>
      <c r="O525" s="3"/>
      <c r="P525" s="125"/>
      <c r="Q525" s="125"/>
      <c r="R525" s="127"/>
      <c r="S525" s="123"/>
      <c r="T525" s="3"/>
      <c r="W525" s="86"/>
      <c r="Y525" s="75"/>
    </row>
    <row r="526" spans="1:25" x14ac:dyDescent="0.25">
      <c r="A526" s="75"/>
      <c r="C526" s="81"/>
      <c r="D526" s="81"/>
      <c r="I526" s="81"/>
      <c r="K526" s="82"/>
      <c r="L526" s="123"/>
      <c r="M526" s="3"/>
      <c r="N526" s="3"/>
      <c r="O526" s="3"/>
      <c r="P526" s="125"/>
      <c r="Q526" s="125"/>
      <c r="R526" s="127"/>
      <c r="S526" s="123"/>
      <c r="T526" s="3"/>
      <c r="W526" s="86"/>
      <c r="Y526" s="75"/>
    </row>
    <row r="527" spans="1:25" x14ac:dyDescent="0.25">
      <c r="A527" s="75"/>
      <c r="C527" s="81"/>
      <c r="D527" s="81"/>
      <c r="I527" s="81"/>
      <c r="K527" s="82"/>
      <c r="L527" s="123"/>
      <c r="M527" s="3"/>
      <c r="N527" s="3"/>
      <c r="O527" s="3"/>
      <c r="P527" s="125"/>
      <c r="Q527" s="125"/>
      <c r="R527" s="127"/>
      <c r="S527" s="123"/>
      <c r="T527" s="3"/>
      <c r="W527" s="86"/>
      <c r="Y527" s="75"/>
    </row>
    <row r="528" spans="1:25" x14ac:dyDescent="0.25">
      <c r="A528" s="75"/>
      <c r="C528" s="81"/>
      <c r="D528" s="81"/>
      <c r="I528" s="81"/>
      <c r="K528" s="82"/>
      <c r="L528" s="123"/>
      <c r="M528" s="3"/>
      <c r="N528" s="3"/>
      <c r="O528" s="3"/>
      <c r="P528" s="125"/>
      <c r="Q528" s="125"/>
      <c r="R528" s="127"/>
      <c r="S528" s="123"/>
      <c r="T528" s="3"/>
      <c r="W528" s="86"/>
      <c r="Y528" s="75"/>
    </row>
    <row r="529" spans="1:25" x14ac:dyDescent="0.25">
      <c r="A529" s="75"/>
      <c r="C529" s="81"/>
      <c r="D529" s="81"/>
      <c r="I529" s="81"/>
      <c r="K529" s="82"/>
      <c r="L529" s="123"/>
      <c r="M529" s="3"/>
      <c r="N529" s="3"/>
      <c r="O529" s="3"/>
      <c r="P529" s="125"/>
      <c r="Q529" s="125"/>
      <c r="R529" s="127"/>
      <c r="S529" s="123"/>
      <c r="T529" s="3"/>
      <c r="W529" s="86"/>
      <c r="Y529" s="75"/>
    </row>
    <row r="530" spans="1:25" x14ac:dyDescent="0.25">
      <c r="A530" s="75"/>
      <c r="C530" s="81"/>
      <c r="D530" s="81"/>
      <c r="I530" s="81"/>
      <c r="K530" s="82"/>
      <c r="L530" s="123"/>
      <c r="M530" s="3"/>
      <c r="N530" s="3"/>
      <c r="O530" s="3"/>
      <c r="P530" s="125"/>
      <c r="Q530" s="125"/>
      <c r="R530" s="127"/>
      <c r="S530" s="123"/>
      <c r="T530" s="3"/>
      <c r="W530" s="86"/>
      <c r="Y530" s="75"/>
    </row>
    <row r="531" spans="1:25" x14ac:dyDescent="0.25">
      <c r="A531" s="75"/>
      <c r="C531" s="81"/>
      <c r="D531" s="81"/>
      <c r="I531" s="81"/>
      <c r="K531" s="82"/>
      <c r="L531" s="123"/>
      <c r="M531" s="3"/>
      <c r="N531" s="3"/>
      <c r="O531" s="3"/>
      <c r="P531" s="125"/>
      <c r="Q531" s="125"/>
      <c r="R531" s="127"/>
      <c r="S531" s="123"/>
      <c r="T531" s="3"/>
      <c r="W531" s="86"/>
      <c r="Y531" s="75"/>
    </row>
    <row r="532" spans="1:25" x14ac:dyDescent="0.25">
      <c r="A532" s="75"/>
      <c r="C532" s="81"/>
      <c r="D532" s="81"/>
      <c r="I532" s="81"/>
      <c r="K532" s="82"/>
      <c r="L532" s="123"/>
      <c r="M532" s="3"/>
      <c r="N532" s="3"/>
      <c r="O532" s="3"/>
      <c r="P532" s="125"/>
      <c r="Q532" s="125"/>
      <c r="R532" s="127"/>
      <c r="S532" s="123"/>
      <c r="T532" s="3"/>
      <c r="W532" s="86"/>
      <c r="Y532" s="75"/>
    </row>
    <row r="533" spans="1:25" x14ac:dyDescent="0.25">
      <c r="A533" s="75"/>
      <c r="C533" s="81"/>
      <c r="D533" s="81"/>
      <c r="I533" s="81"/>
      <c r="K533" s="82"/>
      <c r="L533" s="123"/>
      <c r="M533" s="3"/>
      <c r="N533" s="3"/>
      <c r="O533" s="3"/>
      <c r="P533" s="125"/>
      <c r="Q533" s="125"/>
      <c r="R533" s="127"/>
      <c r="S533" s="123"/>
      <c r="T533" s="3"/>
      <c r="W533" s="86"/>
      <c r="Y533" s="75"/>
    </row>
    <row r="534" spans="1:25" x14ac:dyDescent="0.25">
      <c r="A534" s="75"/>
      <c r="C534" s="81"/>
      <c r="D534" s="81"/>
      <c r="I534" s="81"/>
      <c r="K534" s="82"/>
      <c r="L534" s="123"/>
      <c r="M534" s="3"/>
      <c r="N534" s="3"/>
      <c r="O534" s="3"/>
      <c r="P534" s="125"/>
      <c r="Q534" s="125"/>
      <c r="R534" s="127"/>
      <c r="S534" s="123"/>
      <c r="T534" s="3"/>
      <c r="W534" s="86"/>
      <c r="Y534" s="75"/>
    </row>
    <row r="535" spans="1:25" x14ac:dyDescent="0.25">
      <c r="A535" s="75"/>
      <c r="C535" s="81"/>
      <c r="D535" s="81"/>
      <c r="I535" s="81"/>
      <c r="K535" s="82"/>
      <c r="L535" s="123"/>
      <c r="M535" s="3"/>
      <c r="N535" s="3"/>
      <c r="O535" s="3"/>
      <c r="P535" s="125"/>
      <c r="Q535" s="125"/>
      <c r="R535" s="127"/>
      <c r="S535" s="123"/>
      <c r="T535" s="3"/>
      <c r="W535" s="86"/>
      <c r="Y535" s="75"/>
    </row>
    <row r="536" spans="1:25" x14ac:dyDescent="0.25">
      <c r="A536" s="75"/>
      <c r="C536" s="81"/>
      <c r="D536" s="81"/>
      <c r="I536" s="81"/>
      <c r="K536" s="82"/>
      <c r="L536" s="123"/>
      <c r="M536" s="3"/>
      <c r="N536" s="3"/>
      <c r="O536" s="3"/>
      <c r="P536" s="125"/>
      <c r="Q536" s="125"/>
      <c r="R536" s="127"/>
      <c r="S536" s="123"/>
      <c r="T536" s="3"/>
      <c r="W536" s="86"/>
      <c r="Y536" s="75"/>
    </row>
    <row r="537" spans="1:25" x14ac:dyDescent="0.25">
      <c r="A537" s="75"/>
      <c r="C537" s="81"/>
      <c r="D537" s="81"/>
      <c r="I537" s="81"/>
      <c r="K537" s="82"/>
      <c r="L537" s="123"/>
      <c r="M537" s="3"/>
      <c r="N537" s="3"/>
      <c r="O537" s="3"/>
      <c r="P537" s="125"/>
      <c r="Q537" s="125"/>
      <c r="R537" s="127"/>
      <c r="S537" s="123"/>
      <c r="T537" s="3"/>
      <c r="W537" s="86"/>
      <c r="Y537" s="75"/>
    </row>
    <row r="538" spans="1:25" x14ac:dyDescent="0.25">
      <c r="A538" s="75"/>
      <c r="C538" s="81"/>
      <c r="D538" s="81"/>
      <c r="I538" s="81"/>
      <c r="K538" s="82"/>
      <c r="L538" s="123"/>
      <c r="M538" s="3"/>
      <c r="N538" s="3"/>
      <c r="O538" s="3"/>
      <c r="P538" s="125"/>
      <c r="Q538" s="125"/>
      <c r="R538" s="127"/>
      <c r="S538" s="123"/>
      <c r="T538" s="3"/>
      <c r="W538" s="86"/>
      <c r="Y538" s="75"/>
    </row>
    <row r="539" spans="1:25" x14ac:dyDescent="0.25">
      <c r="A539" s="75"/>
      <c r="C539" s="81"/>
      <c r="D539" s="81"/>
      <c r="I539" s="81"/>
      <c r="K539" s="82"/>
      <c r="L539" s="123"/>
      <c r="M539" s="3"/>
      <c r="N539" s="3"/>
      <c r="O539" s="3"/>
      <c r="P539" s="125"/>
      <c r="Q539" s="125"/>
      <c r="R539" s="127"/>
      <c r="S539" s="123"/>
      <c r="T539" s="3"/>
      <c r="W539" s="86"/>
      <c r="Y539" s="75"/>
    </row>
    <row r="540" spans="1:25" x14ac:dyDescent="0.25">
      <c r="A540" s="75"/>
      <c r="C540" s="81"/>
      <c r="D540" s="81"/>
      <c r="I540" s="81"/>
      <c r="K540" s="82"/>
      <c r="L540" s="123"/>
      <c r="M540" s="3"/>
      <c r="N540" s="3"/>
      <c r="O540" s="3"/>
      <c r="P540" s="125"/>
      <c r="Q540" s="125"/>
      <c r="R540" s="127"/>
      <c r="S540" s="123"/>
      <c r="T540" s="3"/>
      <c r="W540" s="86"/>
      <c r="Y540" s="75"/>
    </row>
    <row r="541" spans="1:25" x14ac:dyDescent="0.25">
      <c r="A541" s="75"/>
      <c r="C541" s="81"/>
      <c r="D541" s="81"/>
      <c r="I541" s="81"/>
      <c r="K541" s="82"/>
      <c r="L541" s="123"/>
      <c r="M541" s="3"/>
      <c r="N541" s="3"/>
      <c r="O541" s="3"/>
      <c r="P541" s="125"/>
      <c r="Q541" s="125"/>
      <c r="R541" s="127"/>
      <c r="S541" s="123"/>
      <c r="T541" s="3"/>
      <c r="W541" s="86"/>
      <c r="Y541" s="75"/>
    </row>
    <row r="542" spans="1:25" x14ac:dyDescent="0.25">
      <c r="A542" s="75"/>
      <c r="C542" s="81"/>
      <c r="D542" s="81"/>
      <c r="I542" s="81"/>
      <c r="K542" s="82"/>
      <c r="L542" s="123"/>
      <c r="M542" s="3"/>
      <c r="N542" s="3"/>
      <c r="O542" s="3"/>
      <c r="P542" s="125"/>
      <c r="Q542" s="125"/>
      <c r="R542" s="127"/>
      <c r="S542" s="123"/>
      <c r="T542" s="3"/>
      <c r="W542" s="86"/>
      <c r="Y542" s="75"/>
    </row>
    <row r="543" spans="1:25" x14ac:dyDescent="0.25">
      <c r="A543" s="75"/>
      <c r="C543" s="81"/>
      <c r="D543" s="81"/>
      <c r="I543" s="81"/>
      <c r="K543" s="82"/>
      <c r="L543" s="123"/>
      <c r="M543" s="3"/>
      <c r="N543" s="3"/>
      <c r="O543" s="3"/>
      <c r="P543" s="125"/>
      <c r="Q543" s="125"/>
      <c r="R543" s="127"/>
      <c r="S543" s="123"/>
      <c r="T543" s="3"/>
      <c r="W543" s="86"/>
      <c r="Y543" s="75"/>
    </row>
    <row r="544" spans="1:25" x14ac:dyDescent="0.25">
      <c r="A544" s="75"/>
      <c r="C544" s="81"/>
      <c r="D544" s="81"/>
      <c r="I544" s="81"/>
      <c r="K544" s="82"/>
      <c r="L544" s="123"/>
      <c r="M544" s="3"/>
      <c r="N544" s="3"/>
      <c r="O544" s="3"/>
      <c r="P544" s="125"/>
      <c r="Q544" s="125"/>
      <c r="R544" s="127"/>
      <c r="S544" s="123"/>
      <c r="T544" s="3"/>
      <c r="W544" s="86"/>
      <c r="Y544" s="75"/>
    </row>
    <row r="545" spans="1:25" x14ac:dyDescent="0.25">
      <c r="A545" s="75"/>
      <c r="C545" s="81"/>
      <c r="D545" s="81"/>
      <c r="I545" s="81"/>
      <c r="K545" s="82"/>
      <c r="L545" s="123"/>
      <c r="M545" s="3"/>
      <c r="N545" s="3"/>
      <c r="O545" s="3"/>
      <c r="P545" s="125"/>
      <c r="Q545" s="125"/>
      <c r="R545" s="127"/>
      <c r="S545" s="123"/>
      <c r="T545" s="3"/>
      <c r="W545" s="86"/>
      <c r="Y545" s="75"/>
    </row>
    <row r="546" spans="1:25" x14ac:dyDescent="0.25">
      <c r="A546" s="75"/>
      <c r="C546" s="81"/>
      <c r="D546" s="81"/>
      <c r="I546" s="81"/>
      <c r="K546" s="82"/>
      <c r="L546" s="123"/>
      <c r="M546" s="3"/>
      <c r="N546" s="3"/>
      <c r="O546" s="3"/>
      <c r="P546" s="125"/>
      <c r="Q546" s="125"/>
      <c r="R546" s="127"/>
      <c r="S546" s="123"/>
      <c r="T546" s="3"/>
      <c r="W546" s="86"/>
      <c r="Y546" s="75"/>
    </row>
    <row r="547" spans="1:25" x14ac:dyDescent="0.25">
      <c r="A547" s="75"/>
      <c r="C547" s="81"/>
      <c r="D547" s="81"/>
      <c r="I547" s="81"/>
      <c r="K547" s="82"/>
      <c r="L547" s="123"/>
      <c r="M547" s="3"/>
      <c r="N547" s="3"/>
      <c r="O547" s="3"/>
      <c r="P547" s="125"/>
      <c r="Q547" s="125"/>
      <c r="R547" s="127"/>
      <c r="S547" s="123"/>
      <c r="T547" s="3"/>
      <c r="W547" s="86"/>
      <c r="Y547" s="75"/>
    </row>
    <row r="548" spans="1:25" x14ac:dyDescent="0.25">
      <c r="A548" s="75"/>
      <c r="C548" s="81"/>
      <c r="D548" s="81"/>
      <c r="I548" s="81"/>
      <c r="K548" s="82"/>
      <c r="L548" s="123"/>
      <c r="M548" s="3"/>
      <c r="N548" s="3"/>
      <c r="O548" s="3"/>
      <c r="P548" s="125"/>
      <c r="Q548" s="125"/>
      <c r="R548" s="127"/>
      <c r="S548" s="123"/>
      <c r="T548" s="3"/>
      <c r="W548" s="86"/>
      <c r="Y548" s="75"/>
    </row>
    <row r="549" spans="1:25" x14ac:dyDescent="0.25">
      <c r="A549" s="75"/>
      <c r="C549" s="81"/>
      <c r="D549" s="81"/>
      <c r="I549" s="81"/>
      <c r="K549" s="82"/>
      <c r="L549" s="123"/>
      <c r="M549" s="3"/>
      <c r="N549" s="3"/>
      <c r="O549" s="3"/>
      <c r="P549" s="125"/>
      <c r="Q549" s="125"/>
      <c r="R549" s="127"/>
      <c r="S549" s="123"/>
      <c r="T549" s="3"/>
      <c r="W549" s="86"/>
      <c r="Y549" s="75"/>
    </row>
    <row r="550" spans="1:25" x14ac:dyDescent="0.25">
      <c r="A550" s="75"/>
      <c r="C550" s="81"/>
      <c r="D550" s="81"/>
      <c r="I550" s="81"/>
      <c r="K550" s="82"/>
      <c r="L550" s="123"/>
      <c r="M550" s="3"/>
      <c r="N550" s="3"/>
      <c r="O550" s="3"/>
      <c r="P550" s="125"/>
      <c r="Q550" s="125"/>
      <c r="R550" s="127"/>
      <c r="S550" s="123"/>
      <c r="T550" s="3"/>
      <c r="W550" s="86"/>
      <c r="Y550" s="75"/>
    </row>
    <row r="551" spans="1:25" x14ac:dyDescent="0.25">
      <c r="A551" s="75"/>
      <c r="C551" s="81"/>
      <c r="D551" s="81"/>
      <c r="I551" s="81"/>
      <c r="K551" s="82"/>
      <c r="L551" s="123"/>
      <c r="M551" s="3"/>
      <c r="N551" s="3"/>
      <c r="O551" s="3"/>
      <c r="P551" s="125"/>
      <c r="Q551" s="125"/>
      <c r="R551" s="127"/>
      <c r="S551" s="123"/>
      <c r="T551" s="3"/>
      <c r="W551" s="86"/>
      <c r="Y551" s="75"/>
    </row>
    <row r="552" spans="1:25" x14ac:dyDescent="0.25">
      <c r="A552" s="75"/>
      <c r="C552" s="81"/>
      <c r="D552" s="81"/>
      <c r="I552" s="81"/>
      <c r="K552" s="82"/>
      <c r="L552" s="123"/>
      <c r="M552" s="3"/>
      <c r="N552" s="3"/>
      <c r="O552" s="3"/>
      <c r="P552" s="125"/>
      <c r="Q552" s="125"/>
      <c r="R552" s="127"/>
      <c r="S552" s="123"/>
      <c r="T552" s="3"/>
      <c r="W552" s="86"/>
      <c r="Y552" s="75"/>
    </row>
    <row r="553" spans="1:25" x14ac:dyDescent="0.25">
      <c r="A553" s="75"/>
      <c r="C553" s="81"/>
      <c r="D553" s="81"/>
      <c r="I553" s="81"/>
      <c r="K553" s="82"/>
      <c r="L553" s="123"/>
      <c r="M553" s="3"/>
      <c r="N553" s="3"/>
      <c r="O553" s="3"/>
      <c r="P553" s="125"/>
      <c r="Q553" s="125"/>
      <c r="R553" s="127"/>
      <c r="S553" s="123"/>
      <c r="T553" s="3"/>
      <c r="W553" s="86"/>
      <c r="Y553" s="75"/>
    </row>
    <row r="554" spans="1:25" x14ac:dyDescent="0.25">
      <c r="A554" s="75"/>
      <c r="C554" s="81"/>
      <c r="D554" s="81"/>
      <c r="I554" s="81"/>
      <c r="K554" s="82"/>
      <c r="L554" s="123"/>
      <c r="M554" s="3"/>
      <c r="N554" s="3"/>
      <c r="O554" s="3"/>
      <c r="P554" s="125"/>
      <c r="Q554" s="125"/>
      <c r="R554" s="127"/>
      <c r="S554" s="123"/>
      <c r="T554" s="3"/>
      <c r="W554" s="86"/>
      <c r="Y554" s="75"/>
    </row>
    <row r="555" spans="1:25" x14ac:dyDescent="0.25">
      <c r="A555" s="75"/>
      <c r="C555" s="81"/>
      <c r="D555" s="81"/>
      <c r="I555" s="81"/>
      <c r="K555" s="82"/>
      <c r="L555" s="123"/>
      <c r="M555" s="3"/>
      <c r="N555" s="3"/>
      <c r="O555" s="3"/>
      <c r="P555" s="125"/>
      <c r="Q555" s="125"/>
      <c r="R555" s="127"/>
      <c r="S555" s="123"/>
      <c r="T555" s="3"/>
      <c r="W555" s="86"/>
      <c r="Y555" s="75"/>
    </row>
    <row r="556" spans="1:25" x14ac:dyDescent="0.25">
      <c r="A556" s="75"/>
      <c r="C556" s="81"/>
      <c r="D556" s="81"/>
      <c r="I556" s="81"/>
      <c r="K556" s="82"/>
      <c r="L556" s="123"/>
      <c r="M556" s="3"/>
      <c r="N556" s="3"/>
      <c r="O556" s="3"/>
      <c r="P556" s="125"/>
      <c r="Q556" s="125"/>
      <c r="R556" s="127"/>
      <c r="S556" s="123"/>
      <c r="T556" s="3"/>
      <c r="W556" s="86"/>
      <c r="Y556" s="75"/>
    </row>
    <row r="557" spans="1:25" x14ac:dyDescent="0.25">
      <c r="A557" s="75"/>
      <c r="C557" s="81"/>
      <c r="D557" s="81"/>
      <c r="I557" s="81"/>
      <c r="K557" s="82"/>
      <c r="L557" s="123"/>
      <c r="M557" s="3"/>
      <c r="N557" s="3"/>
      <c r="O557" s="3"/>
      <c r="P557" s="125"/>
      <c r="Q557" s="125"/>
      <c r="R557" s="127"/>
      <c r="S557" s="123"/>
      <c r="T557" s="3"/>
      <c r="W557" s="86"/>
      <c r="Y557" s="75"/>
    </row>
    <row r="558" spans="1:25" x14ac:dyDescent="0.25">
      <c r="A558" s="75"/>
      <c r="C558" s="81"/>
      <c r="D558" s="81"/>
      <c r="I558" s="81"/>
      <c r="K558" s="82"/>
      <c r="L558" s="123"/>
      <c r="M558" s="3"/>
      <c r="N558" s="3"/>
      <c r="O558" s="3"/>
      <c r="P558" s="125"/>
      <c r="Q558" s="125"/>
      <c r="R558" s="127"/>
      <c r="S558" s="123"/>
      <c r="T558" s="3"/>
      <c r="W558" s="86"/>
      <c r="Y558" s="75"/>
    </row>
    <row r="559" spans="1:25" x14ac:dyDescent="0.25">
      <c r="A559" s="75"/>
      <c r="C559" s="81"/>
      <c r="D559" s="81"/>
      <c r="I559" s="81"/>
      <c r="K559" s="82"/>
      <c r="L559" s="123"/>
      <c r="M559" s="3"/>
      <c r="N559" s="3"/>
      <c r="O559" s="3"/>
      <c r="P559" s="125"/>
      <c r="Q559" s="125"/>
      <c r="R559" s="127"/>
      <c r="S559" s="123"/>
      <c r="T559" s="3"/>
      <c r="W559" s="86"/>
      <c r="Y559" s="75"/>
    </row>
    <row r="560" spans="1:25" x14ac:dyDescent="0.25">
      <c r="A560" s="75"/>
      <c r="C560" s="81"/>
      <c r="D560" s="81"/>
      <c r="I560" s="81"/>
      <c r="K560" s="82"/>
      <c r="L560" s="123"/>
      <c r="M560" s="3"/>
      <c r="N560" s="3"/>
      <c r="O560" s="3"/>
      <c r="P560" s="125"/>
      <c r="Q560" s="125"/>
      <c r="R560" s="127"/>
      <c r="S560" s="123"/>
      <c r="T560" s="3"/>
      <c r="W560" s="86"/>
      <c r="Y560" s="75"/>
    </row>
    <row r="561" spans="1:25" x14ac:dyDescent="0.25">
      <c r="A561" s="75"/>
      <c r="C561" s="81"/>
      <c r="D561" s="81"/>
      <c r="I561" s="81"/>
      <c r="K561" s="82"/>
      <c r="L561" s="123"/>
      <c r="M561" s="3"/>
      <c r="N561" s="3"/>
      <c r="O561" s="3"/>
      <c r="P561" s="125"/>
      <c r="Q561" s="125"/>
      <c r="R561" s="127"/>
      <c r="S561" s="123"/>
      <c r="T561" s="3"/>
      <c r="W561" s="86"/>
      <c r="Y561" s="75"/>
    </row>
    <row r="562" spans="1:25" x14ac:dyDescent="0.25">
      <c r="A562" s="75"/>
      <c r="C562" s="81"/>
      <c r="D562" s="81"/>
      <c r="I562" s="81"/>
      <c r="K562" s="82"/>
      <c r="L562" s="123"/>
      <c r="M562" s="3"/>
      <c r="N562" s="3"/>
      <c r="O562" s="3"/>
      <c r="P562" s="125"/>
      <c r="Q562" s="125"/>
      <c r="R562" s="127"/>
      <c r="S562" s="123"/>
      <c r="T562" s="3"/>
      <c r="W562" s="86"/>
      <c r="Y562" s="75"/>
    </row>
    <row r="563" spans="1:25" x14ac:dyDescent="0.25">
      <c r="A563" s="75"/>
      <c r="C563" s="81"/>
      <c r="D563" s="81"/>
      <c r="I563" s="81"/>
      <c r="K563" s="82"/>
      <c r="L563" s="123"/>
      <c r="M563" s="3"/>
      <c r="N563" s="3"/>
      <c r="O563" s="3"/>
      <c r="P563" s="125"/>
      <c r="Q563" s="125"/>
      <c r="R563" s="127"/>
      <c r="S563" s="123"/>
      <c r="T563" s="3"/>
      <c r="W563" s="86"/>
      <c r="Y563" s="75"/>
    </row>
    <row r="564" spans="1:25" x14ac:dyDescent="0.25">
      <c r="A564" s="75"/>
      <c r="C564" s="81"/>
      <c r="D564" s="81"/>
      <c r="I564" s="81"/>
      <c r="K564" s="82"/>
      <c r="L564" s="123"/>
      <c r="M564" s="3"/>
      <c r="N564" s="3"/>
      <c r="O564" s="3"/>
      <c r="P564" s="125"/>
      <c r="Q564" s="125"/>
      <c r="R564" s="127"/>
      <c r="S564" s="123"/>
      <c r="T564" s="3"/>
      <c r="W564" s="86"/>
      <c r="Y564" s="75"/>
    </row>
    <row r="565" spans="1:25" x14ac:dyDescent="0.25">
      <c r="A565" s="75"/>
      <c r="C565" s="81"/>
      <c r="D565" s="81"/>
      <c r="I565" s="81"/>
      <c r="K565" s="82"/>
      <c r="L565" s="123"/>
      <c r="M565" s="3"/>
      <c r="N565" s="3"/>
      <c r="O565" s="3"/>
      <c r="P565" s="125"/>
      <c r="Q565" s="125"/>
      <c r="R565" s="127"/>
      <c r="S565" s="123"/>
      <c r="T565" s="3"/>
      <c r="W565" s="86"/>
      <c r="Y565" s="75"/>
    </row>
    <row r="566" spans="1:25" x14ac:dyDescent="0.25">
      <c r="A566" s="75"/>
      <c r="C566" s="81"/>
      <c r="D566" s="81"/>
      <c r="I566" s="81"/>
      <c r="K566" s="82"/>
      <c r="L566" s="123"/>
      <c r="M566" s="3"/>
      <c r="N566" s="3"/>
      <c r="O566" s="3"/>
      <c r="P566" s="125"/>
      <c r="Q566" s="125"/>
      <c r="R566" s="127"/>
      <c r="S566" s="123"/>
      <c r="T566" s="3"/>
      <c r="W566" s="86"/>
      <c r="Y566" s="75"/>
    </row>
    <row r="567" spans="1:25" x14ac:dyDescent="0.25">
      <c r="A567" s="75"/>
      <c r="C567" s="81"/>
      <c r="D567" s="81"/>
      <c r="I567" s="81"/>
      <c r="K567" s="82"/>
      <c r="L567" s="123"/>
      <c r="M567" s="3"/>
      <c r="N567" s="3"/>
      <c r="O567" s="3"/>
      <c r="P567" s="125"/>
      <c r="Q567" s="125"/>
      <c r="R567" s="127"/>
      <c r="S567" s="123"/>
      <c r="T567" s="3"/>
      <c r="W567" s="86"/>
      <c r="Y567" s="75"/>
    </row>
    <row r="568" spans="1:25" x14ac:dyDescent="0.25">
      <c r="A568" s="75"/>
      <c r="C568" s="81"/>
      <c r="D568" s="81"/>
      <c r="I568" s="81"/>
      <c r="K568" s="82"/>
      <c r="L568" s="123"/>
      <c r="M568" s="3"/>
      <c r="N568" s="3"/>
      <c r="O568" s="3"/>
      <c r="P568" s="125"/>
      <c r="Q568" s="125"/>
      <c r="R568" s="127"/>
      <c r="S568" s="123"/>
      <c r="T568" s="3"/>
      <c r="W568" s="86"/>
      <c r="Y568" s="75"/>
    </row>
    <row r="569" spans="1:25" x14ac:dyDescent="0.25">
      <c r="A569" s="75"/>
      <c r="C569" s="81"/>
      <c r="D569" s="81"/>
      <c r="I569" s="81"/>
      <c r="K569" s="82"/>
      <c r="L569" s="123"/>
      <c r="M569" s="3"/>
      <c r="N569" s="3"/>
      <c r="O569" s="3"/>
      <c r="P569" s="125"/>
      <c r="Q569" s="125"/>
      <c r="R569" s="127"/>
      <c r="S569" s="123"/>
      <c r="T569" s="3"/>
      <c r="W569" s="86"/>
      <c r="Y569" s="75"/>
    </row>
    <row r="570" spans="1:25" x14ac:dyDescent="0.25">
      <c r="A570" s="75"/>
      <c r="C570" s="81"/>
      <c r="D570" s="81"/>
      <c r="I570" s="81"/>
      <c r="K570" s="82"/>
      <c r="L570" s="123"/>
      <c r="M570" s="3"/>
      <c r="N570" s="3"/>
      <c r="O570" s="3"/>
      <c r="P570" s="125"/>
      <c r="Q570" s="125"/>
      <c r="R570" s="127"/>
      <c r="S570" s="123"/>
      <c r="T570" s="3"/>
      <c r="W570" s="86"/>
      <c r="Y570" s="75"/>
    </row>
    <row r="571" spans="1:25" x14ac:dyDescent="0.25">
      <c r="A571" s="75"/>
      <c r="C571" s="81"/>
      <c r="D571" s="81"/>
      <c r="I571" s="81"/>
      <c r="K571" s="82"/>
      <c r="L571" s="123"/>
      <c r="M571" s="3"/>
      <c r="N571" s="3"/>
      <c r="O571" s="3"/>
      <c r="P571" s="125"/>
      <c r="Q571" s="125"/>
      <c r="R571" s="127"/>
      <c r="S571" s="123"/>
      <c r="T571" s="3"/>
      <c r="W571" s="86"/>
      <c r="Y571" s="75"/>
    </row>
    <row r="572" spans="1:25" x14ac:dyDescent="0.25">
      <c r="A572" s="75"/>
      <c r="C572" s="81"/>
      <c r="D572" s="81"/>
      <c r="I572" s="81"/>
      <c r="K572" s="82"/>
      <c r="L572" s="123"/>
      <c r="M572" s="3"/>
      <c r="N572" s="3"/>
      <c r="O572" s="3"/>
      <c r="P572" s="125"/>
      <c r="Q572" s="125"/>
      <c r="R572" s="127"/>
      <c r="S572" s="123"/>
      <c r="T572" s="3"/>
      <c r="W572" s="86"/>
      <c r="Y572" s="75"/>
    </row>
    <row r="573" spans="1:25" x14ac:dyDescent="0.25">
      <c r="A573" s="75"/>
      <c r="C573" s="81"/>
      <c r="D573" s="81"/>
      <c r="I573" s="81"/>
      <c r="K573" s="82"/>
      <c r="L573" s="123"/>
      <c r="M573" s="3"/>
      <c r="N573" s="3"/>
      <c r="O573" s="3"/>
      <c r="P573" s="125"/>
      <c r="Q573" s="125"/>
      <c r="R573" s="127"/>
      <c r="S573" s="123"/>
      <c r="T573" s="3"/>
      <c r="W573" s="86"/>
      <c r="Y573" s="75"/>
    </row>
    <row r="574" spans="1:25" x14ac:dyDescent="0.25">
      <c r="A574" s="75"/>
      <c r="C574" s="81"/>
      <c r="D574" s="81"/>
      <c r="I574" s="81"/>
      <c r="K574" s="82"/>
      <c r="L574" s="123"/>
      <c r="M574" s="3"/>
      <c r="N574" s="3"/>
      <c r="O574" s="3"/>
      <c r="P574" s="125"/>
      <c r="Q574" s="125"/>
      <c r="R574" s="127"/>
      <c r="S574" s="123"/>
      <c r="T574" s="3"/>
      <c r="W574" s="86"/>
      <c r="Y574" s="75"/>
    </row>
    <row r="575" spans="1:25" x14ac:dyDescent="0.25">
      <c r="A575" s="75"/>
      <c r="C575" s="81"/>
      <c r="D575" s="81"/>
      <c r="I575" s="81"/>
      <c r="K575" s="82"/>
      <c r="L575" s="123"/>
      <c r="M575" s="3"/>
      <c r="N575" s="3"/>
      <c r="O575" s="3"/>
      <c r="P575" s="125"/>
      <c r="Q575" s="125"/>
      <c r="R575" s="127"/>
      <c r="S575" s="123"/>
      <c r="T575" s="3"/>
      <c r="W575" s="86"/>
      <c r="Y575" s="75"/>
    </row>
    <row r="576" spans="1:25" x14ac:dyDescent="0.25">
      <c r="A576" s="75"/>
      <c r="C576" s="81"/>
      <c r="D576" s="81"/>
      <c r="I576" s="81"/>
      <c r="K576" s="82"/>
      <c r="L576" s="123"/>
      <c r="M576" s="3"/>
      <c r="N576" s="3"/>
      <c r="O576" s="3"/>
      <c r="P576" s="125"/>
      <c r="Q576" s="125"/>
      <c r="R576" s="127"/>
      <c r="S576" s="123"/>
      <c r="T576" s="3"/>
      <c r="W576" s="86"/>
      <c r="Y576" s="75"/>
    </row>
    <row r="577" spans="1:25" x14ac:dyDescent="0.25">
      <c r="A577" s="75"/>
      <c r="C577" s="81"/>
      <c r="D577" s="81"/>
      <c r="I577" s="81"/>
      <c r="K577" s="82"/>
      <c r="L577" s="123"/>
      <c r="M577" s="3"/>
      <c r="N577" s="3"/>
      <c r="O577" s="3"/>
      <c r="P577" s="125"/>
      <c r="Q577" s="125"/>
      <c r="R577" s="127"/>
      <c r="S577" s="123"/>
      <c r="T577" s="3"/>
      <c r="W577" s="86"/>
      <c r="Y577" s="75"/>
    </row>
    <row r="578" spans="1:25" x14ac:dyDescent="0.25">
      <c r="A578" s="75"/>
      <c r="C578" s="81"/>
      <c r="D578" s="81"/>
      <c r="I578" s="81"/>
      <c r="K578" s="82"/>
      <c r="L578" s="123"/>
      <c r="M578" s="3"/>
      <c r="N578" s="3"/>
      <c r="O578" s="3"/>
      <c r="P578" s="125"/>
      <c r="Q578" s="125"/>
      <c r="R578" s="127"/>
      <c r="S578" s="123"/>
      <c r="T578" s="3"/>
      <c r="W578" s="86"/>
      <c r="Y578" s="75"/>
    </row>
    <row r="579" spans="1:25" x14ac:dyDescent="0.25">
      <c r="A579" s="75"/>
      <c r="C579" s="81"/>
      <c r="D579" s="81"/>
      <c r="I579" s="81"/>
      <c r="K579" s="82"/>
      <c r="L579" s="123"/>
      <c r="M579" s="3"/>
      <c r="N579" s="3"/>
      <c r="O579" s="3"/>
      <c r="P579" s="125"/>
      <c r="Q579" s="125"/>
      <c r="R579" s="127"/>
      <c r="S579" s="123"/>
      <c r="T579" s="3"/>
      <c r="W579" s="86"/>
      <c r="Y579" s="75"/>
    </row>
    <row r="580" spans="1:25" x14ac:dyDescent="0.25">
      <c r="A580" s="75"/>
      <c r="C580" s="81"/>
      <c r="D580" s="81"/>
      <c r="I580" s="81"/>
      <c r="K580" s="82"/>
      <c r="L580" s="123"/>
      <c r="M580" s="3"/>
      <c r="N580" s="3"/>
      <c r="O580" s="3"/>
      <c r="P580" s="125"/>
      <c r="Q580" s="125"/>
      <c r="R580" s="127"/>
      <c r="S580" s="123"/>
      <c r="T580" s="3"/>
      <c r="W580" s="86"/>
      <c r="Y580" s="75"/>
    </row>
    <row r="581" spans="1:25" x14ac:dyDescent="0.25">
      <c r="A581" s="75"/>
      <c r="C581" s="81"/>
      <c r="D581" s="81"/>
      <c r="I581" s="81"/>
      <c r="K581" s="82"/>
      <c r="L581" s="123"/>
      <c r="M581" s="3"/>
      <c r="N581" s="3"/>
      <c r="O581" s="3"/>
      <c r="P581" s="125"/>
      <c r="Q581" s="125"/>
      <c r="R581" s="127"/>
      <c r="S581" s="123"/>
      <c r="T581" s="3"/>
      <c r="W581" s="86"/>
      <c r="Y581" s="75"/>
    </row>
    <row r="582" spans="1:25" x14ac:dyDescent="0.25">
      <c r="A582" s="75"/>
      <c r="C582" s="81"/>
      <c r="D582" s="81"/>
      <c r="I582" s="81"/>
      <c r="K582" s="82"/>
      <c r="L582" s="123"/>
      <c r="M582" s="3"/>
      <c r="N582" s="3"/>
      <c r="O582" s="3"/>
      <c r="P582" s="125"/>
      <c r="Q582" s="125"/>
      <c r="R582" s="127"/>
      <c r="S582" s="123"/>
      <c r="T582" s="3"/>
      <c r="W582" s="86"/>
      <c r="Y582" s="75"/>
    </row>
    <row r="583" spans="1:25" x14ac:dyDescent="0.25">
      <c r="A583" s="75"/>
      <c r="C583" s="81"/>
      <c r="D583" s="81"/>
      <c r="I583" s="81"/>
      <c r="K583" s="82"/>
      <c r="L583" s="123"/>
      <c r="M583" s="3"/>
      <c r="N583" s="3"/>
      <c r="O583" s="3"/>
      <c r="P583" s="125"/>
      <c r="Q583" s="125"/>
      <c r="R583" s="127"/>
      <c r="S583" s="123"/>
      <c r="T583" s="3"/>
      <c r="W583" s="86"/>
      <c r="Y583" s="75"/>
    </row>
    <row r="584" spans="1:25" x14ac:dyDescent="0.25">
      <c r="A584" s="75"/>
      <c r="C584" s="81"/>
      <c r="D584" s="81"/>
      <c r="I584" s="81"/>
      <c r="K584" s="82"/>
      <c r="L584" s="123"/>
      <c r="M584" s="3"/>
      <c r="N584" s="3"/>
      <c r="O584" s="3"/>
      <c r="P584" s="125"/>
      <c r="Q584" s="125"/>
      <c r="R584" s="127"/>
      <c r="S584" s="123"/>
      <c r="T584" s="3"/>
      <c r="W584" s="86"/>
      <c r="Y584" s="75"/>
    </row>
    <row r="585" spans="1:25" x14ac:dyDescent="0.25">
      <c r="A585" s="75"/>
      <c r="C585" s="81"/>
      <c r="D585" s="81"/>
      <c r="I585" s="81"/>
      <c r="K585" s="82"/>
      <c r="L585" s="123"/>
      <c r="M585" s="3"/>
      <c r="N585" s="3"/>
      <c r="O585" s="3"/>
      <c r="P585" s="125"/>
      <c r="Q585" s="125"/>
      <c r="R585" s="127"/>
      <c r="S585" s="123"/>
      <c r="T585" s="3"/>
      <c r="W585" s="86"/>
      <c r="Y585" s="75"/>
    </row>
    <row r="586" spans="1:25" x14ac:dyDescent="0.25">
      <c r="A586" s="75"/>
      <c r="C586" s="81"/>
      <c r="D586" s="81"/>
      <c r="I586" s="81"/>
      <c r="K586" s="82"/>
      <c r="L586" s="123"/>
      <c r="M586" s="3"/>
      <c r="N586" s="3"/>
      <c r="O586" s="3"/>
      <c r="P586" s="125"/>
      <c r="Q586" s="125"/>
      <c r="R586" s="127"/>
      <c r="S586" s="123"/>
      <c r="T586" s="3"/>
      <c r="W586" s="86"/>
      <c r="Y586" s="75"/>
    </row>
    <row r="587" spans="1:25" x14ac:dyDescent="0.25">
      <c r="A587" s="75"/>
      <c r="C587" s="81"/>
      <c r="D587" s="81"/>
      <c r="I587" s="81"/>
      <c r="K587" s="82"/>
      <c r="L587" s="123"/>
      <c r="M587" s="3"/>
      <c r="N587" s="3"/>
      <c r="O587" s="3"/>
      <c r="P587" s="125"/>
      <c r="Q587" s="125"/>
      <c r="R587" s="127"/>
      <c r="S587" s="123"/>
      <c r="T587" s="3"/>
      <c r="W587" s="86"/>
      <c r="Y587" s="75"/>
    </row>
    <row r="588" spans="1:25" x14ac:dyDescent="0.25">
      <c r="A588" s="75"/>
      <c r="C588" s="81"/>
      <c r="D588" s="81"/>
      <c r="I588" s="81"/>
      <c r="K588" s="82"/>
      <c r="L588" s="123"/>
      <c r="M588" s="3"/>
      <c r="N588" s="3"/>
      <c r="O588" s="3"/>
      <c r="P588" s="125"/>
      <c r="Q588" s="125"/>
      <c r="R588" s="127"/>
      <c r="S588" s="123"/>
      <c r="T588" s="3"/>
      <c r="W588" s="86"/>
      <c r="Y588" s="75"/>
    </row>
    <row r="589" spans="1:25" x14ac:dyDescent="0.25">
      <c r="A589" s="75"/>
      <c r="C589" s="81"/>
      <c r="D589" s="81"/>
      <c r="I589" s="81"/>
      <c r="K589" s="82"/>
      <c r="L589" s="123"/>
      <c r="M589" s="3"/>
      <c r="N589" s="3"/>
      <c r="O589" s="3"/>
      <c r="P589" s="125"/>
      <c r="Q589" s="125"/>
      <c r="R589" s="127"/>
      <c r="S589" s="123"/>
      <c r="T589" s="3"/>
      <c r="W589" s="86"/>
      <c r="Y589" s="75"/>
    </row>
    <row r="590" spans="1:25" x14ac:dyDescent="0.25">
      <c r="A590" s="75"/>
      <c r="C590" s="81"/>
      <c r="D590" s="81"/>
      <c r="I590" s="81"/>
      <c r="K590" s="82"/>
      <c r="L590" s="123"/>
      <c r="M590" s="3"/>
      <c r="N590" s="3"/>
      <c r="O590" s="3"/>
      <c r="P590" s="125"/>
      <c r="Q590" s="125"/>
      <c r="R590" s="127"/>
      <c r="S590" s="123"/>
      <c r="T590" s="3"/>
      <c r="W590" s="86"/>
      <c r="Y590" s="75"/>
    </row>
    <row r="591" spans="1:25" x14ac:dyDescent="0.25">
      <c r="A591" s="75"/>
      <c r="C591" s="81"/>
      <c r="D591" s="81"/>
      <c r="I591" s="81"/>
      <c r="K591" s="82"/>
      <c r="L591" s="123"/>
      <c r="M591" s="3"/>
      <c r="N591" s="3"/>
      <c r="O591" s="3"/>
      <c r="P591" s="125"/>
      <c r="Q591" s="125"/>
      <c r="R591" s="127"/>
      <c r="S591" s="123"/>
      <c r="T591" s="3"/>
      <c r="W591" s="86"/>
      <c r="Y591" s="75"/>
    </row>
    <row r="592" spans="1:25" x14ac:dyDescent="0.25">
      <c r="A592" s="75"/>
      <c r="C592" s="81"/>
      <c r="D592" s="81"/>
      <c r="I592" s="81"/>
      <c r="K592" s="82"/>
      <c r="L592" s="123"/>
      <c r="M592" s="3"/>
      <c r="N592" s="3"/>
      <c r="O592" s="3"/>
      <c r="P592" s="125"/>
      <c r="Q592" s="125"/>
      <c r="R592" s="127"/>
      <c r="S592" s="123"/>
      <c r="T592" s="3"/>
      <c r="W592" s="86"/>
      <c r="Y592" s="75"/>
    </row>
    <row r="593" spans="1:25" x14ac:dyDescent="0.25">
      <c r="A593" s="75"/>
      <c r="C593" s="81"/>
      <c r="D593" s="81"/>
      <c r="I593" s="81"/>
      <c r="K593" s="82"/>
      <c r="L593" s="123"/>
      <c r="M593" s="3"/>
      <c r="N593" s="3"/>
      <c r="O593" s="3"/>
      <c r="P593" s="125"/>
      <c r="Q593" s="125"/>
      <c r="R593" s="127"/>
      <c r="S593" s="123"/>
      <c r="T593" s="3"/>
      <c r="W593" s="86"/>
      <c r="Y593" s="75"/>
    </row>
    <row r="594" spans="1:25" x14ac:dyDescent="0.25">
      <c r="A594" s="75"/>
      <c r="C594" s="81"/>
      <c r="D594" s="81"/>
      <c r="I594" s="81"/>
      <c r="K594" s="82"/>
      <c r="L594" s="123"/>
      <c r="M594" s="3"/>
      <c r="N594" s="3"/>
      <c r="O594" s="3"/>
      <c r="P594" s="125"/>
      <c r="Q594" s="125"/>
      <c r="R594" s="127"/>
      <c r="S594" s="123"/>
      <c r="T594" s="3"/>
      <c r="W594" s="86"/>
      <c r="Y594" s="75"/>
    </row>
    <row r="595" spans="1:25" x14ac:dyDescent="0.25">
      <c r="A595" s="75"/>
      <c r="C595" s="81"/>
      <c r="D595" s="81"/>
      <c r="I595" s="81"/>
      <c r="K595" s="82"/>
      <c r="L595" s="123"/>
      <c r="M595" s="3"/>
      <c r="N595" s="3"/>
      <c r="O595" s="3"/>
      <c r="P595" s="125"/>
      <c r="Q595" s="125"/>
      <c r="R595" s="127"/>
      <c r="S595" s="123"/>
      <c r="T595" s="3"/>
      <c r="W595" s="86"/>
      <c r="Y595" s="75"/>
    </row>
    <row r="596" spans="1:25" x14ac:dyDescent="0.25">
      <c r="A596" s="75"/>
      <c r="C596" s="81"/>
      <c r="D596" s="81"/>
      <c r="I596" s="81"/>
      <c r="K596" s="82"/>
      <c r="L596" s="123"/>
      <c r="M596" s="3"/>
      <c r="N596" s="3"/>
      <c r="O596" s="3"/>
      <c r="P596" s="125"/>
      <c r="Q596" s="125"/>
      <c r="R596" s="127"/>
      <c r="S596" s="123"/>
      <c r="T596" s="3"/>
      <c r="W596" s="86"/>
      <c r="Y596" s="75"/>
    </row>
    <row r="597" spans="1:25" x14ac:dyDescent="0.25">
      <c r="A597" s="75"/>
      <c r="C597" s="81"/>
      <c r="D597" s="81"/>
      <c r="I597" s="81"/>
      <c r="K597" s="82"/>
      <c r="L597" s="123"/>
      <c r="M597" s="3"/>
      <c r="N597" s="3"/>
      <c r="O597" s="3"/>
      <c r="P597" s="125"/>
      <c r="Q597" s="125"/>
      <c r="R597" s="127"/>
      <c r="S597" s="123"/>
      <c r="T597" s="3"/>
      <c r="W597" s="86"/>
      <c r="Y597" s="75"/>
    </row>
    <row r="598" spans="1:25" x14ac:dyDescent="0.25">
      <c r="A598" s="75"/>
      <c r="C598" s="81"/>
      <c r="D598" s="81"/>
      <c r="I598" s="81"/>
      <c r="K598" s="82"/>
      <c r="L598" s="123"/>
      <c r="M598" s="3"/>
      <c r="N598" s="3"/>
      <c r="O598" s="3"/>
      <c r="P598" s="125"/>
      <c r="Q598" s="125"/>
      <c r="R598" s="127"/>
      <c r="S598" s="123"/>
      <c r="T598" s="3"/>
      <c r="W598" s="86"/>
      <c r="Y598" s="75"/>
    </row>
    <row r="599" spans="1:25" x14ac:dyDescent="0.25">
      <c r="A599" s="75"/>
      <c r="C599" s="81"/>
      <c r="D599" s="81"/>
      <c r="I599" s="81"/>
      <c r="K599" s="82"/>
      <c r="L599" s="123"/>
      <c r="M599" s="3"/>
      <c r="N599" s="3"/>
      <c r="O599" s="3"/>
      <c r="P599" s="125"/>
      <c r="Q599" s="125"/>
      <c r="R599" s="127"/>
      <c r="S599" s="123"/>
      <c r="T599" s="3"/>
      <c r="W599" s="86"/>
      <c r="Y599" s="75"/>
    </row>
    <row r="600" spans="1:25" x14ac:dyDescent="0.25">
      <c r="A600" s="75"/>
      <c r="C600" s="81"/>
      <c r="D600" s="81"/>
      <c r="I600" s="81"/>
      <c r="K600" s="82"/>
      <c r="L600" s="123"/>
      <c r="M600" s="3"/>
      <c r="N600" s="3"/>
      <c r="O600" s="3"/>
      <c r="P600" s="125"/>
      <c r="Q600" s="125"/>
      <c r="R600" s="127"/>
      <c r="S600" s="123"/>
      <c r="T600" s="3"/>
      <c r="W600" s="86"/>
      <c r="Y600" s="75"/>
    </row>
    <row r="601" spans="1:25" x14ac:dyDescent="0.25">
      <c r="A601" s="75"/>
      <c r="C601" s="81"/>
      <c r="D601" s="81"/>
      <c r="I601" s="81"/>
      <c r="K601" s="82"/>
      <c r="L601" s="123"/>
      <c r="M601" s="3"/>
      <c r="N601" s="3"/>
      <c r="O601" s="3"/>
      <c r="P601" s="125"/>
      <c r="Q601" s="125"/>
      <c r="R601" s="127"/>
      <c r="S601" s="123"/>
      <c r="T601" s="3"/>
      <c r="W601" s="86"/>
      <c r="Y601" s="75"/>
    </row>
    <row r="602" spans="1:25" x14ac:dyDescent="0.25">
      <c r="A602" s="75"/>
      <c r="C602" s="81"/>
      <c r="D602" s="81"/>
      <c r="I602" s="81"/>
      <c r="K602" s="82"/>
      <c r="L602" s="123"/>
      <c r="M602" s="3"/>
      <c r="N602" s="3"/>
      <c r="O602" s="3"/>
      <c r="P602" s="125"/>
      <c r="Q602" s="125"/>
      <c r="R602" s="127"/>
      <c r="S602" s="123"/>
      <c r="T602" s="3"/>
      <c r="W602" s="86"/>
      <c r="Y602" s="75"/>
    </row>
    <row r="603" spans="1:25" x14ac:dyDescent="0.25">
      <c r="A603" s="75"/>
      <c r="C603" s="81"/>
      <c r="D603" s="81"/>
      <c r="I603" s="81"/>
      <c r="K603" s="82"/>
      <c r="L603" s="123"/>
      <c r="M603" s="3"/>
      <c r="N603" s="3"/>
      <c r="O603" s="3"/>
      <c r="P603" s="125"/>
      <c r="Q603" s="125"/>
      <c r="R603" s="127"/>
      <c r="S603" s="123"/>
      <c r="T603" s="3"/>
      <c r="W603" s="86"/>
      <c r="Y603" s="75"/>
    </row>
    <row r="604" spans="1:25" x14ac:dyDescent="0.25">
      <c r="A604" s="75"/>
      <c r="C604" s="81"/>
      <c r="D604" s="81"/>
      <c r="I604" s="81"/>
      <c r="K604" s="82"/>
      <c r="L604" s="123"/>
      <c r="M604" s="3"/>
      <c r="N604" s="3"/>
      <c r="O604" s="3"/>
      <c r="P604" s="125"/>
      <c r="Q604" s="125"/>
      <c r="R604" s="127"/>
      <c r="S604" s="123"/>
      <c r="T604" s="3"/>
      <c r="W604" s="86"/>
      <c r="Y604" s="75"/>
    </row>
    <row r="605" spans="1:25" x14ac:dyDescent="0.25">
      <c r="A605" s="75"/>
      <c r="C605" s="81"/>
      <c r="D605" s="81"/>
      <c r="I605" s="81"/>
      <c r="K605" s="82"/>
      <c r="L605" s="123"/>
      <c r="M605" s="3"/>
      <c r="N605" s="3"/>
      <c r="O605" s="3"/>
      <c r="P605" s="125"/>
      <c r="Q605" s="125"/>
      <c r="R605" s="127"/>
      <c r="S605" s="123"/>
      <c r="T605" s="3"/>
      <c r="W605" s="86"/>
      <c r="Y605" s="75"/>
    </row>
    <row r="606" spans="1:25" x14ac:dyDescent="0.25">
      <c r="A606" s="75"/>
      <c r="C606" s="81"/>
      <c r="D606" s="81"/>
      <c r="I606" s="81"/>
      <c r="K606" s="82"/>
      <c r="L606" s="123"/>
      <c r="M606" s="3"/>
      <c r="N606" s="3"/>
      <c r="O606" s="3"/>
      <c r="P606" s="125"/>
      <c r="Q606" s="125"/>
      <c r="R606" s="127"/>
      <c r="S606" s="123"/>
      <c r="T606" s="3"/>
      <c r="W606" s="86"/>
      <c r="Y606" s="75"/>
    </row>
    <row r="607" spans="1:25" x14ac:dyDescent="0.25">
      <c r="A607" s="75"/>
      <c r="C607" s="81"/>
      <c r="D607" s="81"/>
      <c r="I607" s="81"/>
      <c r="K607" s="82"/>
      <c r="L607" s="123"/>
      <c r="M607" s="3"/>
      <c r="N607" s="3"/>
      <c r="O607" s="3"/>
      <c r="P607" s="125"/>
      <c r="Q607" s="125"/>
      <c r="R607" s="127"/>
      <c r="S607" s="123"/>
      <c r="T607" s="3"/>
      <c r="W607" s="86"/>
      <c r="Y607" s="75"/>
    </row>
    <row r="608" spans="1:25" x14ac:dyDescent="0.25">
      <c r="A608" s="75"/>
      <c r="C608" s="81"/>
      <c r="D608" s="81"/>
      <c r="I608" s="81"/>
      <c r="K608" s="82"/>
      <c r="L608" s="123"/>
      <c r="M608" s="3"/>
      <c r="N608" s="3"/>
      <c r="O608" s="3"/>
      <c r="P608" s="125"/>
      <c r="Q608" s="125"/>
      <c r="R608" s="127"/>
      <c r="S608" s="123"/>
      <c r="T608" s="3"/>
      <c r="W608" s="86"/>
      <c r="Y608" s="75"/>
    </row>
    <row r="609" spans="1:25" x14ac:dyDescent="0.25">
      <c r="A609" s="75"/>
      <c r="C609" s="81"/>
      <c r="D609" s="81"/>
      <c r="I609" s="81"/>
      <c r="K609" s="82"/>
      <c r="L609" s="123"/>
      <c r="M609" s="3"/>
      <c r="N609" s="3"/>
      <c r="O609" s="3"/>
      <c r="P609" s="125"/>
      <c r="Q609" s="125"/>
      <c r="R609" s="127"/>
      <c r="S609" s="123"/>
      <c r="T609" s="3"/>
      <c r="W609" s="86"/>
      <c r="Y609" s="75"/>
    </row>
    <row r="610" spans="1:25" x14ac:dyDescent="0.25">
      <c r="A610" s="75"/>
      <c r="C610" s="81"/>
      <c r="D610" s="81"/>
      <c r="I610" s="81"/>
      <c r="K610" s="82"/>
      <c r="L610" s="123"/>
      <c r="M610" s="3"/>
      <c r="N610" s="3"/>
      <c r="O610" s="3"/>
      <c r="P610" s="125"/>
      <c r="Q610" s="125"/>
      <c r="R610" s="127"/>
      <c r="S610" s="123"/>
      <c r="T610" s="3"/>
      <c r="W610" s="86"/>
      <c r="Y610" s="75"/>
    </row>
    <row r="611" spans="1:25" x14ac:dyDescent="0.25">
      <c r="A611" s="75"/>
      <c r="C611" s="81"/>
      <c r="D611" s="81"/>
      <c r="I611" s="81"/>
      <c r="K611" s="82"/>
      <c r="L611" s="123"/>
      <c r="M611" s="3"/>
      <c r="N611" s="3"/>
      <c r="O611" s="3"/>
      <c r="P611" s="125"/>
      <c r="Q611" s="125"/>
      <c r="R611" s="127"/>
      <c r="S611" s="123"/>
      <c r="T611" s="3"/>
      <c r="W611" s="86"/>
      <c r="Y611" s="75"/>
    </row>
    <row r="612" spans="1:25" x14ac:dyDescent="0.25">
      <c r="A612" s="75"/>
      <c r="C612" s="81"/>
      <c r="D612" s="81"/>
      <c r="I612" s="81"/>
      <c r="K612" s="82"/>
      <c r="L612" s="123"/>
      <c r="M612" s="3"/>
      <c r="N612" s="3"/>
      <c r="O612" s="3"/>
      <c r="P612" s="125"/>
      <c r="Q612" s="125"/>
      <c r="R612" s="127"/>
      <c r="S612" s="123"/>
      <c r="T612" s="3"/>
      <c r="W612" s="86"/>
      <c r="Y612" s="75"/>
    </row>
    <row r="613" spans="1:25" x14ac:dyDescent="0.25">
      <c r="A613" s="75"/>
      <c r="C613" s="81"/>
      <c r="D613" s="81"/>
      <c r="I613" s="81"/>
      <c r="K613" s="82"/>
      <c r="L613" s="123"/>
      <c r="M613" s="3"/>
      <c r="N613" s="3"/>
      <c r="O613" s="3"/>
      <c r="P613" s="125"/>
      <c r="Q613" s="125"/>
      <c r="R613" s="127"/>
      <c r="S613" s="123"/>
      <c r="T613" s="3"/>
      <c r="W613" s="86"/>
      <c r="Y613" s="75"/>
    </row>
    <row r="614" spans="1:25" x14ac:dyDescent="0.25">
      <c r="A614" s="75"/>
      <c r="C614" s="81"/>
      <c r="D614" s="81"/>
      <c r="I614" s="81"/>
      <c r="K614" s="82"/>
      <c r="L614" s="123"/>
      <c r="M614" s="3"/>
      <c r="N614" s="3"/>
      <c r="O614" s="3"/>
      <c r="P614" s="125"/>
      <c r="Q614" s="125"/>
      <c r="R614" s="127"/>
      <c r="S614" s="123"/>
      <c r="T614" s="3"/>
      <c r="W614" s="86"/>
      <c r="Y614" s="75"/>
    </row>
    <row r="615" spans="1:25" x14ac:dyDescent="0.25">
      <c r="A615" s="75"/>
      <c r="C615" s="81"/>
      <c r="D615" s="81"/>
      <c r="I615" s="81"/>
      <c r="K615" s="82"/>
      <c r="L615" s="123"/>
      <c r="M615" s="3"/>
      <c r="N615" s="3"/>
      <c r="O615" s="3"/>
      <c r="P615" s="125"/>
      <c r="Q615" s="125"/>
      <c r="R615" s="127"/>
      <c r="S615" s="123"/>
      <c r="T615" s="3"/>
      <c r="W615" s="86"/>
      <c r="Y615" s="75"/>
    </row>
    <row r="616" spans="1:25" x14ac:dyDescent="0.25">
      <c r="A616" s="75"/>
      <c r="C616" s="81"/>
      <c r="D616" s="81"/>
      <c r="I616" s="81"/>
      <c r="K616" s="82"/>
      <c r="L616" s="123"/>
      <c r="M616" s="3"/>
      <c r="N616" s="3"/>
      <c r="O616" s="3"/>
      <c r="P616" s="125"/>
      <c r="Q616" s="125"/>
      <c r="R616" s="127"/>
      <c r="S616" s="123"/>
      <c r="T616" s="3"/>
      <c r="W616" s="86"/>
      <c r="Y616" s="75"/>
    </row>
    <row r="617" spans="1:25" x14ac:dyDescent="0.25">
      <c r="A617" s="75"/>
      <c r="C617" s="81"/>
      <c r="D617" s="81"/>
      <c r="I617" s="81"/>
      <c r="K617" s="82"/>
      <c r="L617" s="123"/>
      <c r="M617" s="3"/>
      <c r="N617" s="3"/>
      <c r="O617" s="3"/>
      <c r="P617" s="125"/>
      <c r="Q617" s="125"/>
      <c r="R617" s="127"/>
      <c r="S617" s="123"/>
      <c r="T617" s="3"/>
      <c r="W617" s="86"/>
      <c r="Y617" s="75"/>
    </row>
    <row r="618" spans="1:25" x14ac:dyDescent="0.25">
      <c r="A618" s="75"/>
      <c r="C618" s="81"/>
      <c r="D618" s="81"/>
      <c r="I618" s="81"/>
      <c r="K618" s="82"/>
      <c r="L618" s="123"/>
      <c r="M618" s="3"/>
      <c r="N618" s="3"/>
      <c r="O618" s="3"/>
      <c r="P618" s="125"/>
      <c r="Q618" s="125"/>
      <c r="R618" s="127"/>
      <c r="S618" s="123"/>
      <c r="T618" s="3"/>
      <c r="W618" s="86"/>
      <c r="Y618" s="75"/>
    </row>
    <row r="619" spans="1:25" x14ac:dyDescent="0.25">
      <c r="A619" s="75"/>
      <c r="C619" s="81"/>
      <c r="D619" s="81"/>
      <c r="I619" s="81"/>
      <c r="K619" s="82"/>
      <c r="L619" s="123"/>
      <c r="M619" s="3"/>
      <c r="N619" s="3"/>
      <c r="O619" s="3"/>
      <c r="P619" s="125"/>
      <c r="Q619" s="125"/>
      <c r="R619" s="127"/>
      <c r="S619" s="123"/>
      <c r="T619" s="3"/>
      <c r="W619" s="86"/>
      <c r="Y619" s="75"/>
    </row>
    <row r="620" spans="1:25" x14ac:dyDescent="0.25">
      <c r="A620" s="75"/>
      <c r="C620" s="81"/>
      <c r="D620" s="81"/>
      <c r="I620" s="81"/>
      <c r="K620" s="82"/>
      <c r="L620" s="123"/>
      <c r="M620" s="3"/>
      <c r="N620" s="3"/>
      <c r="O620" s="3"/>
      <c r="P620" s="125"/>
      <c r="Q620" s="125"/>
      <c r="R620" s="127"/>
      <c r="S620" s="123"/>
      <c r="T620" s="3"/>
      <c r="W620" s="86"/>
      <c r="Y620" s="75"/>
    </row>
    <row r="621" spans="1:25" x14ac:dyDescent="0.25">
      <c r="A621" s="75"/>
      <c r="C621" s="81"/>
      <c r="D621" s="81"/>
      <c r="I621" s="81"/>
      <c r="K621" s="82"/>
      <c r="L621" s="123"/>
      <c r="M621" s="3"/>
      <c r="N621" s="3"/>
      <c r="O621" s="3"/>
      <c r="P621" s="125"/>
      <c r="Q621" s="125"/>
      <c r="R621" s="127"/>
      <c r="S621" s="123"/>
      <c r="T621" s="3"/>
      <c r="W621" s="86"/>
      <c r="Y621" s="75"/>
    </row>
    <row r="622" spans="1:25" x14ac:dyDescent="0.25">
      <c r="A622" s="75"/>
      <c r="C622" s="81"/>
      <c r="D622" s="81"/>
      <c r="I622" s="81"/>
      <c r="K622" s="82"/>
      <c r="L622" s="123"/>
      <c r="M622" s="3"/>
      <c r="N622" s="3"/>
      <c r="O622" s="3"/>
      <c r="P622" s="125"/>
      <c r="Q622" s="125"/>
      <c r="R622" s="127"/>
      <c r="S622" s="123"/>
      <c r="T622" s="3"/>
      <c r="W622" s="86"/>
      <c r="Y622" s="75"/>
    </row>
    <row r="623" spans="1:25" x14ac:dyDescent="0.25">
      <c r="A623" s="75"/>
      <c r="C623" s="81"/>
      <c r="D623" s="81"/>
      <c r="I623" s="81"/>
      <c r="K623" s="82"/>
      <c r="L623" s="123"/>
      <c r="M623" s="3"/>
      <c r="N623" s="3"/>
      <c r="O623" s="3"/>
      <c r="P623" s="125"/>
      <c r="Q623" s="125"/>
      <c r="R623" s="127"/>
      <c r="S623" s="123"/>
      <c r="T623" s="3"/>
      <c r="W623" s="86"/>
      <c r="Y623" s="75"/>
    </row>
    <row r="624" spans="1:25" x14ac:dyDescent="0.25">
      <c r="A624" s="75"/>
      <c r="C624" s="81"/>
      <c r="D624" s="81"/>
      <c r="I624" s="81"/>
      <c r="K624" s="82"/>
      <c r="L624" s="123"/>
      <c r="M624" s="3"/>
      <c r="N624" s="3"/>
      <c r="O624" s="3"/>
      <c r="P624" s="125"/>
      <c r="Q624" s="125"/>
      <c r="R624" s="127"/>
      <c r="S624" s="123"/>
      <c r="T624" s="3"/>
      <c r="W624" s="86"/>
      <c r="Y624" s="75"/>
    </row>
    <row r="625" spans="1:25" x14ac:dyDescent="0.25">
      <c r="A625" s="75"/>
      <c r="C625" s="81"/>
      <c r="D625" s="81"/>
      <c r="I625" s="81"/>
      <c r="K625" s="82"/>
      <c r="L625" s="123"/>
      <c r="M625" s="3"/>
      <c r="N625" s="3"/>
      <c r="O625" s="3"/>
      <c r="P625" s="125"/>
      <c r="Q625" s="125"/>
      <c r="R625" s="127"/>
      <c r="S625" s="123"/>
      <c r="T625" s="3"/>
      <c r="W625" s="86"/>
      <c r="Y625" s="75"/>
    </row>
    <row r="626" spans="1:25" x14ac:dyDescent="0.25">
      <c r="A626" s="75"/>
      <c r="C626" s="81"/>
      <c r="D626" s="81"/>
      <c r="I626" s="81"/>
      <c r="K626" s="82"/>
      <c r="L626" s="123"/>
      <c r="M626" s="3"/>
      <c r="N626" s="3"/>
      <c r="O626" s="3"/>
      <c r="P626" s="125"/>
      <c r="Q626" s="125"/>
      <c r="R626" s="127"/>
      <c r="S626" s="123"/>
      <c r="T626" s="3"/>
      <c r="W626" s="86"/>
      <c r="Y626" s="75"/>
    </row>
    <row r="627" spans="1:25" x14ac:dyDescent="0.25">
      <c r="A627" s="75"/>
      <c r="C627" s="81"/>
      <c r="D627" s="81"/>
      <c r="I627" s="81"/>
      <c r="K627" s="82"/>
      <c r="L627" s="123"/>
      <c r="M627" s="3"/>
      <c r="N627" s="3"/>
      <c r="O627" s="3"/>
      <c r="P627" s="125"/>
      <c r="Q627" s="125"/>
      <c r="R627" s="127"/>
      <c r="S627" s="123"/>
      <c r="T627" s="3"/>
      <c r="W627" s="86"/>
      <c r="Y627" s="75"/>
    </row>
    <row r="628" spans="1:25" x14ac:dyDescent="0.25">
      <c r="A628" s="75"/>
      <c r="C628" s="81"/>
      <c r="D628" s="81"/>
      <c r="I628" s="81"/>
      <c r="K628" s="82"/>
      <c r="L628" s="123"/>
      <c r="M628" s="3"/>
      <c r="N628" s="3"/>
      <c r="O628" s="3"/>
      <c r="P628" s="125"/>
      <c r="Q628" s="125"/>
      <c r="R628" s="127"/>
      <c r="S628" s="123"/>
      <c r="T628" s="3"/>
      <c r="W628" s="86"/>
      <c r="Y628" s="75"/>
    </row>
    <row r="629" spans="1:25" x14ac:dyDescent="0.25">
      <c r="A629" s="75"/>
      <c r="C629" s="81"/>
      <c r="D629" s="81"/>
      <c r="I629" s="81"/>
      <c r="K629" s="82"/>
      <c r="L629" s="123"/>
      <c r="M629" s="3"/>
      <c r="N629" s="3"/>
      <c r="O629" s="3"/>
      <c r="P629" s="125"/>
      <c r="Q629" s="125"/>
      <c r="R629" s="127"/>
      <c r="S629" s="123"/>
      <c r="T629" s="3"/>
      <c r="W629" s="86"/>
      <c r="Y629" s="75"/>
    </row>
    <row r="630" spans="1:25" x14ac:dyDescent="0.25">
      <c r="A630" s="75"/>
      <c r="C630" s="81"/>
      <c r="D630" s="81"/>
      <c r="I630" s="81"/>
      <c r="K630" s="82"/>
      <c r="L630" s="123"/>
      <c r="M630" s="3"/>
      <c r="N630" s="3"/>
      <c r="O630" s="3"/>
      <c r="P630" s="125"/>
      <c r="Q630" s="125"/>
      <c r="R630" s="127"/>
      <c r="S630" s="123"/>
      <c r="T630" s="3"/>
      <c r="W630" s="86"/>
      <c r="Y630" s="75"/>
    </row>
    <row r="631" spans="1:25" x14ac:dyDescent="0.25">
      <c r="A631" s="75"/>
      <c r="C631" s="81"/>
      <c r="D631" s="81"/>
      <c r="I631" s="81"/>
      <c r="K631" s="82"/>
      <c r="L631" s="123"/>
      <c r="M631" s="3"/>
      <c r="N631" s="3"/>
      <c r="O631" s="3"/>
      <c r="P631" s="125"/>
      <c r="Q631" s="125"/>
      <c r="R631" s="127"/>
      <c r="S631" s="123"/>
      <c r="T631" s="3"/>
      <c r="W631" s="86"/>
      <c r="Y631" s="75"/>
    </row>
    <row r="632" spans="1:25" x14ac:dyDescent="0.25">
      <c r="A632" s="75"/>
      <c r="C632" s="81"/>
      <c r="D632" s="81"/>
      <c r="I632" s="81"/>
      <c r="K632" s="82"/>
      <c r="L632" s="123"/>
      <c r="M632" s="3"/>
      <c r="N632" s="3"/>
      <c r="O632" s="3"/>
      <c r="P632" s="125"/>
      <c r="Q632" s="125"/>
      <c r="R632" s="127"/>
      <c r="S632" s="123"/>
      <c r="T632" s="3"/>
      <c r="W632" s="86"/>
      <c r="Y632" s="75"/>
    </row>
    <row r="633" spans="1:25" x14ac:dyDescent="0.25">
      <c r="A633" s="75"/>
      <c r="C633" s="81"/>
      <c r="D633" s="81"/>
      <c r="I633" s="81"/>
      <c r="K633" s="82"/>
      <c r="L633" s="123"/>
      <c r="M633" s="3"/>
      <c r="N633" s="3"/>
      <c r="O633" s="3"/>
      <c r="P633" s="125"/>
      <c r="Q633" s="125"/>
      <c r="R633" s="127"/>
      <c r="S633" s="123"/>
      <c r="T633" s="3"/>
      <c r="W633" s="86"/>
      <c r="Y633" s="75"/>
    </row>
    <row r="634" spans="1:25" x14ac:dyDescent="0.25">
      <c r="A634" s="75"/>
      <c r="C634" s="81"/>
      <c r="D634" s="81"/>
      <c r="I634" s="81"/>
      <c r="K634" s="82"/>
      <c r="L634" s="123"/>
      <c r="M634" s="3"/>
      <c r="N634" s="3"/>
      <c r="O634" s="3"/>
      <c r="P634" s="125"/>
      <c r="Q634" s="125"/>
      <c r="R634" s="127"/>
      <c r="S634" s="123"/>
      <c r="T634" s="3"/>
      <c r="W634" s="86"/>
      <c r="Y634" s="75"/>
    </row>
    <row r="635" spans="1:25" x14ac:dyDescent="0.25">
      <c r="A635" s="75"/>
      <c r="C635" s="81"/>
      <c r="D635" s="81"/>
      <c r="I635" s="81"/>
      <c r="K635" s="82"/>
      <c r="L635" s="123"/>
      <c r="M635" s="3"/>
      <c r="N635" s="3"/>
      <c r="O635" s="3"/>
      <c r="P635" s="125"/>
      <c r="Q635" s="125"/>
      <c r="R635" s="127"/>
      <c r="S635" s="123"/>
      <c r="T635" s="3"/>
      <c r="W635" s="86"/>
      <c r="Y635" s="75"/>
    </row>
    <row r="636" spans="1:25" x14ac:dyDescent="0.25">
      <c r="A636" s="75"/>
      <c r="C636" s="81"/>
      <c r="D636" s="81"/>
      <c r="I636" s="81"/>
      <c r="K636" s="82"/>
      <c r="L636" s="123"/>
      <c r="M636" s="3"/>
      <c r="N636" s="3"/>
      <c r="O636" s="3"/>
      <c r="P636" s="125"/>
      <c r="Q636" s="125"/>
      <c r="R636" s="127"/>
      <c r="S636" s="123"/>
      <c r="T636" s="3"/>
      <c r="W636" s="86"/>
      <c r="Y636" s="75"/>
    </row>
    <row r="637" spans="1:25" x14ac:dyDescent="0.25">
      <c r="A637" s="75"/>
      <c r="C637" s="81"/>
      <c r="D637" s="81"/>
      <c r="I637" s="81"/>
      <c r="K637" s="82"/>
      <c r="L637" s="123"/>
      <c r="M637" s="3"/>
      <c r="N637" s="3"/>
      <c r="O637" s="3"/>
      <c r="P637" s="125"/>
      <c r="Q637" s="125"/>
      <c r="R637" s="127"/>
      <c r="S637" s="123"/>
      <c r="T637" s="3"/>
      <c r="W637" s="86"/>
      <c r="Y637" s="75"/>
    </row>
    <row r="638" spans="1:25" x14ac:dyDescent="0.25">
      <c r="A638" s="75"/>
      <c r="C638" s="81"/>
      <c r="D638" s="81"/>
      <c r="I638" s="81"/>
      <c r="K638" s="82"/>
      <c r="L638" s="123"/>
      <c r="M638" s="3"/>
      <c r="N638" s="3"/>
      <c r="O638" s="3"/>
      <c r="P638" s="125"/>
      <c r="Q638" s="125"/>
      <c r="R638" s="127"/>
      <c r="S638" s="123"/>
      <c r="T638" s="3"/>
      <c r="W638" s="86"/>
      <c r="Y638" s="75"/>
    </row>
    <row r="639" spans="1:25" x14ac:dyDescent="0.25">
      <c r="A639" s="75"/>
      <c r="C639" s="81"/>
      <c r="D639" s="81"/>
      <c r="I639" s="81"/>
      <c r="K639" s="82"/>
      <c r="L639" s="123"/>
      <c r="M639" s="3"/>
      <c r="N639" s="3"/>
      <c r="O639" s="3"/>
      <c r="P639" s="125"/>
      <c r="Q639" s="125"/>
      <c r="R639" s="127"/>
      <c r="S639" s="123"/>
      <c r="T639" s="3"/>
      <c r="W639" s="86"/>
      <c r="Y639" s="75"/>
    </row>
    <row r="640" spans="1:25" x14ac:dyDescent="0.25">
      <c r="A640" s="75"/>
      <c r="C640" s="81"/>
      <c r="D640" s="81"/>
      <c r="I640" s="81"/>
      <c r="K640" s="82"/>
      <c r="L640" s="123"/>
      <c r="M640" s="3"/>
      <c r="N640" s="3"/>
      <c r="O640" s="3"/>
      <c r="P640" s="125"/>
      <c r="Q640" s="125"/>
      <c r="R640" s="127"/>
      <c r="S640" s="123"/>
      <c r="T640" s="3"/>
      <c r="W640" s="86"/>
      <c r="Y640" s="75"/>
    </row>
    <row r="641" spans="1:25" x14ac:dyDescent="0.25">
      <c r="A641" s="75"/>
      <c r="C641" s="81"/>
      <c r="D641" s="81"/>
      <c r="I641" s="81"/>
      <c r="K641" s="82"/>
      <c r="L641" s="123"/>
      <c r="M641" s="3"/>
      <c r="N641" s="3"/>
      <c r="O641" s="3"/>
      <c r="P641" s="125"/>
      <c r="Q641" s="125"/>
      <c r="R641" s="127"/>
      <c r="S641" s="123"/>
      <c r="T641" s="3"/>
      <c r="W641" s="86"/>
      <c r="Y641" s="75"/>
    </row>
    <row r="642" spans="1:25" x14ac:dyDescent="0.25">
      <c r="A642" s="75"/>
      <c r="C642" s="81"/>
      <c r="D642" s="81"/>
      <c r="I642" s="81"/>
      <c r="K642" s="82"/>
      <c r="L642" s="123"/>
      <c r="M642" s="3"/>
      <c r="N642" s="3"/>
      <c r="O642" s="3"/>
      <c r="P642" s="125"/>
      <c r="Q642" s="125"/>
      <c r="R642" s="127"/>
      <c r="S642" s="123"/>
      <c r="T642" s="3"/>
      <c r="W642" s="86"/>
      <c r="Y642" s="75"/>
    </row>
    <row r="643" spans="1:25" x14ac:dyDescent="0.25">
      <c r="A643" s="75"/>
      <c r="C643" s="81"/>
      <c r="D643" s="81"/>
      <c r="I643" s="81"/>
      <c r="K643" s="82"/>
      <c r="L643" s="123"/>
      <c r="M643" s="3"/>
      <c r="N643" s="3"/>
      <c r="O643" s="3"/>
      <c r="P643" s="125"/>
      <c r="Q643" s="125"/>
      <c r="R643" s="127"/>
      <c r="S643" s="123"/>
      <c r="T643" s="3"/>
      <c r="W643" s="86"/>
      <c r="Y643" s="75"/>
    </row>
    <row r="644" spans="1:25" x14ac:dyDescent="0.25">
      <c r="A644" s="75"/>
      <c r="C644" s="81"/>
      <c r="D644" s="81"/>
      <c r="I644" s="81"/>
      <c r="K644" s="82"/>
      <c r="L644" s="123"/>
      <c r="M644" s="3"/>
      <c r="N644" s="3"/>
      <c r="O644" s="3"/>
      <c r="P644" s="125"/>
      <c r="Q644" s="125"/>
      <c r="R644" s="127"/>
      <c r="S644" s="123"/>
      <c r="T644" s="3"/>
      <c r="W644" s="86"/>
      <c r="Y644" s="75"/>
    </row>
    <row r="645" spans="1:25" x14ac:dyDescent="0.25">
      <c r="A645" s="75"/>
      <c r="C645" s="81"/>
      <c r="D645" s="81"/>
      <c r="I645" s="81"/>
      <c r="K645" s="82"/>
      <c r="L645" s="123"/>
      <c r="M645" s="3"/>
      <c r="N645" s="3"/>
      <c r="O645" s="3"/>
      <c r="P645" s="125"/>
      <c r="Q645" s="125"/>
      <c r="R645" s="127"/>
      <c r="S645" s="123"/>
      <c r="T645" s="3"/>
      <c r="W645" s="86"/>
      <c r="Y645" s="75"/>
    </row>
    <row r="646" spans="1:25" x14ac:dyDescent="0.25">
      <c r="A646" s="75"/>
      <c r="C646" s="81"/>
      <c r="D646" s="81"/>
      <c r="I646" s="81"/>
      <c r="K646" s="82"/>
      <c r="L646" s="123"/>
      <c r="M646" s="3"/>
      <c r="N646" s="3"/>
      <c r="O646" s="3"/>
      <c r="P646" s="125"/>
      <c r="Q646" s="125"/>
      <c r="R646" s="127"/>
      <c r="S646" s="123"/>
      <c r="T646" s="3"/>
      <c r="W646" s="86"/>
      <c r="Y646" s="75"/>
    </row>
    <row r="647" spans="1:25" x14ac:dyDescent="0.25">
      <c r="A647" s="75"/>
      <c r="C647" s="81"/>
      <c r="D647" s="81"/>
      <c r="I647" s="81"/>
      <c r="K647" s="82"/>
      <c r="L647" s="123"/>
      <c r="M647" s="3"/>
      <c r="N647" s="3"/>
      <c r="O647" s="3"/>
      <c r="P647" s="125"/>
      <c r="Q647" s="125"/>
      <c r="R647" s="127"/>
      <c r="S647" s="123"/>
      <c r="T647" s="3"/>
      <c r="W647" s="86"/>
      <c r="Y647" s="75"/>
    </row>
    <row r="648" spans="1:25" x14ac:dyDescent="0.25">
      <c r="A648" s="75"/>
      <c r="C648" s="81"/>
      <c r="D648" s="81"/>
      <c r="I648" s="81"/>
      <c r="K648" s="82"/>
      <c r="L648" s="123"/>
      <c r="M648" s="3"/>
      <c r="N648" s="3"/>
      <c r="O648" s="3"/>
      <c r="P648" s="125"/>
      <c r="Q648" s="125"/>
      <c r="R648" s="127"/>
      <c r="S648" s="123"/>
      <c r="T648" s="3"/>
      <c r="W648" s="86"/>
      <c r="Y648" s="75"/>
    </row>
    <row r="649" spans="1:25" x14ac:dyDescent="0.25">
      <c r="A649" s="75"/>
      <c r="C649" s="81"/>
      <c r="D649" s="81"/>
      <c r="I649" s="81"/>
      <c r="K649" s="82"/>
      <c r="L649" s="123"/>
      <c r="M649" s="3"/>
      <c r="N649" s="3"/>
      <c r="O649" s="3"/>
      <c r="P649" s="125"/>
      <c r="Q649" s="125"/>
      <c r="R649" s="127"/>
      <c r="S649" s="123"/>
      <c r="T649" s="3"/>
      <c r="W649" s="86"/>
      <c r="Y649" s="75"/>
    </row>
    <row r="650" spans="1:25" x14ac:dyDescent="0.25">
      <c r="A650" s="75"/>
      <c r="C650" s="81"/>
      <c r="D650" s="81"/>
      <c r="I650" s="81"/>
      <c r="K650" s="82"/>
      <c r="L650" s="123"/>
      <c r="M650" s="3"/>
      <c r="N650" s="3"/>
      <c r="O650" s="3"/>
      <c r="P650" s="125"/>
      <c r="Q650" s="125"/>
      <c r="R650" s="127"/>
      <c r="S650" s="123"/>
      <c r="T650" s="3"/>
      <c r="W650" s="86"/>
      <c r="Y650" s="75"/>
    </row>
    <row r="651" spans="1:25" x14ac:dyDescent="0.25">
      <c r="A651" s="75"/>
      <c r="C651" s="81"/>
      <c r="D651" s="81"/>
      <c r="I651" s="81"/>
      <c r="K651" s="82"/>
      <c r="L651" s="123"/>
      <c r="M651" s="3"/>
      <c r="N651" s="3"/>
      <c r="O651" s="3"/>
      <c r="P651" s="125"/>
      <c r="Q651" s="125"/>
      <c r="R651" s="127"/>
      <c r="S651" s="123"/>
      <c r="T651" s="3"/>
      <c r="W651" s="86"/>
      <c r="Y651" s="75"/>
    </row>
    <row r="652" spans="1:25" x14ac:dyDescent="0.25">
      <c r="A652" s="75"/>
      <c r="C652" s="81"/>
      <c r="D652" s="81"/>
      <c r="I652" s="81"/>
      <c r="K652" s="82"/>
      <c r="L652" s="123"/>
      <c r="M652" s="3"/>
      <c r="N652" s="3"/>
      <c r="O652" s="3"/>
      <c r="P652" s="125"/>
      <c r="Q652" s="125"/>
      <c r="R652" s="127"/>
      <c r="S652" s="123"/>
      <c r="T652" s="3"/>
      <c r="W652" s="86"/>
      <c r="Y652" s="75"/>
    </row>
    <row r="653" spans="1:25" x14ac:dyDescent="0.25">
      <c r="A653" s="75"/>
      <c r="C653" s="81"/>
      <c r="D653" s="81"/>
      <c r="I653" s="81"/>
      <c r="K653" s="82"/>
      <c r="L653" s="123"/>
      <c r="M653" s="3"/>
      <c r="N653" s="3"/>
      <c r="O653" s="3"/>
      <c r="P653" s="125"/>
      <c r="Q653" s="125"/>
      <c r="R653" s="127"/>
      <c r="S653" s="123"/>
      <c r="T653" s="3"/>
      <c r="W653" s="86"/>
      <c r="Y653" s="75"/>
    </row>
    <row r="654" spans="1:25" x14ac:dyDescent="0.25">
      <c r="A654" s="75"/>
      <c r="C654" s="81"/>
      <c r="D654" s="81"/>
      <c r="I654" s="81"/>
      <c r="K654" s="82"/>
      <c r="L654" s="123"/>
      <c r="M654" s="3"/>
      <c r="N654" s="3"/>
      <c r="O654" s="3"/>
      <c r="P654" s="125"/>
      <c r="Q654" s="125"/>
      <c r="R654" s="127"/>
      <c r="S654" s="123"/>
      <c r="T654" s="3"/>
      <c r="W654" s="86"/>
      <c r="Y654" s="75"/>
    </row>
    <row r="655" spans="1:25" x14ac:dyDescent="0.25">
      <c r="A655" s="75"/>
      <c r="C655" s="81"/>
      <c r="D655" s="81"/>
      <c r="I655" s="81"/>
      <c r="K655" s="82"/>
      <c r="L655" s="123"/>
      <c r="M655" s="3"/>
      <c r="N655" s="3"/>
      <c r="O655" s="3"/>
      <c r="P655" s="125"/>
      <c r="Q655" s="125"/>
      <c r="R655" s="127"/>
      <c r="S655" s="123"/>
      <c r="T655" s="3"/>
      <c r="W655" s="86"/>
      <c r="Y655" s="75"/>
    </row>
    <row r="656" spans="1:25" x14ac:dyDescent="0.25">
      <c r="A656" s="75"/>
      <c r="C656" s="81"/>
      <c r="D656" s="81"/>
      <c r="I656" s="81"/>
      <c r="K656" s="82"/>
      <c r="L656" s="123"/>
      <c r="M656" s="3"/>
      <c r="N656" s="3"/>
      <c r="O656" s="3"/>
      <c r="P656" s="125"/>
      <c r="Q656" s="125"/>
      <c r="R656" s="127"/>
      <c r="S656" s="123"/>
      <c r="T656" s="3"/>
      <c r="W656" s="86"/>
      <c r="Y656" s="75"/>
    </row>
    <row r="657" spans="1:25" x14ac:dyDescent="0.25">
      <c r="A657" s="75"/>
      <c r="C657" s="81"/>
      <c r="D657" s="81"/>
      <c r="I657" s="81"/>
      <c r="K657" s="82"/>
      <c r="L657" s="123"/>
      <c r="M657" s="3"/>
      <c r="N657" s="3"/>
      <c r="O657" s="3"/>
      <c r="P657" s="125"/>
      <c r="Q657" s="125"/>
      <c r="R657" s="127"/>
      <c r="S657" s="123"/>
      <c r="T657" s="3"/>
      <c r="W657" s="86"/>
      <c r="Y657" s="75"/>
    </row>
    <row r="658" spans="1:25" x14ac:dyDescent="0.25">
      <c r="A658" s="75"/>
      <c r="C658" s="81"/>
      <c r="D658" s="81"/>
      <c r="I658" s="81"/>
      <c r="K658" s="82"/>
      <c r="L658" s="123"/>
      <c r="M658" s="3"/>
      <c r="N658" s="3"/>
      <c r="O658" s="3"/>
      <c r="P658" s="125"/>
      <c r="Q658" s="125"/>
      <c r="R658" s="127"/>
      <c r="S658" s="123"/>
      <c r="T658" s="3"/>
      <c r="W658" s="86"/>
      <c r="Y658" s="75"/>
    </row>
    <row r="659" spans="1:25" x14ac:dyDescent="0.25">
      <c r="A659" s="75"/>
      <c r="C659" s="81"/>
      <c r="D659" s="81"/>
      <c r="I659" s="81"/>
      <c r="K659" s="82"/>
      <c r="L659" s="123"/>
      <c r="M659" s="3"/>
      <c r="N659" s="3"/>
      <c r="O659" s="3"/>
      <c r="P659" s="125"/>
      <c r="Q659" s="125"/>
      <c r="R659" s="127"/>
      <c r="S659" s="123"/>
      <c r="T659" s="3"/>
      <c r="W659" s="86"/>
      <c r="Y659" s="75"/>
    </row>
    <row r="660" spans="1:25" x14ac:dyDescent="0.25">
      <c r="A660" s="75"/>
      <c r="C660" s="81"/>
      <c r="D660" s="81"/>
      <c r="I660" s="81"/>
      <c r="K660" s="82"/>
      <c r="L660" s="123"/>
      <c r="M660" s="3"/>
      <c r="N660" s="3"/>
      <c r="O660" s="3"/>
      <c r="P660" s="125"/>
      <c r="Q660" s="125"/>
      <c r="R660" s="127"/>
      <c r="S660" s="123"/>
      <c r="T660" s="3"/>
      <c r="W660" s="86"/>
      <c r="Y660" s="75"/>
    </row>
    <row r="661" spans="1:25" x14ac:dyDescent="0.25">
      <c r="A661" s="75"/>
      <c r="C661" s="81"/>
      <c r="D661" s="81"/>
      <c r="I661" s="81"/>
      <c r="K661" s="82"/>
      <c r="L661" s="123"/>
      <c r="M661" s="3"/>
      <c r="N661" s="3"/>
      <c r="O661" s="3"/>
      <c r="P661" s="125"/>
      <c r="Q661" s="125"/>
      <c r="R661" s="127"/>
      <c r="S661" s="123"/>
      <c r="T661" s="3"/>
      <c r="W661" s="86"/>
      <c r="Y661" s="75"/>
    </row>
    <row r="662" spans="1:25" x14ac:dyDescent="0.25">
      <c r="A662" s="75"/>
      <c r="C662" s="81"/>
      <c r="D662" s="81"/>
      <c r="I662" s="81"/>
      <c r="K662" s="82"/>
      <c r="L662" s="123"/>
      <c r="M662" s="3"/>
      <c r="N662" s="3"/>
      <c r="O662" s="3"/>
      <c r="P662" s="125"/>
      <c r="Q662" s="125"/>
      <c r="R662" s="127"/>
      <c r="S662" s="123"/>
      <c r="T662" s="3"/>
      <c r="W662" s="86"/>
      <c r="Y662" s="75"/>
    </row>
    <row r="663" spans="1:25" x14ac:dyDescent="0.25">
      <c r="A663" s="75"/>
      <c r="C663" s="81"/>
      <c r="D663" s="81"/>
      <c r="I663" s="81"/>
      <c r="K663" s="82"/>
      <c r="L663" s="123"/>
      <c r="M663" s="3"/>
      <c r="N663" s="3"/>
      <c r="O663" s="3"/>
      <c r="P663" s="125"/>
      <c r="Q663" s="125"/>
      <c r="R663" s="127"/>
      <c r="S663" s="123"/>
      <c r="T663" s="3"/>
      <c r="W663" s="86"/>
      <c r="Y663" s="75"/>
    </row>
    <row r="664" spans="1:25" x14ac:dyDescent="0.25">
      <c r="A664" s="75"/>
      <c r="C664" s="81"/>
      <c r="D664" s="81"/>
      <c r="I664" s="81"/>
      <c r="K664" s="82"/>
      <c r="L664" s="123"/>
      <c r="M664" s="3"/>
      <c r="N664" s="3"/>
      <c r="O664" s="3"/>
      <c r="P664" s="125"/>
      <c r="Q664" s="125"/>
      <c r="R664" s="127"/>
      <c r="S664" s="123"/>
      <c r="T664" s="3"/>
      <c r="W664" s="86"/>
      <c r="Y664" s="75"/>
    </row>
    <row r="665" spans="1:25" x14ac:dyDescent="0.25">
      <c r="A665" s="75"/>
      <c r="C665" s="81"/>
      <c r="D665" s="81"/>
      <c r="I665" s="81"/>
      <c r="K665" s="82"/>
      <c r="L665" s="123"/>
      <c r="M665" s="3"/>
      <c r="N665" s="3"/>
      <c r="O665" s="3"/>
      <c r="P665" s="125"/>
      <c r="Q665" s="125"/>
      <c r="R665" s="127"/>
      <c r="S665" s="123"/>
      <c r="T665" s="3"/>
      <c r="W665" s="86"/>
      <c r="Y665" s="75"/>
    </row>
    <row r="666" spans="1:25" x14ac:dyDescent="0.25">
      <c r="A666" s="75"/>
      <c r="C666" s="81"/>
      <c r="D666" s="81"/>
      <c r="I666" s="81"/>
      <c r="K666" s="82"/>
      <c r="L666" s="123"/>
      <c r="M666" s="3"/>
      <c r="N666" s="3"/>
      <c r="O666" s="3"/>
      <c r="P666" s="125"/>
      <c r="Q666" s="125"/>
      <c r="R666" s="127"/>
      <c r="S666" s="123"/>
      <c r="T666" s="3"/>
      <c r="W666" s="86"/>
      <c r="Y666" s="75"/>
    </row>
    <row r="667" spans="1:25" x14ac:dyDescent="0.25">
      <c r="A667" s="75"/>
      <c r="C667" s="81"/>
      <c r="D667" s="81"/>
      <c r="I667" s="81"/>
      <c r="K667" s="82"/>
      <c r="L667" s="123"/>
      <c r="M667" s="3"/>
      <c r="N667" s="3"/>
      <c r="O667" s="3"/>
      <c r="P667" s="125"/>
      <c r="Q667" s="125"/>
      <c r="R667" s="127"/>
      <c r="S667" s="123"/>
      <c r="T667" s="3"/>
      <c r="W667" s="86"/>
      <c r="Y667" s="75"/>
    </row>
    <row r="668" spans="1:25" x14ac:dyDescent="0.25">
      <c r="A668" s="75"/>
      <c r="C668" s="81"/>
      <c r="D668" s="81"/>
      <c r="I668" s="81"/>
      <c r="K668" s="82"/>
      <c r="L668" s="123"/>
      <c r="M668" s="3"/>
      <c r="N668" s="3"/>
      <c r="O668" s="3"/>
      <c r="P668" s="125"/>
      <c r="Q668" s="125"/>
      <c r="R668" s="127"/>
      <c r="S668" s="123"/>
      <c r="T668" s="3"/>
      <c r="W668" s="86"/>
      <c r="Y668" s="75"/>
    </row>
    <row r="669" spans="1:25" x14ac:dyDescent="0.25">
      <c r="A669" s="75"/>
      <c r="C669" s="81"/>
      <c r="D669" s="81"/>
      <c r="I669" s="81"/>
      <c r="K669" s="82"/>
      <c r="L669" s="123"/>
      <c r="M669" s="3"/>
      <c r="N669" s="3"/>
      <c r="O669" s="3"/>
      <c r="P669" s="125"/>
      <c r="Q669" s="125"/>
      <c r="R669" s="127"/>
      <c r="S669" s="123"/>
      <c r="T669" s="3"/>
      <c r="W669" s="86"/>
      <c r="Y669" s="75"/>
    </row>
    <row r="670" spans="1:25" x14ac:dyDescent="0.25">
      <c r="A670" s="75"/>
      <c r="C670" s="81"/>
      <c r="D670" s="81"/>
      <c r="I670" s="81"/>
      <c r="K670" s="82"/>
      <c r="L670" s="123"/>
      <c r="M670" s="3"/>
      <c r="N670" s="3"/>
      <c r="O670" s="3"/>
      <c r="P670" s="125"/>
      <c r="Q670" s="125"/>
      <c r="R670" s="127"/>
      <c r="S670" s="123"/>
      <c r="T670" s="3"/>
      <c r="W670" s="86"/>
      <c r="Y670" s="75"/>
    </row>
    <row r="671" spans="1:25" x14ac:dyDescent="0.25">
      <c r="A671" s="75"/>
      <c r="C671" s="81"/>
      <c r="D671" s="81"/>
      <c r="I671" s="81"/>
      <c r="K671" s="82"/>
      <c r="L671" s="123"/>
      <c r="M671" s="3"/>
      <c r="N671" s="3"/>
      <c r="O671" s="3"/>
      <c r="P671" s="125"/>
      <c r="Q671" s="125"/>
      <c r="R671" s="127"/>
      <c r="S671" s="123"/>
      <c r="T671" s="3"/>
      <c r="W671" s="86"/>
      <c r="Y671" s="75"/>
    </row>
    <row r="672" spans="1:25" x14ac:dyDescent="0.25">
      <c r="A672" s="75"/>
      <c r="C672" s="81"/>
      <c r="D672" s="81"/>
      <c r="I672" s="81"/>
      <c r="K672" s="82"/>
      <c r="L672" s="123"/>
      <c r="M672" s="3"/>
      <c r="N672" s="3"/>
      <c r="O672" s="3"/>
      <c r="P672" s="125"/>
      <c r="Q672" s="125"/>
      <c r="R672" s="127"/>
      <c r="S672" s="123"/>
      <c r="T672" s="3"/>
      <c r="W672" s="86"/>
      <c r="Y672" s="75"/>
    </row>
    <row r="673" spans="1:25" x14ac:dyDescent="0.25">
      <c r="A673" s="75"/>
      <c r="C673" s="81"/>
      <c r="D673" s="81"/>
      <c r="I673" s="81"/>
      <c r="K673" s="82"/>
      <c r="L673" s="123"/>
      <c r="M673" s="3"/>
      <c r="N673" s="3"/>
      <c r="O673" s="3"/>
      <c r="P673" s="125"/>
      <c r="Q673" s="125"/>
      <c r="R673" s="127"/>
      <c r="S673" s="123"/>
      <c r="T673" s="3"/>
      <c r="W673" s="86"/>
      <c r="Y673" s="75"/>
    </row>
    <row r="674" spans="1:25" x14ac:dyDescent="0.25">
      <c r="A674" s="75"/>
      <c r="C674" s="81"/>
      <c r="D674" s="81"/>
      <c r="I674" s="81"/>
      <c r="K674" s="82"/>
      <c r="L674" s="123"/>
      <c r="M674" s="3"/>
      <c r="N674" s="3"/>
      <c r="O674" s="3"/>
      <c r="P674" s="125"/>
      <c r="Q674" s="125"/>
      <c r="R674" s="127"/>
      <c r="S674" s="123"/>
      <c r="T674" s="3"/>
      <c r="W674" s="86"/>
      <c r="Y674" s="75"/>
    </row>
    <row r="675" spans="1:25" x14ac:dyDescent="0.25">
      <c r="A675" s="75"/>
      <c r="C675" s="81"/>
      <c r="D675" s="81"/>
      <c r="I675" s="81"/>
      <c r="K675" s="82"/>
      <c r="L675" s="123"/>
      <c r="M675" s="3"/>
      <c r="N675" s="3"/>
      <c r="O675" s="3"/>
      <c r="P675" s="125"/>
      <c r="Q675" s="125"/>
      <c r="R675" s="127"/>
      <c r="S675" s="123"/>
      <c r="T675" s="3"/>
      <c r="W675" s="86"/>
      <c r="Y675" s="75"/>
    </row>
    <row r="676" spans="1:25" x14ac:dyDescent="0.25">
      <c r="A676" s="75"/>
      <c r="C676" s="81"/>
      <c r="D676" s="81"/>
      <c r="I676" s="81"/>
      <c r="K676" s="82"/>
      <c r="L676" s="123"/>
      <c r="M676" s="3"/>
      <c r="N676" s="3"/>
      <c r="O676" s="3"/>
      <c r="P676" s="125"/>
      <c r="Q676" s="125"/>
      <c r="R676" s="127"/>
      <c r="S676" s="123"/>
      <c r="T676" s="3"/>
      <c r="W676" s="86"/>
      <c r="Y676" s="75"/>
    </row>
    <row r="677" spans="1:25" x14ac:dyDescent="0.25">
      <c r="A677" s="75"/>
      <c r="C677" s="81"/>
      <c r="D677" s="81"/>
      <c r="I677" s="81"/>
      <c r="K677" s="82"/>
      <c r="L677" s="123"/>
      <c r="M677" s="3"/>
      <c r="N677" s="3"/>
      <c r="O677" s="3"/>
      <c r="P677" s="125"/>
      <c r="Q677" s="125"/>
      <c r="R677" s="127"/>
      <c r="S677" s="123"/>
      <c r="T677" s="3"/>
      <c r="W677" s="86"/>
      <c r="Y677" s="75"/>
    </row>
    <row r="678" spans="1:25" x14ac:dyDescent="0.25">
      <c r="A678" s="75"/>
      <c r="C678" s="81"/>
      <c r="D678" s="81"/>
      <c r="I678" s="81"/>
      <c r="K678" s="82"/>
      <c r="L678" s="123"/>
      <c r="M678" s="3"/>
      <c r="N678" s="3"/>
      <c r="O678" s="3"/>
      <c r="P678" s="125"/>
      <c r="Q678" s="125"/>
      <c r="R678" s="127"/>
      <c r="S678" s="123"/>
      <c r="T678" s="3"/>
      <c r="W678" s="86"/>
      <c r="Y678" s="75"/>
    </row>
    <row r="679" spans="1:25" x14ac:dyDescent="0.25">
      <c r="A679" s="75"/>
      <c r="C679" s="81"/>
      <c r="D679" s="81"/>
      <c r="I679" s="81"/>
      <c r="K679" s="82"/>
      <c r="L679" s="123"/>
      <c r="M679" s="3"/>
      <c r="N679" s="3"/>
      <c r="O679" s="3"/>
      <c r="P679" s="125"/>
      <c r="Q679" s="125"/>
      <c r="R679" s="127"/>
      <c r="S679" s="123"/>
      <c r="T679" s="3"/>
      <c r="W679" s="86"/>
      <c r="Y679" s="75"/>
    </row>
    <row r="680" spans="1:25" x14ac:dyDescent="0.25">
      <c r="A680" s="75"/>
      <c r="C680" s="81"/>
      <c r="D680" s="81"/>
      <c r="I680" s="81"/>
      <c r="K680" s="82"/>
      <c r="L680" s="123"/>
      <c r="M680" s="3"/>
      <c r="N680" s="3"/>
      <c r="O680" s="3"/>
      <c r="P680" s="125"/>
      <c r="Q680" s="125"/>
      <c r="R680" s="127"/>
      <c r="S680" s="123"/>
      <c r="T680" s="3"/>
      <c r="W680" s="86"/>
      <c r="Y680" s="75"/>
    </row>
    <row r="681" spans="1:25" x14ac:dyDescent="0.25">
      <c r="A681" s="75"/>
      <c r="C681" s="81"/>
      <c r="D681" s="81"/>
      <c r="I681" s="81"/>
      <c r="K681" s="82"/>
      <c r="L681" s="123"/>
      <c r="M681" s="3"/>
      <c r="N681" s="3"/>
      <c r="O681" s="3"/>
      <c r="P681" s="125"/>
      <c r="Q681" s="125"/>
      <c r="R681" s="127"/>
      <c r="S681" s="123"/>
      <c r="T681" s="3"/>
      <c r="W681" s="86"/>
      <c r="Y681" s="75"/>
    </row>
    <row r="682" spans="1:25" x14ac:dyDescent="0.25">
      <c r="A682" s="75"/>
      <c r="C682" s="81"/>
      <c r="D682" s="81"/>
      <c r="I682" s="81"/>
      <c r="K682" s="82"/>
      <c r="L682" s="123"/>
      <c r="M682" s="3"/>
      <c r="N682" s="3"/>
      <c r="O682" s="3"/>
      <c r="P682" s="125"/>
      <c r="Q682" s="125"/>
      <c r="R682" s="127"/>
      <c r="S682" s="123"/>
      <c r="T682" s="3"/>
      <c r="W682" s="86"/>
      <c r="Y682" s="75"/>
    </row>
    <row r="683" spans="1:25" x14ac:dyDescent="0.25">
      <c r="A683" s="75"/>
      <c r="C683" s="81"/>
      <c r="D683" s="81"/>
      <c r="I683" s="81"/>
      <c r="K683" s="82"/>
      <c r="L683" s="123"/>
      <c r="M683" s="3"/>
      <c r="N683" s="3"/>
      <c r="O683" s="3"/>
      <c r="P683" s="125"/>
      <c r="Q683" s="125"/>
      <c r="R683" s="127"/>
      <c r="S683" s="123"/>
      <c r="T683" s="3"/>
      <c r="W683" s="86"/>
      <c r="Y683" s="75"/>
    </row>
    <row r="684" spans="1:25" x14ac:dyDescent="0.25">
      <c r="A684" s="75"/>
      <c r="C684" s="81"/>
      <c r="D684" s="81"/>
      <c r="I684" s="81"/>
      <c r="K684" s="82"/>
      <c r="L684" s="123"/>
      <c r="M684" s="3"/>
      <c r="N684" s="3"/>
      <c r="O684" s="3"/>
      <c r="P684" s="125"/>
      <c r="Q684" s="125"/>
      <c r="R684" s="127"/>
      <c r="S684" s="123"/>
      <c r="T684" s="3"/>
      <c r="W684" s="86"/>
      <c r="Y684" s="75"/>
    </row>
    <row r="685" spans="1:25" x14ac:dyDescent="0.25">
      <c r="A685" s="75"/>
      <c r="C685" s="81"/>
      <c r="D685" s="81"/>
      <c r="I685" s="81"/>
      <c r="K685" s="82"/>
      <c r="L685" s="123"/>
      <c r="M685" s="3"/>
      <c r="N685" s="3"/>
      <c r="O685" s="3"/>
      <c r="P685" s="125"/>
      <c r="Q685" s="125"/>
      <c r="R685" s="127"/>
      <c r="S685" s="123"/>
      <c r="T685" s="3"/>
      <c r="W685" s="86"/>
      <c r="Y685" s="75"/>
    </row>
    <row r="686" spans="1:25" x14ac:dyDescent="0.25">
      <c r="A686" s="75"/>
      <c r="C686" s="81"/>
      <c r="D686" s="81"/>
      <c r="I686" s="81"/>
      <c r="K686" s="82"/>
      <c r="L686" s="123"/>
      <c r="M686" s="3"/>
      <c r="N686" s="3"/>
      <c r="O686" s="3"/>
      <c r="P686" s="125"/>
      <c r="Q686" s="125"/>
      <c r="R686" s="127"/>
      <c r="S686" s="123"/>
      <c r="T686" s="3"/>
      <c r="W686" s="86"/>
      <c r="Y686" s="75"/>
    </row>
    <row r="687" spans="1:25" x14ac:dyDescent="0.25">
      <c r="A687" s="75"/>
      <c r="C687" s="81"/>
      <c r="D687" s="81"/>
      <c r="I687" s="81"/>
      <c r="K687" s="82"/>
      <c r="L687" s="123"/>
      <c r="M687" s="3"/>
      <c r="N687" s="3"/>
      <c r="O687" s="3"/>
      <c r="P687" s="125"/>
      <c r="Q687" s="125"/>
      <c r="R687" s="127"/>
      <c r="S687" s="123"/>
      <c r="T687" s="3"/>
      <c r="W687" s="86"/>
      <c r="Y687" s="75"/>
    </row>
    <row r="688" spans="1:25" x14ac:dyDescent="0.25">
      <c r="A688" s="75"/>
      <c r="C688" s="81"/>
      <c r="D688" s="81"/>
      <c r="I688" s="81"/>
      <c r="K688" s="82"/>
      <c r="L688" s="123"/>
      <c r="M688" s="3"/>
      <c r="N688" s="3"/>
      <c r="O688" s="3"/>
      <c r="P688" s="125"/>
      <c r="Q688" s="125"/>
      <c r="R688" s="127"/>
      <c r="S688" s="123"/>
      <c r="T688" s="3"/>
      <c r="W688" s="86"/>
      <c r="Y688" s="75"/>
    </row>
    <row r="689" spans="1:25" x14ac:dyDescent="0.25">
      <c r="A689" s="75"/>
      <c r="C689" s="81"/>
      <c r="D689" s="81"/>
      <c r="I689" s="81"/>
      <c r="K689" s="82"/>
      <c r="L689" s="123"/>
      <c r="M689" s="3"/>
      <c r="N689" s="3"/>
      <c r="O689" s="3"/>
      <c r="P689" s="125"/>
      <c r="Q689" s="125"/>
      <c r="R689" s="127"/>
      <c r="S689" s="123"/>
      <c r="T689" s="3"/>
      <c r="W689" s="86"/>
      <c r="Y689" s="75"/>
    </row>
    <row r="690" spans="1:25" x14ac:dyDescent="0.25">
      <c r="A690" s="75"/>
      <c r="C690" s="81"/>
      <c r="D690" s="81"/>
      <c r="I690" s="81"/>
      <c r="K690" s="82"/>
      <c r="L690" s="123"/>
      <c r="M690" s="3"/>
      <c r="N690" s="3"/>
      <c r="O690" s="3"/>
      <c r="P690" s="125"/>
      <c r="Q690" s="125"/>
      <c r="R690" s="127"/>
      <c r="S690" s="123"/>
      <c r="T690" s="3"/>
      <c r="W690" s="86"/>
      <c r="Y690" s="75"/>
    </row>
    <row r="691" spans="1:25" x14ac:dyDescent="0.25">
      <c r="A691" s="75"/>
      <c r="C691" s="81"/>
      <c r="D691" s="81"/>
      <c r="I691" s="81"/>
      <c r="K691" s="82"/>
      <c r="L691" s="123"/>
      <c r="M691" s="3"/>
      <c r="N691" s="3"/>
      <c r="O691" s="3"/>
      <c r="P691" s="125"/>
      <c r="Q691" s="125"/>
      <c r="R691" s="127"/>
      <c r="S691" s="123"/>
      <c r="T691" s="3"/>
      <c r="W691" s="86"/>
      <c r="Y691" s="75"/>
    </row>
    <row r="692" spans="1:25" x14ac:dyDescent="0.25">
      <c r="A692" s="75"/>
      <c r="C692" s="81"/>
      <c r="D692" s="81"/>
      <c r="I692" s="81"/>
      <c r="K692" s="82"/>
      <c r="L692" s="123"/>
      <c r="M692" s="3"/>
      <c r="N692" s="3"/>
      <c r="O692" s="3"/>
      <c r="P692" s="125"/>
      <c r="Q692" s="125"/>
      <c r="R692" s="127"/>
      <c r="S692" s="123"/>
      <c r="T692" s="3"/>
      <c r="W692" s="86"/>
      <c r="Y692" s="75"/>
    </row>
    <row r="693" spans="1:25" x14ac:dyDescent="0.25">
      <c r="A693" s="75"/>
      <c r="C693" s="81"/>
      <c r="D693" s="81"/>
      <c r="I693" s="81"/>
      <c r="K693" s="82"/>
      <c r="L693" s="123"/>
      <c r="M693" s="3"/>
      <c r="N693" s="3"/>
      <c r="O693" s="3"/>
      <c r="P693" s="125"/>
      <c r="Q693" s="125"/>
      <c r="R693" s="127"/>
      <c r="S693" s="123"/>
      <c r="T693" s="3"/>
      <c r="W693" s="86"/>
      <c r="Y693" s="75"/>
    </row>
    <row r="694" spans="1:25" x14ac:dyDescent="0.25">
      <c r="A694" s="75"/>
      <c r="C694" s="81"/>
      <c r="D694" s="81"/>
      <c r="I694" s="81"/>
      <c r="K694" s="82"/>
      <c r="L694" s="123"/>
      <c r="M694" s="3"/>
      <c r="N694" s="3"/>
      <c r="O694" s="3"/>
      <c r="P694" s="125"/>
      <c r="Q694" s="125"/>
      <c r="R694" s="127"/>
      <c r="S694" s="123"/>
      <c r="T694" s="3"/>
      <c r="W694" s="86"/>
      <c r="Y694" s="75"/>
    </row>
    <row r="695" spans="1:25" x14ac:dyDescent="0.25">
      <c r="A695" s="75"/>
      <c r="C695" s="81"/>
      <c r="D695" s="81"/>
      <c r="I695" s="81"/>
      <c r="K695" s="82"/>
      <c r="L695" s="123"/>
      <c r="M695" s="3"/>
      <c r="N695" s="3"/>
      <c r="O695" s="3"/>
      <c r="P695" s="125"/>
      <c r="Q695" s="125"/>
      <c r="R695" s="127"/>
      <c r="S695" s="123"/>
      <c r="T695" s="3"/>
      <c r="W695" s="86"/>
      <c r="Y695" s="75"/>
    </row>
    <row r="696" spans="1:25" x14ac:dyDescent="0.25">
      <c r="A696" s="75"/>
      <c r="C696" s="81"/>
      <c r="D696" s="81"/>
      <c r="I696" s="81"/>
      <c r="K696" s="82"/>
      <c r="L696" s="123"/>
      <c r="M696" s="3"/>
      <c r="N696" s="3"/>
      <c r="O696" s="3"/>
      <c r="P696" s="125"/>
      <c r="Q696" s="125"/>
      <c r="R696" s="127"/>
      <c r="S696" s="123"/>
      <c r="T696" s="3"/>
      <c r="W696" s="86"/>
      <c r="Y696" s="75"/>
    </row>
    <row r="697" spans="1:25" x14ac:dyDescent="0.25">
      <c r="A697" s="75"/>
      <c r="C697" s="81"/>
      <c r="D697" s="81"/>
      <c r="I697" s="81"/>
      <c r="K697" s="82"/>
      <c r="L697" s="123"/>
      <c r="M697" s="3"/>
      <c r="N697" s="3"/>
      <c r="O697" s="3"/>
      <c r="P697" s="125"/>
      <c r="Q697" s="125"/>
      <c r="R697" s="127"/>
      <c r="S697" s="123"/>
      <c r="T697" s="3"/>
      <c r="W697" s="86"/>
      <c r="Y697" s="75"/>
    </row>
    <row r="698" spans="1:25" x14ac:dyDescent="0.25">
      <c r="A698" s="75"/>
      <c r="C698" s="81"/>
      <c r="D698" s="81"/>
      <c r="I698" s="81"/>
      <c r="K698" s="82"/>
      <c r="L698" s="123"/>
      <c r="M698" s="3"/>
      <c r="N698" s="3"/>
      <c r="O698" s="3"/>
      <c r="P698" s="125"/>
      <c r="Q698" s="125"/>
      <c r="R698" s="127"/>
      <c r="S698" s="123"/>
      <c r="T698" s="3"/>
      <c r="W698" s="86"/>
      <c r="Y698" s="75"/>
    </row>
    <row r="699" spans="1:25" x14ac:dyDescent="0.25">
      <c r="A699" s="75"/>
      <c r="C699" s="81"/>
      <c r="D699" s="81"/>
      <c r="I699" s="81"/>
      <c r="K699" s="82"/>
      <c r="L699" s="123"/>
      <c r="M699" s="3"/>
      <c r="N699" s="3"/>
      <c r="O699" s="3"/>
      <c r="P699" s="125"/>
      <c r="Q699" s="125"/>
      <c r="R699" s="127"/>
      <c r="S699" s="123"/>
      <c r="T699" s="3"/>
      <c r="W699" s="86"/>
      <c r="Y699" s="75"/>
    </row>
    <row r="700" spans="1:25" x14ac:dyDescent="0.25">
      <c r="A700" s="75"/>
      <c r="C700" s="81"/>
      <c r="D700" s="81"/>
      <c r="I700" s="81"/>
      <c r="K700" s="82"/>
      <c r="L700" s="123"/>
      <c r="M700" s="3"/>
      <c r="N700" s="3"/>
      <c r="O700" s="3"/>
      <c r="P700" s="125"/>
      <c r="Q700" s="125"/>
      <c r="R700" s="127"/>
      <c r="S700" s="123"/>
      <c r="T700" s="3"/>
      <c r="W700" s="86"/>
      <c r="Y700" s="75"/>
    </row>
    <row r="701" spans="1:25" x14ac:dyDescent="0.25">
      <c r="A701" s="75"/>
      <c r="C701" s="81"/>
      <c r="D701" s="81"/>
      <c r="I701" s="81"/>
      <c r="K701" s="82"/>
      <c r="L701" s="123"/>
      <c r="M701" s="3"/>
      <c r="N701" s="3"/>
      <c r="O701" s="3"/>
      <c r="P701" s="125"/>
      <c r="Q701" s="125"/>
      <c r="R701" s="127"/>
      <c r="S701" s="123"/>
      <c r="T701" s="3"/>
      <c r="W701" s="86"/>
      <c r="Y701" s="75"/>
    </row>
    <row r="702" spans="1:25" x14ac:dyDescent="0.25">
      <c r="A702" s="75"/>
      <c r="C702" s="81"/>
      <c r="D702" s="81"/>
      <c r="I702" s="81"/>
      <c r="K702" s="82"/>
      <c r="L702" s="123"/>
      <c r="M702" s="3"/>
      <c r="N702" s="3"/>
      <c r="O702" s="3"/>
      <c r="P702" s="125"/>
      <c r="Q702" s="125"/>
      <c r="R702" s="127"/>
      <c r="S702" s="123"/>
      <c r="T702" s="3"/>
      <c r="W702" s="86"/>
      <c r="Y702" s="75"/>
    </row>
    <row r="703" spans="1:25" x14ac:dyDescent="0.25">
      <c r="A703" s="75"/>
      <c r="C703" s="81"/>
      <c r="D703" s="81"/>
      <c r="I703" s="81"/>
      <c r="K703" s="82"/>
      <c r="L703" s="123"/>
      <c r="M703" s="3"/>
      <c r="N703" s="3"/>
      <c r="O703" s="3"/>
      <c r="P703" s="125"/>
      <c r="Q703" s="125"/>
      <c r="R703" s="127"/>
      <c r="S703" s="123"/>
      <c r="T703" s="3"/>
      <c r="W703" s="86"/>
      <c r="Y703" s="75"/>
    </row>
    <row r="704" spans="1:25" x14ac:dyDescent="0.25">
      <c r="A704" s="75"/>
      <c r="C704" s="81"/>
      <c r="D704" s="81"/>
      <c r="I704" s="81"/>
      <c r="K704" s="82"/>
      <c r="L704" s="123"/>
      <c r="M704" s="3"/>
      <c r="N704" s="3"/>
      <c r="O704" s="3"/>
      <c r="P704" s="125"/>
      <c r="Q704" s="125"/>
      <c r="R704" s="127"/>
      <c r="S704" s="123"/>
      <c r="T704" s="3"/>
      <c r="W704" s="86"/>
      <c r="Y704" s="75"/>
    </row>
    <row r="705" spans="1:25" x14ac:dyDescent="0.25">
      <c r="A705" s="75"/>
      <c r="C705" s="81"/>
      <c r="D705" s="81"/>
      <c r="I705" s="81"/>
      <c r="K705" s="82"/>
      <c r="L705" s="123"/>
      <c r="M705" s="3"/>
      <c r="N705" s="3"/>
      <c r="O705" s="3"/>
      <c r="P705" s="125"/>
      <c r="Q705" s="125"/>
      <c r="R705" s="127"/>
      <c r="S705" s="123"/>
      <c r="T705" s="3"/>
      <c r="W705" s="86"/>
      <c r="Y705" s="75"/>
    </row>
    <row r="706" spans="1:25" x14ac:dyDescent="0.25">
      <c r="A706" s="75"/>
      <c r="C706" s="81"/>
      <c r="D706" s="81"/>
      <c r="I706" s="81"/>
      <c r="K706" s="82"/>
      <c r="L706" s="123"/>
      <c r="M706" s="3"/>
      <c r="N706" s="3"/>
      <c r="O706" s="3"/>
      <c r="P706" s="125"/>
      <c r="Q706" s="125"/>
      <c r="R706" s="127"/>
      <c r="S706" s="123"/>
      <c r="T706" s="3"/>
      <c r="W706" s="86"/>
      <c r="Y706" s="75"/>
    </row>
    <row r="707" spans="1:25" x14ac:dyDescent="0.25">
      <c r="A707" s="75"/>
      <c r="C707" s="81"/>
      <c r="D707" s="81"/>
      <c r="I707" s="81"/>
      <c r="K707" s="82"/>
      <c r="L707" s="123"/>
      <c r="M707" s="3"/>
      <c r="N707" s="3"/>
      <c r="O707" s="3"/>
      <c r="P707" s="125"/>
      <c r="Q707" s="125"/>
      <c r="R707" s="127"/>
      <c r="S707" s="123"/>
      <c r="T707" s="3"/>
      <c r="W707" s="86"/>
      <c r="Y707" s="75"/>
    </row>
    <row r="708" spans="1:25" x14ac:dyDescent="0.25">
      <c r="A708" s="75"/>
      <c r="C708" s="81"/>
      <c r="D708" s="81"/>
      <c r="I708" s="81"/>
      <c r="K708" s="82"/>
      <c r="L708" s="123"/>
      <c r="M708" s="3"/>
      <c r="N708" s="3"/>
      <c r="O708" s="3"/>
      <c r="P708" s="125"/>
      <c r="Q708" s="125"/>
      <c r="R708" s="127"/>
      <c r="S708" s="123"/>
      <c r="T708" s="3"/>
      <c r="W708" s="86"/>
      <c r="Y708" s="75"/>
    </row>
    <row r="709" spans="1:25" x14ac:dyDescent="0.25">
      <c r="A709" s="75"/>
      <c r="C709" s="81"/>
      <c r="D709" s="81"/>
      <c r="I709" s="81"/>
      <c r="K709" s="82"/>
      <c r="L709" s="123"/>
      <c r="M709" s="3"/>
      <c r="N709" s="3"/>
      <c r="O709" s="3"/>
      <c r="P709" s="125"/>
      <c r="Q709" s="125"/>
      <c r="R709" s="127"/>
      <c r="S709" s="123"/>
      <c r="T709" s="3"/>
      <c r="W709" s="86"/>
      <c r="Y709" s="75"/>
    </row>
    <row r="710" spans="1:25" x14ac:dyDescent="0.25">
      <c r="A710" s="75"/>
      <c r="C710" s="81"/>
      <c r="D710" s="81"/>
      <c r="I710" s="81"/>
      <c r="K710" s="82"/>
      <c r="L710" s="123"/>
      <c r="M710" s="3"/>
      <c r="N710" s="3"/>
      <c r="O710" s="3"/>
      <c r="P710" s="125"/>
      <c r="Q710" s="125"/>
      <c r="R710" s="127"/>
      <c r="S710" s="123"/>
      <c r="T710" s="3"/>
      <c r="W710" s="86"/>
      <c r="Y710" s="75"/>
    </row>
    <row r="711" spans="1:25" x14ac:dyDescent="0.25">
      <c r="A711" s="75"/>
      <c r="C711" s="81"/>
      <c r="D711" s="81"/>
      <c r="I711" s="81"/>
      <c r="K711" s="82"/>
      <c r="L711" s="123"/>
      <c r="M711" s="3"/>
      <c r="N711" s="3"/>
      <c r="O711" s="3"/>
      <c r="P711" s="125"/>
      <c r="Q711" s="125"/>
      <c r="R711" s="127"/>
      <c r="S711" s="123"/>
      <c r="T711" s="3"/>
      <c r="W711" s="86"/>
      <c r="Y711" s="75"/>
    </row>
    <row r="712" spans="1:25" x14ac:dyDescent="0.25">
      <c r="A712" s="75"/>
      <c r="C712" s="81"/>
      <c r="D712" s="81"/>
      <c r="I712" s="81"/>
      <c r="K712" s="82"/>
      <c r="L712" s="123"/>
      <c r="M712" s="3"/>
      <c r="N712" s="3"/>
      <c r="O712" s="3"/>
      <c r="P712" s="125"/>
      <c r="Q712" s="125"/>
      <c r="R712" s="127"/>
      <c r="S712" s="123"/>
      <c r="T712" s="3"/>
      <c r="W712" s="86"/>
      <c r="Y712" s="75"/>
    </row>
    <row r="713" spans="1:25" x14ac:dyDescent="0.25">
      <c r="A713" s="75"/>
      <c r="C713" s="81"/>
      <c r="D713" s="81"/>
      <c r="I713" s="81"/>
      <c r="K713" s="82"/>
      <c r="L713" s="123"/>
      <c r="M713" s="3"/>
      <c r="N713" s="3"/>
      <c r="O713" s="3"/>
      <c r="P713" s="125"/>
      <c r="Q713" s="125"/>
      <c r="R713" s="127"/>
      <c r="S713" s="123"/>
      <c r="T713" s="3"/>
      <c r="W713" s="86"/>
      <c r="Y713" s="75"/>
    </row>
    <row r="714" spans="1:25" x14ac:dyDescent="0.25">
      <c r="A714" s="75"/>
      <c r="C714" s="81"/>
      <c r="D714" s="81"/>
      <c r="I714" s="81"/>
      <c r="K714" s="82"/>
      <c r="L714" s="123"/>
      <c r="M714" s="3"/>
      <c r="N714" s="3"/>
      <c r="O714" s="3"/>
      <c r="P714" s="125"/>
      <c r="Q714" s="125"/>
      <c r="R714" s="127"/>
      <c r="S714" s="123"/>
      <c r="T714" s="3"/>
      <c r="W714" s="86"/>
      <c r="Y714" s="75"/>
    </row>
    <row r="715" spans="1:25" x14ac:dyDescent="0.25">
      <c r="A715" s="75"/>
      <c r="C715" s="81"/>
      <c r="D715" s="81"/>
      <c r="I715" s="81"/>
      <c r="K715" s="82"/>
      <c r="L715" s="123"/>
      <c r="M715" s="3"/>
      <c r="N715" s="3"/>
      <c r="O715" s="3"/>
      <c r="P715" s="125"/>
      <c r="Q715" s="125"/>
      <c r="R715" s="127"/>
      <c r="S715" s="123"/>
      <c r="T715" s="3"/>
      <c r="W715" s="86"/>
      <c r="Y715" s="75"/>
    </row>
    <row r="716" spans="1:25" x14ac:dyDescent="0.25">
      <c r="A716" s="75"/>
      <c r="C716" s="81"/>
      <c r="D716" s="81"/>
      <c r="I716" s="81"/>
      <c r="K716" s="82"/>
      <c r="L716" s="123"/>
      <c r="M716" s="3"/>
      <c r="N716" s="3"/>
      <c r="O716" s="3"/>
      <c r="P716" s="125"/>
      <c r="Q716" s="125"/>
      <c r="R716" s="127"/>
      <c r="S716" s="123"/>
      <c r="T716" s="3"/>
      <c r="W716" s="86"/>
      <c r="Y716" s="75"/>
    </row>
    <row r="717" spans="1:25" x14ac:dyDescent="0.25">
      <c r="A717" s="75"/>
      <c r="C717" s="81"/>
      <c r="D717" s="81"/>
      <c r="I717" s="81"/>
      <c r="K717" s="82"/>
      <c r="L717" s="123"/>
      <c r="M717" s="3"/>
      <c r="N717" s="3"/>
      <c r="O717" s="3"/>
      <c r="P717" s="125"/>
      <c r="Q717" s="125"/>
      <c r="R717" s="127"/>
      <c r="S717" s="123"/>
      <c r="T717" s="3"/>
      <c r="W717" s="86"/>
      <c r="Y717" s="75"/>
    </row>
    <row r="718" spans="1:25" x14ac:dyDescent="0.25">
      <c r="A718" s="75"/>
      <c r="C718" s="81"/>
      <c r="D718" s="81"/>
      <c r="I718" s="81"/>
      <c r="K718" s="82"/>
      <c r="L718" s="123"/>
      <c r="M718" s="3"/>
      <c r="N718" s="3"/>
      <c r="O718" s="3"/>
      <c r="P718" s="125"/>
      <c r="Q718" s="125"/>
      <c r="R718" s="127"/>
      <c r="S718" s="123"/>
      <c r="T718" s="3"/>
      <c r="W718" s="86"/>
      <c r="Y718" s="75"/>
    </row>
    <row r="719" spans="1:25" x14ac:dyDescent="0.25">
      <c r="A719" s="75"/>
      <c r="C719" s="81"/>
      <c r="D719" s="81"/>
      <c r="I719" s="81"/>
      <c r="K719" s="82"/>
      <c r="L719" s="123"/>
      <c r="M719" s="3"/>
      <c r="N719" s="3"/>
      <c r="O719" s="3"/>
      <c r="P719" s="125"/>
      <c r="Q719" s="125"/>
      <c r="R719" s="127"/>
      <c r="S719" s="123"/>
      <c r="T719" s="3"/>
      <c r="W719" s="86"/>
      <c r="Y719" s="75"/>
    </row>
    <row r="720" spans="1:25" x14ac:dyDescent="0.25">
      <c r="A720" s="75"/>
      <c r="C720" s="81"/>
      <c r="D720" s="81"/>
      <c r="I720" s="81"/>
      <c r="K720" s="82"/>
      <c r="L720" s="123"/>
      <c r="M720" s="3"/>
      <c r="N720" s="3"/>
      <c r="O720" s="3"/>
      <c r="P720" s="125"/>
      <c r="Q720" s="125"/>
      <c r="R720" s="127"/>
      <c r="S720" s="123"/>
      <c r="T720" s="3"/>
      <c r="W720" s="86"/>
      <c r="Y720" s="75"/>
    </row>
    <row r="721" spans="1:25" x14ac:dyDescent="0.25">
      <c r="A721" s="75"/>
      <c r="C721" s="81"/>
      <c r="D721" s="81"/>
      <c r="I721" s="81"/>
      <c r="K721" s="82"/>
      <c r="L721" s="123"/>
      <c r="M721" s="3"/>
      <c r="N721" s="3"/>
      <c r="O721" s="3"/>
      <c r="P721" s="125"/>
      <c r="Q721" s="125"/>
      <c r="R721" s="127"/>
      <c r="S721" s="123"/>
      <c r="T721" s="3"/>
      <c r="W721" s="86"/>
      <c r="Y721" s="75"/>
    </row>
    <row r="722" spans="1:25" x14ac:dyDescent="0.25">
      <c r="A722" s="75"/>
      <c r="C722" s="81"/>
      <c r="D722" s="81"/>
      <c r="I722" s="81"/>
      <c r="K722" s="82"/>
      <c r="L722" s="123"/>
      <c r="M722" s="3"/>
      <c r="N722" s="3"/>
      <c r="O722" s="3"/>
      <c r="P722" s="125"/>
      <c r="Q722" s="125"/>
      <c r="R722" s="127"/>
      <c r="S722" s="123"/>
      <c r="T722" s="3"/>
      <c r="W722" s="86"/>
      <c r="Y722" s="75"/>
    </row>
    <row r="723" spans="1:25" x14ac:dyDescent="0.25">
      <c r="A723" s="75"/>
      <c r="C723" s="81"/>
      <c r="D723" s="81"/>
      <c r="I723" s="81"/>
      <c r="K723" s="82"/>
      <c r="L723" s="123"/>
      <c r="M723" s="3"/>
      <c r="N723" s="3"/>
      <c r="O723" s="3"/>
      <c r="P723" s="125"/>
      <c r="Q723" s="125"/>
      <c r="R723" s="127"/>
      <c r="S723" s="123"/>
      <c r="T723" s="3"/>
      <c r="W723" s="86"/>
      <c r="Y723" s="75"/>
    </row>
    <row r="724" spans="1:25" x14ac:dyDescent="0.25">
      <c r="A724" s="75"/>
      <c r="C724" s="81"/>
      <c r="D724" s="81"/>
      <c r="I724" s="81"/>
      <c r="K724" s="82"/>
      <c r="L724" s="123"/>
      <c r="M724" s="3"/>
      <c r="N724" s="3"/>
      <c r="O724" s="3"/>
      <c r="P724" s="125"/>
      <c r="Q724" s="125"/>
      <c r="R724" s="127"/>
      <c r="S724" s="123"/>
      <c r="T724" s="3"/>
      <c r="W724" s="86"/>
      <c r="Y724" s="75"/>
    </row>
    <row r="725" spans="1:25" x14ac:dyDescent="0.25">
      <c r="A725" s="75"/>
      <c r="C725" s="81"/>
      <c r="D725" s="81"/>
      <c r="I725" s="81"/>
      <c r="K725" s="82"/>
      <c r="L725" s="123"/>
      <c r="M725" s="3"/>
      <c r="N725" s="3"/>
      <c r="O725" s="3"/>
      <c r="P725" s="125"/>
      <c r="Q725" s="125"/>
      <c r="R725" s="127"/>
      <c r="S725" s="123"/>
      <c r="T725" s="3"/>
      <c r="W725" s="86"/>
      <c r="Y725" s="75"/>
    </row>
    <row r="726" spans="1:25" x14ac:dyDescent="0.25">
      <c r="A726" s="75"/>
      <c r="C726" s="81"/>
      <c r="D726" s="81"/>
      <c r="I726" s="81"/>
      <c r="K726" s="82"/>
      <c r="L726" s="123"/>
      <c r="M726" s="3"/>
      <c r="N726" s="3"/>
      <c r="O726" s="3"/>
      <c r="P726" s="125"/>
      <c r="Q726" s="125"/>
      <c r="R726" s="127"/>
      <c r="S726" s="123"/>
      <c r="T726" s="3"/>
      <c r="W726" s="86"/>
      <c r="Y726" s="75"/>
    </row>
    <row r="727" spans="1:25" x14ac:dyDescent="0.25">
      <c r="A727" s="75"/>
      <c r="C727" s="81"/>
      <c r="D727" s="81"/>
      <c r="I727" s="81"/>
      <c r="K727" s="82"/>
      <c r="L727" s="123"/>
      <c r="M727" s="3"/>
      <c r="N727" s="3"/>
      <c r="O727" s="3"/>
      <c r="P727" s="125"/>
      <c r="Q727" s="125"/>
      <c r="R727" s="127"/>
      <c r="S727" s="123"/>
      <c r="T727" s="3"/>
      <c r="W727" s="86"/>
      <c r="Y727" s="75"/>
    </row>
    <row r="728" spans="1:25" x14ac:dyDescent="0.25">
      <c r="A728" s="75"/>
      <c r="C728" s="81"/>
      <c r="D728" s="81"/>
      <c r="I728" s="81"/>
      <c r="K728" s="82"/>
      <c r="L728" s="123"/>
      <c r="M728" s="3"/>
      <c r="N728" s="3"/>
      <c r="O728" s="3"/>
      <c r="P728" s="125"/>
      <c r="Q728" s="125"/>
      <c r="R728" s="127"/>
      <c r="S728" s="123"/>
      <c r="T728" s="3"/>
      <c r="W728" s="86"/>
      <c r="Y728" s="75"/>
    </row>
    <row r="729" spans="1:25" x14ac:dyDescent="0.25">
      <c r="A729" s="75"/>
      <c r="C729" s="81"/>
      <c r="D729" s="81"/>
      <c r="I729" s="81"/>
      <c r="K729" s="82"/>
      <c r="L729" s="123"/>
      <c r="M729" s="3"/>
      <c r="N729" s="3"/>
      <c r="O729" s="3"/>
      <c r="P729" s="125"/>
      <c r="Q729" s="125"/>
      <c r="R729" s="127"/>
      <c r="S729" s="123"/>
      <c r="T729" s="3"/>
      <c r="W729" s="86"/>
      <c r="Y729" s="75"/>
    </row>
    <row r="730" spans="1:25" x14ac:dyDescent="0.25">
      <c r="A730" s="75"/>
      <c r="C730" s="81"/>
      <c r="D730" s="81"/>
      <c r="I730" s="81"/>
      <c r="K730" s="82"/>
      <c r="L730" s="123"/>
      <c r="M730" s="3"/>
      <c r="N730" s="3"/>
      <c r="O730" s="3"/>
      <c r="P730" s="125"/>
      <c r="Q730" s="125"/>
      <c r="R730" s="127"/>
      <c r="S730" s="123"/>
      <c r="T730" s="3"/>
      <c r="W730" s="86"/>
      <c r="Y730" s="75"/>
    </row>
    <row r="731" spans="1:25" x14ac:dyDescent="0.25">
      <c r="A731" s="75"/>
      <c r="C731" s="81"/>
      <c r="D731" s="81"/>
      <c r="I731" s="81"/>
      <c r="K731" s="82"/>
      <c r="L731" s="123"/>
      <c r="M731" s="3"/>
      <c r="N731" s="3"/>
      <c r="O731" s="3"/>
      <c r="P731" s="125"/>
      <c r="Q731" s="125"/>
      <c r="R731" s="127"/>
      <c r="S731" s="123"/>
      <c r="T731" s="3"/>
      <c r="W731" s="86"/>
      <c r="Y731" s="75"/>
    </row>
    <row r="732" spans="1:25" x14ac:dyDescent="0.25">
      <c r="A732" s="75"/>
      <c r="C732" s="81"/>
      <c r="D732" s="81"/>
      <c r="I732" s="81"/>
      <c r="K732" s="82"/>
      <c r="L732" s="123"/>
      <c r="M732" s="3"/>
      <c r="N732" s="3"/>
      <c r="O732" s="3"/>
      <c r="P732" s="125"/>
      <c r="Q732" s="125"/>
      <c r="R732" s="127"/>
      <c r="S732" s="123"/>
      <c r="T732" s="3"/>
      <c r="W732" s="86"/>
      <c r="Y732" s="75"/>
    </row>
    <row r="733" spans="1:25" x14ac:dyDescent="0.25">
      <c r="A733" s="75"/>
      <c r="C733" s="81"/>
      <c r="D733" s="81"/>
      <c r="I733" s="81"/>
      <c r="K733" s="82"/>
      <c r="L733" s="123"/>
      <c r="M733" s="3"/>
      <c r="N733" s="3"/>
      <c r="O733" s="3"/>
      <c r="P733" s="125"/>
      <c r="Q733" s="125"/>
      <c r="R733" s="127"/>
      <c r="S733" s="123"/>
      <c r="T733" s="3"/>
      <c r="W733" s="86"/>
      <c r="Y733" s="75"/>
    </row>
    <row r="734" spans="1:25" x14ac:dyDescent="0.25">
      <c r="A734" s="75"/>
      <c r="C734" s="81"/>
      <c r="D734" s="81"/>
      <c r="I734" s="81"/>
      <c r="K734" s="82"/>
      <c r="L734" s="123"/>
      <c r="M734" s="3"/>
      <c r="N734" s="3"/>
      <c r="O734" s="3"/>
      <c r="P734" s="125"/>
      <c r="Q734" s="125"/>
      <c r="R734" s="127"/>
      <c r="S734" s="123"/>
      <c r="T734" s="3"/>
      <c r="W734" s="86"/>
      <c r="Y734" s="75"/>
    </row>
    <row r="735" spans="1:25" x14ac:dyDescent="0.25">
      <c r="A735" s="75"/>
      <c r="C735" s="81"/>
      <c r="D735" s="81"/>
      <c r="I735" s="81"/>
      <c r="K735" s="82"/>
      <c r="L735" s="123"/>
      <c r="M735" s="3"/>
      <c r="N735" s="3"/>
      <c r="O735" s="3"/>
      <c r="P735" s="125"/>
      <c r="Q735" s="125"/>
      <c r="R735" s="127"/>
      <c r="S735" s="123"/>
      <c r="T735" s="3"/>
      <c r="W735" s="86"/>
      <c r="Y735" s="75"/>
    </row>
    <row r="736" spans="1:25" x14ac:dyDescent="0.25">
      <c r="A736" s="75"/>
      <c r="C736" s="81"/>
      <c r="D736" s="81"/>
      <c r="I736" s="81"/>
      <c r="K736" s="82"/>
      <c r="L736" s="123"/>
      <c r="M736" s="3"/>
      <c r="N736" s="3"/>
      <c r="O736" s="3"/>
      <c r="P736" s="125"/>
      <c r="Q736" s="125"/>
      <c r="R736" s="127"/>
      <c r="S736" s="123"/>
      <c r="T736" s="3"/>
      <c r="W736" s="86"/>
      <c r="Y736" s="75"/>
    </row>
    <row r="737" spans="1:25" x14ac:dyDescent="0.25">
      <c r="A737" s="75"/>
      <c r="C737" s="81"/>
      <c r="D737" s="81"/>
      <c r="I737" s="81"/>
      <c r="K737" s="82"/>
      <c r="L737" s="123"/>
      <c r="M737" s="3"/>
      <c r="N737" s="3"/>
      <c r="O737" s="3"/>
      <c r="P737" s="125"/>
      <c r="Q737" s="125"/>
      <c r="R737" s="127"/>
      <c r="S737" s="123"/>
      <c r="T737" s="3"/>
      <c r="W737" s="86"/>
      <c r="Y737" s="75"/>
    </row>
    <row r="738" spans="1:25" x14ac:dyDescent="0.25">
      <c r="A738" s="75"/>
      <c r="C738" s="81"/>
      <c r="D738" s="81"/>
      <c r="I738" s="81"/>
      <c r="K738" s="82"/>
      <c r="L738" s="123"/>
      <c r="M738" s="3"/>
      <c r="N738" s="3"/>
      <c r="O738" s="3"/>
      <c r="P738" s="125"/>
      <c r="Q738" s="125"/>
      <c r="R738" s="127"/>
      <c r="S738" s="123"/>
      <c r="T738" s="3"/>
      <c r="W738" s="86"/>
      <c r="Y738" s="75"/>
    </row>
    <row r="739" spans="1:25" x14ac:dyDescent="0.25">
      <c r="A739" s="75"/>
      <c r="C739" s="81"/>
      <c r="D739" s="81"/>
      <c r="I739" s="81"/>
      <c r="K739" s="82"/>
      <c r="L739" s="123"/>
      <c r="M739" s="3"/>
      <c r="N739" s="3"/>
      <c r="O739" s="3"/>
      <c r="P739" s="125"/>
      <c r="Q739" s="125"/>
      <c r="R739" s="127"/>
      <c r="S739" s="123"/>
      <c r="T739" s="3"/>
      <c r="W739" s="86"/>
      <c r="Y739" s="75"/>
    </row>
    <row r="740" spans="1:25" x14ac:dyDescent="0.25">
      <c r="A740" s="75"/>
      <c r="C740" s="81"/>
      <c r="D740" s="81"/>
      <c r="I740" s="81"/>
      <c r="K740" s="82"/>
      <c r="L740" s="123"/>
      <c r="M740" s="3"/>
      <c r="N740" s="3"/>
      <c r="O740" s="3"/>
      <c r="P740" s="125"/>
      <c r="Q740" s="125"/>
      <c r="R740" s="127"/>
      <c r="S740" s="123"/>
      <c r="T740" s="3"/>
      <c r="W740" s="86"/>
      <c r="Y740" s="75"/>
    </row>
    <row r="741" spans="1:25" x14ac:dyDescent="0.25">
      <c r="A741" s="75"/>
      <c r="C741" s="81"/>
      <c r="D741" s="81"/>
      <c r="I741" s="81"/>
      <c r="K741" s="82"/>
      <c r="L741" s="123"/>
      <c r="M741" s="3"/>
      <c r="N741" s="3"/>
      <c r="O741" s="3"/>
      <c r="P741" s="125"/>
      <c r="Q741" s="125"/>
      <c r="R741" s="127"/>
      <c r="S741" s="123"/>
      <c r="T741" s="3"/>
      <c r="W741" s="86"/>
      <c r="Y741" s="75"/>
    </row>
    <row r="742" spans="1:25" x14ac:dyDescent="0.25">
      <c r="A742" s="75"/>
      <c r="C742" s="81"/>
      <c r="D742" s="81"/>
      <c r="I742" s="81"/>
      <c r="K742" s="82"/>
      <c r="L742" s="123"/>
      <c r="M742" s="3"/>
      <c r="N742" s="3"/>
      <c r="O742" s="3"/>
      <c r="P742" s="125"/>
      <c r="Q742" s="125"/>
      <c r="R742" s="127"/>
      <c r="S742" s="123"/>
      <c r="T742" s="3"/>
      <c r="W742" s="86"/>
      <c r="Y742" s="75"/>
    </row>
    <row r="743" spans="1:25" x14ac:dyDescent="0.25">
      <c r="A743" s="75"/>
      <c r="C743" s="81"/>
      <c r="D743" s="81"/>
      <c r="I743" s="81"/>
      <c r="K743" s="82"/>
      <c r="L743" s="123"/>
      <c r="M743" s="3"/>
      <c r="N743" s="3"/>
      <c r="O743" s="3"/>
      <c r="P743" s="125"/>
      <c r="Q743" s="125"/>
      <c r="R743" s="127"/>
      <c r="S743" s="123"/>
      <c r="T743" s="3"/>
      <c r="W743" s="86"/>
      <c r="Y743" s="75"/>
    </row>
    <row r="744" spans="1:25" x14ac:dyDescent="0.25">
      <c r="A744" s="75"/>
      <c r="C744" s="81"/>
      <c r="D744" s="81"/>
      <c r="I744" s="81"/>
      <c r="K744" s="82"/>
      <c r="L744" s="123"/>
      <c r="M744" s="3"/>
      <c r="N744" s="3"/>
      <c r="O744" s="3"/>
      <c r="P744" s="125"/>
      <c r="Q744" s="125"/>
      <c r="R744" s="127"/>
      <c r="S744" s="123"/>
      <c r="T744" s="3"/>
      <c r="W744" s="86"/>
      <c r="Y744" s="75"/>
    </row>
    <row r="745" spans="1:25" x14ac:dyDescent="0.25">
      <c r="A745" s="75"/>
      <c r="C745" s="81"/>
      <c r="D745" s="81"/>
      <c r="I745" s="81"/>
      <c r="K745" s="82"/>
      <c r="L745" s="123"/>
      <c r="M745" s="3"/>
      <c r="N745" s="3"/>
      <c r="O745" s="3"/>
      <c r="P745" s="125"/>
      <c r="Q745" s="125"/>
      <c r="R745" s="127"/>
      <c r="S745" s="123"/>
      <c r="T745" s="3"/>
      <c r="W745" s="86"/>
      <c r="Y745" s="75"/>
    </row>
    <row r="746" spans="1:25" x14ac:dyDescent="0.25">
      <c r="A746" s="75"/>
      <c r="C746" s="81"/>
      <c r="D746" s="81"/>
      <c r="I746" s="81"/>
      <c r="K746" s="82"/>
      <c r="L746" s="123"/>
      <c r="M746" s="3"/>
      <c r="N746" s="3"/>
      <c r="O746" s="3"/>
      <c r="P746" s="125"/>
      <c r="Q746" s="125"/>
      <c r="R746" s="127"/>
      <c r="S746" s="123"/>
      <c r="T746" s="3"/>
      <c r="W746" s="86"/>
      <c r="Y746" s="75"/>
    </row>
    <row r="747" spans="1:25" x14ac:dyDescent="0.25">
      <c r="A747" s="75"/>
      <c r="C747" s="81"/>
      <c r="D747" s="81"/>
      <c r="I747" s="81"/>
      <c r="K747" s="82"/>
      <c r="L747" s="123"/>
      <c r="M747" s="3"/>
      <c r="N747" s="3"/>
      <c r="O747" s="3"/>
      <c r="P747" s="125"/>
      <c r="Q747" s="125"/>
      <c r="R747" s="127"/>
      <c r="S747" s="123"/>
      <c r="T747" s="3"/>
      <c r="W747" s="86"/>
      <c r="Y747" s="75"/>
    </row>
    <row r="748" spans="1:25" x14ac:dyDescent="0.25">
      <c r="A748" s="75"/>
      <c r="C748" s="81"/>
      <c r="D748" s="81"/>
      <c r="I748" s="81"/>
      <c r="K748" s="82"/>
      <c r="L748" s="123"/>
      <c r="M748" s="3"/>
      <c r="N748" s="3"/>
      <c r="O748" s="3"/>
      <c r="P748" s="125"/>
      <c r="Q748" s="125"/>
      <c r="R748" s="127"/>
      <c r="S748" s="123"/>
      <c r="T748" s="3"/>
      <c r="W748" s="86"/>
      <c r="Y748" s="75"/>
    </row>
    <row r="749" spans="1:25" x14ac:dyDescent="0.25">
      <c r="A749" s="75"/>
      <c r="C749" s="81"/>
      <c r="D749" s="81"/>
      <c r="I749" s="81"/>
      <c r="K749" s="82"/>
      <c r="L749" s="123"/>
      <c r="M749" s="3"/>
      <c r="N749" s="3"/>
      <c r="O749" s="3"/>
      <c r="P749" s="125"/>
      <c r="Q749" s="125"/>
      <c r="R749" s="127"/>
      <c r="S749" s="123"/>
      <c r="T749" s="3"/>
      <c r="W749" s="86"/>
      <c r="Y749" s="75"/>
    </row>
    <row r="750" spans="1:25" x14ac:dyDescent="0.25">
      <c r="A750" s="75"/>
      <c r="C750" s="81"/>
      <c r="D750" s="81"/>
      <c r="I750" s="81"/>
      <c r="K750" s="82"/>
      <c r="L750" s="123"/>
      <c r="M750" s="3"/>
      <c r="N750" s="3"/>
      <c r="O750" s="3"/>
      <c r="P750" s="125"/>
      <c r="Q750" s="125"/>
      <c r="R750" s="127"/>
      <c r="S750" s="123"/>
      <c r="T750" s="3"/>
      <c r="W750" s="86"/>
      <c r="Y750" s="75"/>
    </row>
    <row r="751" spans="1:25" x14ac:dyDescent="0.25">
      <c r="A751" s="75"/>
      <c r="C751" s="81"/>
      <c r="D751" s="81"/>
      <c r="I751" s="81"/>
      <c r="K751" s="82"/>
      <c r="L751" s="123"/>
      <c r="M751" s="3"/>
      <c r="N751" s="3"/>
      <c r="O751" s="3"/>
      <c r="P751" s="125"/>
      <c r="Q751" s="125"/>
      <c r="R751" s="127"/>
      <c r="S751" s="123"/>
      <c r="T751" s="3"/>
      <c r="W751" s="86"/>
      <c r="Y751" s="75"/>
    </row>
    <row r="752" spans="1:25" x14ac:dyDescent="0.25">
      <c r="A752" s="75"/>
      <c r="C752" s="81"/>
      <c r="D752" s="81"/>
      <c r="I752" s="81"/>
      <c r="K752" s="82"/>
      <c r="L752" s="123"/>
      <c r="M752" s="3"/>
      <c r="N752" s="3"/>
      <c r="O752" s="3"/>
      <c r="P752" s="125"/>
      <c r="Q752" s="125"/>
      <c r="R752" s="127"/>
      <c r="S752" s="123"/>
      <c r="T752" s="3"/>
      <c r="W752" s="86"/>
      <c r="Y752" s="75"/>
    </row>
    <row r="753" spans="1:25" x14ac:dyDescent="0.25">
      <c r="A753" s="75"/>
      <c r="C753" s="81"/>
      <c r="D753" s="81"/>
      <c r="I753" s="81"/>
      <c r="K753" s="82"/>
      <c r="L753" s="123"/>
      <c r="M753" s="3"/>
      <c r="N753" s="3"/>
      <c r="O753" s="3"/>
      <c r="P753" s="125"/>
      <c r="Q753" s="125"/>
      <c r="R753" s="127"/>
      <c r="S753" s="123"/>
      <c r="T753" s="3"/>
      <c r="W753" s="86"/>
      <c r="Y753" s="75"/>
    </row>
    <row r="754" spans="1:25" x14ac:dyDescent="0.25">
      <c r="A754" s="75"/>
      <c r="C754" s="81"/>
      <c r="D754" s="81"/>
      <c r="I754" s="81"/>
      <c r="K754" s="82"/>
      <c r="L754" s="123"/>
      <c r="M754" s="3"/>
      <c r="N754" s="3"/>
      <c r="O754" s="3"/>
      <c r="P754" s="125"/>
      <c r="Q754" s="125"/>
      <c r="R754" s="127"/>
      <c r="S754" s="123"/>
      <c r="T754" s="3"/>
      <c r="W754" s="86"/>
      <c r="Y754" s="75"/>
    </row>
    <row r="755" spans="1:25" x14ac:dyDescent="0.25">
      <c r="A755" s="75"/>
      <c r="C755" s="81"/>
      <c r="D755" s="81"/>
      <c r="I755" s="81"/>
      <c r="K755" s="82"/>
      <c r="L755" s="123"/>
      <c r="M755" s="3"/>
      <c r="N755" s="3"/>
      <c r="O755" s="3"/>
      <c r="P755" s="125"/>
      <c r="Q755" s="125"/>
      <c r="R755" s="127"/>
      <c r="S755" s="123"/>
      <c r="T755" s="3"/>
      <c r="W755" s="86"/>
      <c r="Y755" s="75"/>
    </row>
    <row r="756" spans="1:25" x14ac:dyDescent="0.25">
      <c r="A756" s="75"/>
      <c r="C756" s="81"/>
      <c r="D756" s="81"/>
      <c r="I756" s="81"/>
      <c r="K756" s="82"/>
      <c r="L756" s="123"/>
      <c r="M756" s="3"/>
      <c r="N756" s="3"/>
      <c r="O756" s="3"/>
      <c r="P756" s="125"/>
      <c r="Q756" s="125"/>
      <c r="R756" s="127"/>
      <c r="S756" s="123"/>
      <c r="T756" s="3"/>
      <c r="W756" s="86"/>
      <c r="Y756" s="75"/>
    </row>
    <row r="757" spans="1:25" x14ac:dyDescent="0.25">
      <c r="A757" s="75"/>
      <c r="C757" s="81"/>
      <c r="D757" s="81"/>
      <c r="I757" s="81"/>
      <c r="K757" s="82"/>
      <c r="L757" s="123"/>
      <c r="M757" s="3"/>
      <c r="N757" s="3"/>
      <c r="O757" s="3"/>
      <c r="P757" s="125"/>
      <c r="Q757" s="125"/>
      <c r="R757" s="127"/>
      <c r="S757" s="123"/>
      <c r="T757" s="3"/>
      <c r="W757" s="86"/>
      <c r="Y757" s="75"/>
    </row>
    <row r="758" spans="1:25" x14ac:dyDescent="0.25">
      <c r="A758" s="75"/>
      <c r="C758" s="81"/>
      <c r="D758" s="81"/>
      <c r="I758" s="81"/>
      <c r="K758" s="82"/>
      <c r="L758" s="123"/>
      <c r="M758" s="3"/>
      <c r="N758" s="3"/>
      <c r="O758" s="3"/>
      <c r="P758" s="125"/>
      <c r="Q758" s="125"/>
      <c r="R758" s="127"/>
      <c r="S758" s="123"/>
      <c r="T758" s="3"/>
      <c r="W758" s="86"/>
      <c r="Y758" s="75"/>
    </row>
    <row r="759" spans="1:25" x14ac:dyDescent="0.25">
      <c r="A759" s="75"/>
      <c r="C759" s="81"/>
      <c r="D759" s="81"/>
      <c r="I759" s="81"/>
      <c r="K759" s="82"/>
      <c r="L759" s="123"/>
      <c r="M759" s="3"/>
      <c r="N759" s="3"/>
      <c r="O759" s="3"/>
      <c r="P759" s="125"/>
      <c r="Q759" s="125"/>
      <c r="R759" s="127"/>
      <c r="S759" s="123"/>
      <c r="T759" s="3"/>
      <c r="W759" s="86"/>
      <c r="Y759" s="75"/>
    </row>
    <row r="760" spans="1:25" x14ac:dyDescent="0.25">
      <c r="A760" s="75"/>
      <c r="C760" s="81"/>
      <c r="D760" s="81"/>
      <c r="I760" s="81"/>
      <c r="K760" s="82"/>
      <c r="L760" s="123"/>
      <c r="M760" s="3"/>
      <c r="N760" s="3"/>
      <c r="O760" s="3"/>
      <c r="P760" s="125"/>
      <c r="Q760" s="125"/>
      <c r="R760" s="127"/>
      <c r="S760" s="123"/>
      <c r="T760" s="3"/>
      <c r="W760" s="86"/>
      <c r="Y760" s="75"/>
    </row>
    <row r="761" spans="1:25" x14ac:dyDescent="0.25">
      <c r="A761" s="75"/>
      <c r="C761" s="81"/>
      <c r="D761" s="81"/>
      <c r="I761" s="81"/>
      <c r="K761" s="82"/>
      <c r="L761" s="123"/>
      <c r="M761" s="3"/>
      <c r="N761" s="3"/>
      <c r="O761" s="3"/>
      <c r="P761" s="125"/>
      <c r="Q761" s="125"/>
      <c r="R761" s="127"/>
      <c r="S761" s="123"/>
      <c r="T761" s="3"/>
      <c r="W761" s="86"/>
      <c r="Y761" s="75"/>
    </row>
    <row r="762" spans="1:25" x14ac:dyDescent="0.25">
      <c r="A762" s="75"/>
      <c r="C762" s="81"/>
      <c r="D762" s="81"/>
      <c r="I762" s="81"/>
      <c r="K762" s="82"/>
      <c r="L762" s="123"/>
      <c r="M762" s="3"/>
      <c r="N762" s="3"/>
      <c r="O762" s="3"/>
      <c r="P762" s="125"/>
      <c r="Q762" s="125"/>
      <c r="R762" s="127"/>
      <c r="S762" s="123"/>
      <c r="T762" s="3"/>
      <c r="W762" s="86"/>
      <c r="Y762" s="75"/>
    </row>
    <row r="763" spans="1:25" x14ac:dyDescent="0.25">
      <c r="A763" s="75"/>
      <c r="C763" s="81"/>
      <c r="D763" s="81"/>
      <c r="I763" s="81"/>
      <c r="K763" s="82"/>
      <c r="L763" s="123"/>
      <c r="M763" s="3"/>
      <c r="N763" s="3"/>
      <c r="O763" s="3"/>
      <c r="P763" s="125"/>
      <c r="Q763" s="125"/>
      <c r="R763" s="127"/>
      <c r="S763" s="123"/>
      <c r="T763" s="3"/>
      <c r="W763" s="86"/>
      <c r="Y763" s="75"/>
    </row>
    <row r="764" spans="1:25" x14ac:dyDescent="0.25">
      <c r="A764" s="75"/>
      <c r="C764" s="81"/>
      <c r="D764" s="81"/>
      <c r="I764" s="81"/>
      <c r="K764" s="82"/>
      <c r="L764" s="123"/>
      <c r="M764" s="3"/>
      <c r="N764" s="3"/>
      <c r="O764" s="3"/>
      <c r="P764" s="125"/>
      <c r="Q764" s="125"/>
      <c r="R764" s="127"/>
      <c r="S764" s="123"/>
      <c r="T764" s="3"/>
      <c r="W764" s="86"/>
      <c r="Y764" s="75"/>
    </row>
    <row r="765" spans="1:25" x14ac:dyDescent="0.25">
      <c r="A765" s="75"/>
      <c r="C765" s="81"/>
      <c r="D765" s="81"/>
      <c r="I765" s="81"/>
      <c r="K765" s="82"/>
      <c r="L765" s="123"/>
      <c r="M765" s="3"/>
      <c r="N765" s="3"/>
      <c r="O765" s="3"/>
      <c r="P765" s="125"/>
      <c r="Q765" s="125"/>
      <c r="R765" s="127"/>
      <c r="S765" s="123"/>
      <c r="T765" s="3"/>
      <c r="W765" s="86"/>
      <c r="Y765" s="75"/>
    </row>
    <row r="766" spans="1:25" x14ac:dyDescent="0.25">
      <c r="A766" s="75"/>
      <c r="C766" s="81"/>
      <c r="D766" s="81"/>
      <c r="I766" s="81"/>
      <c r="K766" s="82"/>
      <c r="L766" s="123"/>
      <c r="M766" s="3"/>
      <c r="N766" s="3"/>
      <c r="O766" s="3"/>
      <c r="P766" s="125"/>
      <c r="Q766" s="125"/>
      <c r="R766" s="127"/>
      <c r="S766" s="123"/>
      <c r="T766" s="3"/>
      <c r="W766" s="86"/>
      <c r="Y766" s="75"/>
    </row>
    <row r="767" spans="1:25" x14ac:dyDescent="0.25">
      <c r="A767" s="75"/>
      <c r="C767" s="81"/>
      <c r="D767" s="81"/>
      <c r="I767" s="81"/>
      <c r="K767" s="82"/>
      <c r="L767" s="123"/>
      <c r="M767" s="3"/>
      <c r="N767" s="3"/>
      <c r="O767" s="3"/>
      <c r="P767" s="125"/>
      <c r="Q767" s="125"/>
      <c r="R767" s="127"/>
      <c r="S767" s="123"/>
      <c r="T767" s="3"/>
      <c r="W767" s="86"/>
      <c r="Y767" s="75"/>
    </row>
    <row r="768" spans="1:25" x14ac:dyDescent="0.25">
      <c r="A768" s="75"/>
      <c r="C768" s="81"/>
      <c r="D768" s="81"/>
      <c r="I768" s="81"/>
      <c r="K768" s="82"/>
      <c r="L768" s="123"/>
      <c r="M768" s="3"/>
      <c r="N768" s="3"/>
      <c r="O768" s="3"/>
      <c r="P768" s="125"/>
      <c r="Q768" s="125"/>
      <c r="R768" s="127"/>
      <c r="S768" s="123"/>
      <c r="T768" s="3"/>
      <c r="W768" s="86"/>
      <c r="Y768" s="75"/>
    </row>
    <row r="769" spans="1:25" x14ac:dyDescent="0.25">
      <c r="A769" s="75"/>
      <c r="C769" s="81"/>
      <c r="D769" s="81"/>
      <c r="I769" s="81"/>
      <c r="K769" s="82"/>
      <c r="L769" s="123"/>
      <c r="M769" s="3"/>
      <c r="N769" s="3"/>
      <c r="O769" s="3"/>
      <c r="P769" s="125"/>
      <c r="Q769" s="125"/>
      <c r="R769" s="127"/>
      <c r="S769" s="123"/>
      <c r="T769" s="3"/>
      <c r="W769" s="86"/>
      <c r="Y769" s="75"/>
    </row>
    <row r="770" spans="1:25" x14ac:dyDescent="0.25">
      <c r="A770" s="75"/>
      <c r="C770" s="81"/>
      <c r="D770" s="81"/>
      <c r="I770" s="81"/>
      <c r="K770" s="82"/>
      <c r="L770" s="123"/>
      <c r="M770" s="3"/>
      <c r="N770" s="3"/>
      <c r="O770" s="3"/>
      <c r="P770" s="125"/>
      <c r="Q770" s="125"/>
      <c r="R770" s="127"/>
      <c r="S770" s="123"/>
      <c r="T770" s="3"/>
      <c r="W770" s="86"/>
      <c r="Y770" s="75"/>
    </row>
    <row r="771" spans="1:25" x14ac:dyDescent="0.25">
      <c r="A771" s="75"/>
      <c r="C771" s="81"/>
      <c r="D771" s="81"/>
      <c r="I771" s="81"/>
      <c r="K771" s="82"/>
      <c r="L771" s="123"/>
      <c r="M771" s="3"/>
      <c r="N771" s="3"/>
      <c r="O771" s="3"/>
      <c r="P771" s="125"/>
      <c r="Q771" s="125"/>
      <c r="R771" s="127"/>
      <c r="S771" s="123"/>
      <c r="T771" s="3"/>
      <c r="W771" s="86"/>
      <c r="Y771" s="75"/>
    </row>
    <row r="772" spans="1:25" x14ac:dyDescent="0.25">
      <c r="A772" s="75"/>
      <c r="C772" s="81"/>
      <c r="D772" s="81"/>
      <c r="I772" s="81"/>
      <c r="K772" s="82"/>
      <c r="L772" s="123"/>
      <c r="M772" s="3"/>
      <c r="N772" s="3"/>
      <c r="O772" s="3"/>
      <c r="P772" s="125"/>
      <c r="Q772" s="125"/>
      <c r="R772" s="127"/>
      <c r="S772" s="123"/>
      <c r="T772" s="3"/>
      <c r="W772" s="86"/>
      <c r="Y772" s="75"/>
    </row>
    <row r="773" spans="1:25" x14ac:dyDescent="0.25">
      <c r="A773" s="75"/>
      <c r="C773" s="81"/>
      <c r="D773" s="81"/>
      <c r="I773" s="81"/>
      <c r="K773" s="82"/>
      <c r="L773" s="123"/>
      <c r="M773" s="3"/>
      <c r="N773" s="3"/>
      <c r="O773" s="3"/>
      <c r="P773" s="125"/>
      <c r="Q773" s="125"/>
      <c r="R773" s="127"/>
      <c r="S773" s="123"/>
      <c r="T773" s="3"/>
      <c r="W773" s="86"/>
      <c r="Y773" s="75"/>
    </row>
    <row r="774" spans="1:25" x14ac:dyDescent="0.25">
      <c r="A774" s="75"/>
      <c r="C774" s="81"/>
      <c r="D774" s="81"/>
      <c r="I774" s="81"/>
      <c r="K774" s="82"/>
      <c r="L774" s="123"/>
      <c r="M774" s="3"/>
      <c r="N774" s="3"/>
      <c r="O774" s="3"/>
      <c r="P774" s="125"/>
      <c r="Q774" s="125"/>
      <c r="R774" s="127"/>
      <c r="S774" s="123"/>
      <c r="T774" s="3"/>
      <c r="W774" s="86"/>
      <c r="Y774" s="75"/>
    </row>
    <row r="775" spans="1:25" x14ac:dyDescent="0.25">
      <c r="A775" s="75"/>
      <c r="C775" s="81"/>
      <c r="D775" s="81"/>
      <c r="I775" s="81"/>
      <c r="K775" s="82"/>
      <c r="L775" s="123"/>
      <c r="M775" s="3"/>
      <c r="N775" s="3"/>
      <c r="O775" s="3"/>
      <c r="P775" s="125"/>
      <c r="Q775" s="125"/>
      <c r="R775" s="127"/>
      <c r="S775" s="123"/>
      <c r="T775" s="3"/>
      <c r="W775" s="86"/>
      <c r="Y775" s="75"/>
    </row>
    <row r="776" spans="1:25" x14ac:dyDescent="0.25">
      <c r="A776" s="75"/>
      <c r="C776" s="81"/>
      <c r="D776" s="81"/>
      <c r="I776" s="81"/>
      <c r="K776" s="82"/>
      <c r="L776" s="123"/>
      <c r="M776" s="3"/>
      <c r="N776" s="3"/>
      <c r="O776" s="3"/>
      <c r="P776" s="125"/>
      <c r="Q776" s="125"/>
      <c r="R776" s="127"/>
      <c r="S776" s="123"/>
      <c r="T776" s="3"/>
      <c r="W776" s="86"/>
      <c r="Y776" s="75"/>
    </row>
    <row r="777" spans="1:25" x14ac:dyDescent="0.25">
      <c r="A777" s="75"/>
      <c r="C777" s="81"/>
      <c r="D777" s="81"/>
      <c r="I777" s="81"/>
      <c r="K777" s="82"/>
      <c r="L777" s="123"/>
      <c r="M777" s="3"/>
      <c r="N777" s="3"/>
      <c r="O777" s="3"/>
      <c r="P777" s="125"/>
      <c r="Q777" s="125"/>
      <c r="R777" s="127"/>
      <c r="S777" s="123"/>
      <c r="T777" s="3"/>
      <c r="W777" s="86"/>
      <c r="Y777" s="75"/>
    </row>
    <row r="778" spans="1:25" x14ac:dyDescent="0.25">
      <c r="A778" s="75"/>
      <c r="C778" s="81"/>
      <c r="D778" s="81"/>
      <c r="I778" s="81"/>
      <c r="K778" s="82"/>
      <c r="L778" s="123"/>
      <c r="M778" s="3"/>
      <c r="N778" s="3"/>
      <c r="O778" s="3"/>
      <c r="P778" s="125"/>
      <c r="Q778" s="125"/>
      <c r="R778" s="127"/>
      <c r="S778" s="123"/>
      <c r="T778" s="3"/>
      <c r="W778" s="86"/>
      <c r="Y778" s="75"/>
    </row>
    <row r="779" spans="1:25" x14ac:dyDescent="0.25">
      <c r="A779" s="75"/>
      <c r="C779" s="81"/>
      <c r="D779" s="81"/>
      <c r="I779" s="81"/>
      <c r="K779" s="82"/>
      <c r="L779" s="123"/>
      <c r="M779" s="3"/>
      <c r="N779" s="3"/>
      <c r="O779" s="3"/>
      <c r="P779" s="125"/>
      <c r="Q779" s="125"/>
      <c r="R779" s="127"/>
      <c r="S779" s="123"/>
      <c r="T779" s="3"/>
      <c r="W779" s="86"/>
      <c r="Y779" s="75"/>
    </row>
    <row r="780" spans="1:25" x14ac:dyDescent="0.25">
      <c r="A780" s="75"/>
      <c r="C780" s="81"/>
      <c r="D780" s="81"/>
      <c r="I780" s="81"/>
      <c r="K780" s="82"/>
      <c r="L780" s="123"/>
      <c r="M780" s="3"/>
      <c r="N780" s="3"/>
      <c r="O780" s="3"/>
      <c r="P780" s="125"/>
      <c r="Q780" s="125"/>
      <c r="R780" s="127"/>
      <c r="S780" s="123"/>
      <c r="T780" s="3"/>
      <c r="W780" s="86"/>
      <c r="Y780" s="75"/>
    </row>
    <row r="781" spans="1:25" x14ac:dyDescent="0.25">
      <c r="A781" s="75"/>
      <c r="C781" s="81"/>
      <c r="D781" s="81"/>
      <c r="I781" s="81"/>
      <c r="K781" s="82"/>
      <c r="L781" s="123"/>
      <c r="M781" s="3"/>
      <c r="N781" s="3"/>
      <c r="O781" s="3"/>
      <c r="P781" s="125"/>
      <c r="Q781" s="125"/>
      <c r="R781" s="127"/>
      <c r="S781" s="123"/>
      <c r="T781" s="3"/>
      <c r="W781" s="86"/>
      <c r="Y781" s="75"/>
    </row>
    <row r="782" spans="1:25" x14ac:dyDescent="0.25">
      <c r="A782" s="75"/>
      <c r="C782" s="81"/>
      <c r="D782" s="81"/>
      <c r="I782" s="81"/>
      <c r="K782" s="82"/>
      <c r="L782" s="123"/>
      <c r="M782" s="3"/>
      <c r="N782" s="3"/>
      <c r="O782" s="3"/>
      <c r="P782" s="125"/>
      <c r="Q782" s="125"/>
      <c r="R782" s="127"/>
      <c r="S782" s="123"/>
      <c r="T782" s="3"/>
      <c r="W782" s="86"/>
      <c r="Y782" s="75"/>
    </row>
    <row r="783" spans="1:25" x14ac:dyDescent="0.25">
      <c r="A783" s="75"/>
      <c r="C783" s="81"/>
      <c r="D783" s="81"/>
      <c r="I783" s="81"/>
      <c r="K783" s="82"/>
      <c r="L783" s="123"/>
      <c r="M783" s="3"/>
      <c r="N783" s="3"/>
      <c r="O783" s="3"/>
      <c r="P783" s="125"/>
      <c r="Q783" s="125"/>
      <c r="R783" s="127"/>
      <c r="S783" s="123"/>
      <c r="T783" s="3"/>
      <c r="W783" s="86"/>
      <c r="Y783" s="75"/>
    </row>
    <row r="784" spans="1:25" x14ac:dyDescent="0.25">
      <c r="A784" s="75"/>
      <c r="C784" s="81"/>
      <c r="D784" s="81"/>
      <c r="I784" s="81"/>
      <c r="K784" s="82"/>
      <c r="L784" s="123"/>
      <c r="M784" s="3"/>
      <c r="N784" s="3"/>
      <c r="O784" s="3"/>
      <c r="P784" s="125"/>
      <c r="Q784" s="125"/>
      <c r="R784" s="127"/>
      <c r="S784" s="123"/>
      <c r="T784" s="3"/>
      <c r="W784" s="86"/>
      <c r="Y784" s="75"/>
    </row>
    <row r="785" spans="1:25" x14ac:dyDescent="0.25">
      <c r="A785" s="75"/>
      <c r="C785" s="81"/>
      <c r="D785" s="81"/>
      <c r="I785" s="81"/>
      <c r="K785" s="82"/>
      <c r="L785" s="123"/>
      <c r="M785" s="3"/>
      <c r="N785" s="3"/>
      <c r="O785" s="3"/>
      <c r="P785" s="125"/>
      <c r="Q785" s="125"/>
      <c r="R785" s="127"/>
      <c r="S785" s="123"/>
      <c r="T785" s="3"/>
      <c r="W785" s="86"/>
      <c r="Y785" s="75"/>
    </row>
    <row r="786" spans="1:25" x14ac:dyDescent="0.25">
      <c r="A786" s="75"/>
      <c r="C786" s="81"/>
      <c r="D786" s="81"/>
      <c r="I786" s="81"/>
      <c r="K786" s="82"/>
      <c r="L786" s="123"/>
      <c r="M786" s="3"/>
      <c r="N786" s="3"/>
      <c r="O786" s="3"/>
      <c r="P786" s="125"/>
      <c r="Q786" s="125"/>
      <c r="R786" s="127"/>
      <c r="S786" s="123"/>
      <c r="T786" s="3"/>
      <c r="W786" s="86"/>
      <c r="Y786" s="75"/>
    </row>
    <row r="787" spans="1:25" x14ac:dyDescent="0.25">
      <c r="A787" s="75"/>
      <c r="C787" s="81"/>
      <c r="D787" s="81"/>
      <c r="I787" s="81"/>
      <c r="K787" s="82"/>
      <c r="L787" s="123"/>
      <c r="M787" s="3"/>
      <c r="N787" s="3"/>
      <c r="O787" s="3"/>
      <c r="P787" s="125"/>
      <c r="Q787" s="125"/>
      <c r="R787" s="127"/>
      <c r="S787" s="123"/>
      <c r="T787" s="3"/>
      <c r="W787" s="86"/>
      <c r="Y787" s="75"/>
    </row>
    <row r="788" spans="1:25" x14ac:dyDescent="0.25">
      <c r="A788" s="75"/>
      <c r="C788" s="81"/>
      <c r="D788" s="81"/>
      <c r="I788" s="81"/>
      <c r="K788" s="82"/>
      <c r="L788" s="123"/>
      <c r="M788" s="3"/>
      <c r="N788" s="3"/>
      <c r="O788" s="3"/>
      <c r="P788" s="125"/>
      <c r="Q788" s="125"/>
      <c r="R788" s="127"/>
      <c r="S788" s="123"/>
      <c r="T788" s="3"/>
      <c r="W788" s="86"/>
      <c r="Y788" s="75"/>
    </row>
    <row r="789" spans="1:25" x14ac:dyDescent="0.25">
      <c r="A789" s="75"/>
      <c r="C789" s="81"/>
      <c r="D789" s="81"/>
      <c r="I789" s="81"/>
      <c r="K789" s="82"/>
      <c r="L789" s="123"/>
      <c r="M789" s="3"/>
      <c r="N789" s="3"/>
      <c r="O789" s="3"/>
      <c r="P789" s="125"/>
      <c r="Q789" s="125"/>
      <c r="R789" s="127"/>
      <c r="S789" s="123"/>
      <c r="T789" s="3"/>
      <c r="W789" s="86"/>
      <c r="Y789" s="75"/>
    </row>
    <row r="790" spans="1:25" x14ac:dyDescent="0.25">
      <c r="A790" s="75"/>
      <c r="C790" s="81"/>
      <c r="D790" s="81"/>
      <c r="I790" s="81"/>
      <c r="K790" s="82"/>
      <c r="L790" s="123"/>
      <c r="M790" s="3"/>
      <c r="N790" s="3"/>
      <c r="O790" s="3"/>
      <c r="P790" s="125"/>
      <c r="Q790" s="125"/>
      <c r="R790" s="127"/>
      <c r="S790" s="123"/>
      <c r="T790" s="3"/>
      <c r="W790" s="86"/>
      <c r="Y790" s="75"/>
    </row>
    <row r="791" spans="1:25" x14ac:dyDescent="0.25">
      <c r="A791" s="75"/>
      <c r="C791" s="81"/>
      <c r="D791" s="81"/>
      <c r="I791" s="81"/>
      <c r="K791" s="82"/>
      <c r="L791" s="123"/>
      <c r="M791" s="3"/>
      <c r="N791" s="3"/>
      <c r="O791" s="3"/>
      <c r="P791" s="125"/>
      <c r="Q791" s="125"/>
      <c r="R791" s="127"/>
      <c r="S791" s="123"/>
      <c r="T791" s="3"/>
      <c r="W791" s="86"/>
      <c r="Y791" s="75"/>
    </row>
    <row r="792" spans="1:25" x14ac:dyDescent="0.25">
      <c r="A792" s="75"/>
      <c r="C792" s="81"/>
      <c r="D792" s="81"/>
      <c r="I792" s="81"/>
      <c r="K792" s="82"/>
      <c r="L792" s="123"/>
      <c r="M792" s="3"/>
      <c r="N792" s="3"/>
      <c r="O792" s="3"/>
      <c r="P792" s="125"/>
      <c r="Q792" s="125"/>
      <c r="R792" s="127"/>
      <c r="S792" s="123"/>
      <c r="T792" s="3"/>
      <c r="W792" s="86"/>
      <c r="Y792" s="75"/>
    </row>
    <row r="793" spans="1:25" x14ac:dyDescent="0.25">
      <c r="A793" s="75"/>
      <c r="C793" s="81"/>
      <c r="D793" s="81"/>
      <c r="I793" s="81"/>
      <c r="K793" s="82"/>
      <c r="L793" s="123"/>
      <c r="M793" s="3"/>
      <c r="N793" s="3"/>
      <c r="O793" s="3"/>
      <c r="P793" s="125"/>
      <c r="Q793" s="125"/>
      <c r="R793" s="127"/>
      <c r="S793" s="123"/>
      <c r="T793" s="3"/>
      <c r="W793" s="86"/>
      <c r="Y793" s="75"/>
    </row>
    <row r="794" spans="1:25" x14ac:dyDescent="0.25">
      <c r="A794" s="75"/>
      <c r="C794" s="81"/>
      <c r="D794" s="81"/>
      <c r="I794" s="81"/>
      <c r="K794" s="82"/>
      <c r="L794" s="123"/>
      <c r="M794" s="3"/>
      <c r="N794" s="3"/>
      <c r="O794" s="3"/>
      <c r="P794" s="125"/>
      <c r="Q794" s="125"/>
      <c r="R794" s="127"/>
      <c r="S794" s="123"/>
      <c r="T794" s="3"/>
      <c r="W794" s="86"/>
      <c r="Y794" s="75"/>
    </row>
    <row r="795" spans="1:25" x14ac:dyDescent="0.25">
      <c r="A795" s="75"/>
      <c r="C795" s="81"/>
      <c r="D795" s="81"/>
      <c r="I795" s="81"/>
      <c r="K795" s="82"/>
      <c r="L795" s="123"/>
      <c r="M795" s="3"/>
      <c r="N795" s="3"/>
      <c r="O795" s="3"/>
      <c r="P795" s="125"/>
      <c r="Q795" s="125"/>
      <c r="R795" s="127"/>
      <c r="S795" s="123"/>
      <c r="T795" s="3"/>
      <c r="W795" s="86"/>
      <c r="Y795" s="75"/>
    </row>
    <row r="796" spans="1:25" x14ac:dyDescent="0.25">
      <c r="A796" s="75"/>
      <c r="C796" s="81"/>
      <c r="D796" s="81"/>
      <c r="I796" s="81"/>
      <c r="K796" s="82"/>
      <c r="L796" s="123"/>
      <c r="M796" s="3"/>
      <c r="N796" s="3"/>
      <c r="O796" s="3"/>
      <c r="P796" s="125"/>
      <c r="Q796" s="125"/>
      <c r="R796" s="127"/>
      <c r="S796" s="123"/>
      <c r="T796" s="3"/>
      <c r="W796" s="86"/>
      <c r="Y796" s="75"/>
    </row>
    <row r="797" spans="1:25" x14ac:dyDescent="0.25">
      <c r="A797" s="75"/>
      <c r="C797" s="81"/>
      <c r="D797" s="81"/>
      <c r="I797" s="81"/>
      <c r="K797" s="82"/>
      <c r="L797" s="123"/>
      <c r="M797" s="3"/>
      <c r="N797" s="3"/>
      <c r="O797" s="3"/>
      <c r="P797" s="125"/>
      <c r="Q797" s="125"/>
      <c r="R797" s="127"/>
      <c r="S797" s="123"/>
      <c r="T797" s="3"/>
      <c r="W797" s="86"/>
      <c r="Y797" s="75"/>
    </row>
    <row r="798" spans="1:25" x14ac:dyDescent="0.25">
      <c r="A798" s="75"/>
      <c r="C798" s="81"/>
      <c r="D798" s="81"/>
      <c r="I798" s="81"/>
      <c r="K798" s="82"/>
      <c r="L798" s="123"/>
      <c r="M798" s="3"/>
      <c r="N798" s="3"/>
      <c r="O798" s="3"/>
      <c r="P798" s="125"/>
      <c r="Q798" s="125"/>
      <c r="R798" s="127"/>
      <c r="S798" s="123"/>
      <c r="T798" s="3"/>
      <c r="W798" s="86"/>
      <c r="Y798" s="75"/>
    </row>
    <row r="799" spans="1:25" x14ac:dyDescent="0.25">
      <c r="A799" s="75"/>
      <c r="C799" s="81"/>
      <c r="D799" s="81"/>
      <c r="I799" s="81"/>
      <c r="K799" s="82"/>
      <c r="L799" s="123"/>
      <c r="M799" s="3"/>
      <c r="N799" s="3"/>
      <c r="O799" s="3"/>
      <c r="P799" s="125"/>
      <c r="Q799" s="125"/>
      <c r="R799" s="127"/>
      <c r="S799" s="123"/>
      <c r="T799" s="3"/>
      <c r="W799" s="86"/>
      <c r="Y799" s="75"/>
    </row>
    <row r="800" spans="1:25" x14ac:dyDescent="0.25">
      <c r="A800" s="75"/>
      <c r="C800" s="81"/>
      <c r="D800" s="81"/>
      <c r="I800" s="81"/>
      <c r="K800" s="82"/>
      <c r="L800" s="123"/>
      <c r="M800" s="3"/>
      <c r="N800" s="3"/>
      <c r="O800" s="3"/>
      <c r="P800" s="125"/>
      <c r="Q800" s="125"/>
      <c r="R800" s="127"/>
      <c r="S800" s="123"/>
      <c r="T800" s="3"/>
      <c r="W800" s="86"/>
      <c r="Y800" s="75"/>
    </row>
    <row r="801" spans="1:25" x14ac:dyDescent="0.25">
      <c r="A801" s="75"/>
      <c r="C801" s="81"/>
      <c r="D801" s="81"/>
      <c r="I801" s="81"/>
      <c r="K801" s="82"/>
      <c r="L801" s="123"/>
      <c r="M801" s="3"/>
      <c r="N801" s="3"/>
      <c r="O801" s="3"/>
      <c r="P801" s="125"/>
      <c r="Q801" s="125"/>
      <c r="R801" s="127"/>
      <c r="S801" s="123"/>
      <c r="T801" s="3"/>
      <c r="W801" s="86"/>
      <c r="Y801" s="75"/>
    </row>
    <row r="802" spans="1:25" x14ac:dyDescent="0.25">
      <c r="A802" s="75"/>
      <c r="C802" s="81"/>
      <c r="D802" s="81"/>
      <c r="I802" s="81"/>
      <c r="K802" s="82"/>
      <c r="L802" s="123"/>
      <c r="M802" s="3"/>
      <c r="N802" s="3"/>
      <c r="O802" s="3"/>
      <c r="P802" s="125"/>
      <c r="Q802" s="125"/>
      <c r="R802" s="127"/>
      <c r="S802" s="123"/>
      <c r="T802" s="3"/>
      <c r="W802" s="86"/>
      <c r="Y802" s="75"/>
    </row>
    <row r="803" spans="1:25" x14ac:dyDescent="0.25">
      <c r="A803" s="75"/>
      <c r="C803" s="81"/>
      <c r="D803" s="81"/>
      <c r="I803" s="81"/>
      <c r="K803" s="82"/>
      <c r="L803" s="123"/>
      <c r="M803" s="3"/>
      <c r="N803" s="3"/>
      <c r="O803" s="3"/>
      <c r="P803" s="125"/>
      <c r="Q803" s="125"/>
      <c r="R803" s="127"/>
      <c r="S803" s="123"/>
      <c r="T803" s="3"/>
      <c r="W803" s="86"/>
      <c r="Y803" s="75"/>
    </row>
    <row r="804" spans="1:25" x14ac:dyDescent="0.25">
      <c r="A804" s="75"/>
      <c r="C804" s="81"/>
      <c r="D804" s="81"/>
      <c r="I804" s="81"/>
      <c r="K804" s="82"/>
      <c r="L804" s="123"/>
      <c r="M804" s="3"/>
      <c r="N804" s="3"/>
      <c r="O804" s="3"/>
      <c r="P804" s="125"/>
      <c r="Q804" s="125"/>
      <c r="R804" s="127"/>
      <c r="S804" s="123"/>
      <c r="T804" s="3"/>
      <c r="W804" s="86"/>
      <c r="Y804" s="75"/>
    </row>
    <row r="805" spans="1:25" x14ac:dyDescent="0.25">
      <c r="A805" s="75"/>
      <c r="C805" s="81"/>
      <c r="D805" s="81"/>
      <c r="I805" s="81"/>
      <c r="K805" s="82"/>
      <c r="L805" s="123"/>
      <c r="M805" s="3"/>
      <c r="N805" s="3"/>
      <c r="O805" s="3"/>
      <c r="P805" s="125"/>
      <c r="Q805" s="125"/>
      <c r="R805" s="127"/>
      <c r="S805" s="123"/>
      <c r="T805" s="3"/>
      <c r="W805" s="86"/>
      <c r="Y805" s="75"/>
    </row>
    <row r="806" spans="1:25" x14ac:dyDescent="0.25">
      <c r="A806" s="75"/>
      <c r="C806" s="81"/>
      <c r="D806" s="81"/>
      <c r="I806" s="81"/>
      <c r="K806" s="82"/>
      <c r="L806" s="123"/>
      <c r="M806" s="3"/>
      <c r="N806" s="3"/>
      <c r="O806" s="3"/>
      <c r="P806" s="125"/>
      <c r="Q806" s="125"/>
      <c r="R806" s="127"/>
      <c r="S806" s="123"/>
      <c r="T806" s="3"/>
      <c r="W806" s="86"/>
      <c r="Y806" s="75"/>
    </row>
    <row r="807" spans="1:25" x14ac:dyDescent="0.25">
      <c r="A807" s="75"/>
      <c r="C807" s="81"/>
      <c r="D807" s="81"/>
      <c r="I807" s="81"/>
      <c r="K807" s="82"/>
      <c r="L807" s="123"/>
      <c r="M807" s="3"/>
      <c r="N807" s="3"/>
      <c r="O807" s="3"/>
      <c r="P807" s="125"/>
      <c r="Q807" s="125"/>
      <c r="R807" s="127"/>
      <c r="S807" s="123"/>
      <c r="T807" s="3"/>
      <c r="W807" s="86"/>
      <c r="Y807" s="75"/>
    </row>
    <row r="808" spans="1:25" x14ac:dyDescent="0.25">
      <c r="A808" s="75"/>
      <c r="C808" s="81"/>
      <c r="D808" s="81"/>
      <c r="I808" s="81"/>
      <c r="K808" s="82"/>
      <c r="L808" s="123"/>
      <c r="M808" s="3"/>
      <c r="N808" s="3"/>
      <c r="O808" s="3"/>
      <c r="P808" s="125"/>
      <c r="Q808" s="125"/>
      <c r="R808" s="127"/>
      <c r="S808" s="123"/>
      <c r="T808" s="3"/>
      <c r="W808" s="86"/>
      <c r="Y808" s="75"/>
    </row>
    <row r="809" spans="1:25" x14ac:dyDescent="0.25">
      <c r="A809" s="75"/>
      <c r="C809" s="81"/>
      <c r="D809" s="81"/>
      <c r="I809" s="81"/>
      <c r="K809" s="82"/>
      <c r="L809" s="123"/>
      <c r="M809" s="3"/>
      <c r="N809" s="3"/>
      <c r="O809" s="3"/>
      <c r="P809" s="125"/>
      <c r="Q809" s="125"/>
      <c r="R809" s="127"/>
      <c r="S809" s="123"/>
      <c r="T809" s="3"/>
      <c r="W809" s="86"/>
      <c r="Y809" s="75"/>
    </row>
    <row r="810" spans="1:25" x14ac:dyDescent="0.25">
      <c r="A810" s="75"/>
      <c r="C810" s="81"/>
      <c r="D810" s="81"/>
      <c r="I810" s="81"/>
      <c r="K810" s="82"/>
      <c r="L810" s="123"/>
      <c r="M810" s="3"/>
      <c r="N810" s="3"/>
      <c r="O810" s="3"/>
      <c r="P810" s="125"/>
      <c r="Q810" s="125"/>
      <c r="R810" s="127"/>
      <c r="S810" s="123"/>
      <c r="T810" s="3"/>
      <c r="W810" s="86"/>
      <c r="Y810" s="75"/>
    </row>
    <row r="811" spans="1:25" x14ac:dyDescent="0.25">
      <c r="A811" s="75"/>
      <c r="C811" s="81"/>
      <c r="D811" s="81"/>
      <c r="I811" s="81"/>
      <c r="K811" s="82"/>
      <c r="L811" s="123"/>
      <c r="M811" s="3"/>
      <c r="N811" s="3"/>
      <c r="O811" s="3"/>
      <c r="P811" s="125"/>
      <c r="Q811" s="125"/>
      <c r="R811" s="127"/>
      <c r="S811" s="123"/>
      <c r="T811" s="3"/>
      <c r="W811" s="86"/>
      <c r="Y811" s="75"/>
    </row>
    <row r="812" spans="1:25" x14ac:dyDescent="0.25">
      <c r="A812" s="75"/>
      <c r="C812" s="81"/>
      <c r="D812" s="81"/>
      <c r="I812" s="81"/>
      <c r="K812" s="82"/>
      <c r="L812" s="123"/>
      <c r="M812" s="3"/>
      <c r="N812" s="3"/>
      <c r="O812" s="3"/>
      <c r="P812" s="125"/>
      <c r="Q812" s="125"/>
      <c r="R812" s="127"/>
      <c r="S812" s="123"/>
      <c r="T812" s="3"/>
      <c r="W812" s="86"/>
      <c r="Y812" s="75"/>
    </row>
    <row r="813" spans="1:25" x14ac:dyDescent="0.25">
      <c r="A813" s="75"/>
      <c r="C813" s="81"/>
      <c r="D813" s="81"/>
      <c r="I813" s="81"/>
      <c r="K813" s="82"/>
      <c r="L813" s="123"/>
      <c r="M813" s="3"/>
      <c r="N813" s="3"/>
      <c r="O813" s="3"/>
      <c r="P813" s="125"/>
      <c r="Q813" s="125"/>
      <c r="R813" s="127"/>
      <c r="S813" s="123"/>
      <c r="T813" s="3"/>
      <c r="W813" s="86"/>
      <c r="Y813" s="75"/>
    </row>
    <row r="814" spans="1:25" x14ac:dyDescent="0.25">
      <c r="A814" s="75"/>
      <c r="C814" s="81"/>
      <c r="D814" s="81"/>
      <c r="I814" s="81"/>
      <c r="K814" s="82"/>
      <c r="L814" s="123"/>
      <c r="M814" s="3"/>
      <c r="N814" s="3"/>
      <c r="O814" s="3"/>
      <c r="P814" s="125"/>
      <c r="Q814" s="125"/>
      <c r="R814" s="127"/>
      <c r="S814" s="123"/>
      <c r="T814" s="3"/>
      <c r="W814" s="86"/>
      <c r="Y814" s="75"/>
    </row>
    <row r="815" spans="1:25" x14ac:dyDescent="0.25">
      <c r="A815" s="75"/>
      <c r="C815" s="81"/>
      <c r="D815" s="81"/>
      <c r="I815" s="81"/>
      <c r="K815" s="82"/>
      <c r="L815" s="123"/>
      <c r="M815" s="3"/>
      <c r="N815" s="3"/>
      <c r="O815" s="3"/>
      <c r="P815" s="125"/>
      <c r="Q815" s="125"/>
      <c r="R815" s="127"/>
      <c r="S815" s="123"/>
      <c r="T815" s="3"/>
      <c r="W815" s="86"/>
      <c r="Y815" s="75"/>
    </row>
    <row r="816" spans="1:25" x14ac:dyDescent="0.25">
      <c r="A816" s="75"/>
      <c r="C816" s="81"/>
      <c r="D816" s="81"/>
      <c r="I816" s="81"/>
      <c r="K816" s="82"/>
      <c r="L816" s="123"/>
      <c r="M816" s="3"/>
      <c r="N816" s="3"/>
      <c r="O816" s="3"/>
      <c r="P816" s="125"/>
      <c r="Q816" s="125"/>
      <c r="R816" s="127"/>
      <c r="S816" s="123"/>
      <c r="T816" s="3"/>
      <c r="W816" s="86"/>
      <c r="Y816" s="75"/>
    </row>
    <row r="817" spans="1:25" x14ac:dyDescent="0.25">
      <c r="A817" s="75"/>
      <c r="C817" s="81"/>
      <c r="D817" s="81"/>
      <c r="I817" s="81"/>
      <c r="K817" s="82"/>
      <c r="L817" s="123"/>
      <c r="M817" s="3"/>
      <c r="N817" s="3"/>
      <c r="O817" s="3"/>
      <c r="P817" s="125"/>
      <c r="Q817" s="125"/>
      <c r="R817" s="127"/>
      <c r="S817" s="123"/>
      <c r="T817" s="3"/>
      <c r="W817" s="86"/>
      <c r="Y817" s="75"/>
    </row>
    <row r="818" spans="1:25" x14ac:dyDescent="0.25">
      <c r="A818" s="75"/>
      <c r="C818" s="81"/>
      <c r="D818" s="81"/>
      <c r="I818" s="81"/>
      <c r="K818" s="82"/>
      <c r="L818" s="123"/>
      <c r="M818" s="3"/>
      <c r="N818" s="3"/>
      <c r="O818" s="3"/>
      <c r="P818" s="125"/>
      <c r="Q818" s="125"/>
      <c r="R818" s="127"/>
      <c r="S818" s="123"/>
      <c r="T818" s="3"/>
      <c r="W818" s="86"/>
      <c r="Y818" s="75"/>
    </row>
    <row r="819" spans="1:25" x14ac:dyDescent="0.25">
      <c r="A819" s="75"/>
      <c r="C819" s="81"/>
      <c r="D819" s="81"/>
      <c r="I819" s="81"/>
      <c r="K819" s="82"/>
      <c r="L819" s="123"/>
      <c r="M819" s="3"/>
      <c r="N819" s="3"/>
      <c r="O819" s="3"/>
      <c r="P819" s="125"/>
      <c r="Q819" s="125"/>
      <c r="R819" s="127"/>
      <c r="S819" s="123"/>
      <c r="T819" s="3"/>
      <c r="W819" s="86"/>
      <c r="Y819" s="75"/>
    </row>
    <row r="820" spans="1:25" x14ac:dyDescent="0.25">
      <c r="A820" s="75"/>
      <c r="C820" s="81"/>
      <c r="D820" s="81"/>
      <c r="I820" s="81"/>
      <c r="K820" s="82"/>
      <c r="L820" s="123"/>
      <c r="M820" s="3"/>
      <c r="N820" s="3"/>
      <c r="O820" s="3"/>
      <c r="P820" s="125"/>
      <c r="Q820" s="125"/>
      <c r="R820" s="127"/>
      <c r="S820" s="123"/>
      <c r="T820" s="3"/>
      <c r="W820" s="86"/>
      <c r="Y820" s="75"/>
    </row>
    <row r="821" spans="1:25" x14ac:dyDescent="0.25">
      <c r="A821" s="75"/>
      <c r="C821" s="81"/>
      <c r="D821" s="81"/>
      <c r="I821" s="81"/>
      <c r="K821" s="82"/>
      <c r="L821" s="123"/>
      <c r="M821" s="3"/>
      <c r="N821" s="3"/>
      <c r="O821" s="3"/>
      <c r="P821" s="125"/>
      <c r="Q821" s="125"/>
      <c r="R821" s="127"/>
      <c r="S821" s="123"/>
      <c r="T821" s="3"/>
      <c r="W821" s="86"/>
      <c r="Y821" s="75"/>
    </row>
    <row r="822" spans="1:25" x14ac:dyDescent="0.25">
      <c r="A822" s="75"/>
      <c r="C822" s="81"/>
      <c r="D822" s="81"/>
      <c r="I822" s="81"/>
      <c r="K822" s="82"/>
      <c r="L822" s="123"/>
      <c r="M822" s="3"/>
      <c r="N822" s="3"/>
      <c r="O822" s="3"/>
      <c r="P822" s="125"/>
      <c r="Q822" s="125"/>
      <c r="R822" s="127"/>
      <c r="S822" s="123"/>
      <c r="T822" s="3"/>
      <c r="W822" s="86"/>
      <c r="Y822" s="75"/>
    </row>
    <row r="823" spans="1:25" x14ac:dyDescent="0.25">
      <c r="A823" s="75"/>
      <c r="C823" s="81"/>
      <c r="D823" s="81"/>
      <c r="I823" s="81"/>
      <c r="K823" s="82"/>
      <c r="L823" s="123"/>
      <c r="M823" s="3"/>
      <c r="N823" s="3"/>
      <c r="O823" s="3"/>
      <c r="P823" s="125"/>
      <c r="Q823" s="125"/>
      <c r="R823" s="127"/>
      <c r="S823" s="123"/>
      <c r="T823" s="3"/>
      <c r="W823" s="86"/>
      <c r="Y823" s="75"/>
    </row>
    <row r="824" spans="1:25" x14ac:dyDescent="0.25">
      <c r="A824" s="75"/>
      <c r="C824" s="81"/>
      <c r="D824" s="81"/>
      <c r="I824" s="81"/>
      <c r="K824" s="82"/>
      <c r="L824" s="123"/>
      <c r="M824" s="3"/>
      <c r="N824" s="3"/>
      <c r="O824" s="3"/>
      <c r="P824" s="125"/>
      <c r="Q824" s="125"/>
      <c r="R824" s="127"/>
      <c r="S824" s="123"/>
      <c r="T824" s="3"/>
      <c r="W824" s="86"/>
      <c r="Y824" s="75"/>
    </row>
    <row r="825" spans="1:25" x14ac:dyDescent="0.25">
      <c r="A825" s="75"/>
      <c r="C825" s="81"/>
      <c r="D825" s="81"/>
      <c r="I825" s="81"/>
      <c r="K825" s="82"/>
      <c r="L825" s="123"/>
      <c r="M825" s="3"/>
      <c r="N825" s="3"/>
      <c r="O825" s="3"/>
      <c r="P825" s="125"/>
      <c r="Q825" s="125"/>
      <c r="R825" s="127"/>
      <c r="S825" s="123"/>
      <c r="T825" s="3"/>
      <c r="W825" s="86"/>
      <c r="Y825" s="75"/>
    </row>
    <row r="826" spans="1:25" x14ac:dyDescent="0.25">
      <c r="A826" s="75"/>
      <c r="C826" s="81"/>
      <c r="D826" s="81"/>
      <c r="I826" s="81"/>
      <c r="K826" s="82"/>
      <c r="L826" s="123"/>
      <c r="M826" s="3"/>
      <c r="N826" s="3"/>
      <c r="O826" s="3"/>
      <c r="P826" s="125"/>
      <c r="Q826" s="125"/>
      <c r="R826" s="127"/>
      <c r="S826" s="123"/>
      <c r="T826" s="3"/>
      <c r="W826" s="86"/>
      <c r="Y826" s="75"/>
    </row>
    <row r="827" spans="1:25" x14ac:dyDescent="0.25">
      <c r="A827" s="75"/>
      <c r="C827" s="81"/>
      <c r="D827" s="81"/>
      <c r="I827" s="81"/>
      <c r="K827" s="82"/>
      <c r="L827" s="123"/>
      <c r="M827" s="3"/>
      <c r="N827" s="3"/>
      <c r="O827" s="3"/>
      <c r="P827" s="125"/>
      <c r="Q827" s="125"/>
      <c r="R827" s="127"/>
      <c r="S827" s="123"/>
      <c r="T827" s="3"/>
      <c r="W827" s="86"/>
      <c r="Y827" s="75"/>
    </row>
    <row r="828" spans="1:25" x14ac:dyDescent="0.25">
      <c r="A828" s="75"/>
      <c r="C828" s="81"/>
      <c r="D828" s="81"/>
      <c r="I828" s="81"/>
      <c r="K828" s="82"/>
      <c r="L828" s="123"/>
      <c r="M828" s="3"/>
      <c r="N828" s="3"/>
      <c r="O828" s="3"/>
      <c r="P828" s="125"/>
      <c r="Q828" s="125"/>
      <c r="R828" s="127"/>
      <c r="S828" s="123"/>
      <c r="T828" s="3"/>
      <c r="W828" s="86"/>
      <c r="Y828" s="75"/>
    </row>
    <row r="829" spans="1:25" x14ac:dyDescent="0.25">
      <c r="A829" s="75"/>
      <c r="C829" s="81"/>
      <c r="D829" s="81"/>
      <c r="I829" s="81"/>
      <c r="K829" s="82"/>
      <c r="L829" s="123"/>
      <c r="M829" s="3"/>
      <c r="N829" s="3"/>
      <c r="O829" s="3"/>
      <c r="P829" s="125"/>
      <c r="Q829" s="125"/>
      <c r="R829" s="127"/>
      <c r="S829" s="123"/>
      <c r="T829" s="3"/>
      <c r="W829" s="86"/>
      <c r="Y829" s="75"/>
    </row>
    <row r="830" spans="1:25" x14ac:dyDescent="0.25">
      <c r="A830" s="75"/>
      <c r="C830" s="81"/>
      <c r="D830" s="81"/>
      <c r="I830" s="81"/>
      <c r="K830" s="82"/>
      <c r="L830" s="123"/>
      <c r="M830" s="3"/>
      <c r="N830" s="3"/>
      <c r="O830" s="3"/>
      <c r="P830" s="125"/>
      <c r="Q830" s="125"/>
      <c r="R830" s="127"/>
      <c r="S830" s="123"/>
      <c r="T830" s="3"/>
      <c r="W830" s="86"/>
      <c r="Y830" s="75"/>
    </row>
    <row r="831" spans="1:25" x14ac:dyDescent="0.25">
      <c r="A831" s="75"/>
      <c r="C831" s="81"/>
      <c r="D831" s="81"/>
      <c r="I831" s="81"/>
      <c r="K831" s="82"/>
      <c r="L831" s="123"/>
      <c r="M831" s="3"/>
      <c r="N831" s="3"/>
      <c r="O831" s="3"/>
      <c r="P831" s="125"/>
      <c r="Q831" s="125"/>
      <c r="R831" s="127"/>
      <c r="S831" s="123"/>
      <c r="T831" s="3"/>
      <c r="W831" s="86"/>
      <c r="Y831" s="75"/>
    </row>
    <row r="832" spans="1:25" x14ac:dyDescent="0.25">
      <c r="A832" s="75"/>
      <c r="C832" s="81"/>
      <c r="D832" s="81"/>
      <c r="I832" s="81"/>
      <c r="K832" s="82"/>
      <c r="L832" s="123"/>
      <c r="M832" s="3"/>
      <c r="N832" s="3"/>
      <c r="O832" s="3"/>
      <c r="P832" s="125"/>
      <c r="Q832" s="125"/>
      <c r="R832" s="127"/>
      <c r="S832" s="123"/>
      <c r="T832" s="3"/>
      <c r="W832" s="86"/>
      <c r="Y832" s="75"/>
    </row>
    <row r="833" spans="1:25" x14ac:dyDescent="0.25">
      <c r="A833" s="75"/>
      <c r="C833" s="81"/>
      <c r="D833" s="81"/>
      <c r="I833" s="81"/>
      <c r="K833" s="82"/>
      <c r="L833" s="123"/>
      <c r="M833" s="3"/>
      <c r="N833" s="3"/>
      <c r="O833" s="3"/>
      <c r="P833" s="125"/>
      <c r="Q833" s="125"/>
      <c r="R833" s="127"/>
      <c r="S833" s="123"/>
      <c r="T833" s="3"/>
      <c r="W833" s="86"/>
      <c r="Y833" s="75"/>
    </row>
    <row r="834" spans="1:25" x14ac:dyDescent="0.25">
      <c r="A834" s="75"/>
      <c r="C834" s="81"/>
      <c r="D834" s="81"/>
      <c r="I834" s="81"/>
      <c r="K834" s="82"/>
      <c r="L834" s="123"/>
      <c r="M834" s="3"/>
      <c r="N834" s="3"/>
      <c r="O834" s="3"/>
      <c r="P834" s="125"/>
      <c r="Q834" s="125"/>
      <c r="R834" s="127"/>
      <c r="S834" s="123"/>
      <c r="T834" s="3"/>
      <c r="W834" s="86"/>
      <c r="Y834" s="75"/>
    </row>
    <row r="835" spans="1:25" x14ac:dyDescent="0.25">
      <c r="A835" s="75"/>
      <c r="C835" s="81"/>
      <c r="D835" s="81"/>
      <c r="I835" s="81"/>
      <c r="K835" s="82"/>
      <c r="L835" s="123"/>
      <c r="M835" s="3"/>
      <c r="N835" s="3"/>
      <c r="O835" s="3"/>
      <c r="P835" s="125"/>
      <c r="Q835" s="125"/>
      <c r="R835" s="127"/>
      <c r="S835" s="123"/>
      <c r="T835" s="3"/>
      <c r="W835" s="86"/>
      <c r="Y835" s="75"/>
    </row>
    <row r="836" spans="1:25" x14ac:dyDescent="0.25">
      <c r="A836" s="75"/>
      <c r="C836" s="81"/>
      <c r="D836" s="81"/>
      <c r="I836" s="81"/>
      <c r="K836" s="82"/>
      <c r="L836" s="123"/>
      <c r="M836" s="3"/>
      <c r="N836" s="3"/>
      <c r="O836" s="3"/>
      <c r="P836" s="125"/>
      <c r="Q836" s="125"/>
      <c r="R836" s="127"/>
      <c r="S836" s="123"/>
      <c r="T836" s="3"/>
      <c r="W836" s="86"/>
      <c r="Y836" s="75"/>
    </row>
    <row r="837" spans="1:25" x14ac:dyDescent="0.25">
      <c r="A837" s="75"/>
      <c r="C837" s="81"/>
      <c r="D837" s="81"/>
      <c r="I837" s="81"/>
      <c r="K837" s="82"/>
      <c r="L837" s="123"/>
      <c r="M837" s="3"/>
      <c r="N837" s="3"/>
      <c r="O837" s="3"/>
      <c r="P837" s="125"/>
      <c r="Q837" s="125"/>
      <c r="R837" s="127"/>
      <c r="S837" s="123"/>
      <c r="T837" s="3"/>
      <c r="W837" s="86"/>
      <c r="Y837" s="75"/>
    </row>
    <row r="838" spans="1:25" x14ac:dyDescent="0.25">
      <c r="A838" s="75"/>
      <c r="C838" s="81"/>
      <c r="D838" s="81"/>
      <c r="I838" s="81"/>
      <c r="K838" s="82"/>
      <c r="L838" s="123"/>
      <c r="M838" s="3"/>
      <c r="N838" s="3"/>
      <c r="O838" s="3"/>
      <c r="P838" s="125"/>
      <c r="Q838" s="125"/>
      <c r="R838" s="127"/>
      <c r="S838" s="123"/>
      <c r="T838" s="3"/>
      <c r="W838" s="86"/>
      <c r="Y838" s="75"/>
    </row>
    <row r="839" spans="1:25" x14ac:dyDescent="0.25">
      <c r="A839" s="75"/>
      <c r="C839" s="81"/>
      <c r="D839" s="81"/>
      <c r="I839" s="81"/>
      <c r="K839" s="82"/>
      <c r="L839" s="123"/>
      <c r="M839" s="3"/>
      <c r="N839" s="3"/>
      <c r="O839" s="3"/>
      <c r="P839" s="125"/>
      <c r="Q839" s="125"/>
      <c r="R839" s="127"/>
      <c r="S839" s="123"/>
      <c r="T839" s="3"/>
      <c r="W839" s="86"/>
      <c r="Y839" s="75"/>
    </row>
    <row r="840" spans="1:25" x14ac:dyDescent="0.25">
      <c r="A840" s="75"/>
      <c r="C840" s="81"/>
      <c r="D840" s="81"/>
      <c r="I840" s="81"/>
      <c r="K840" s="82"/>
      <c r="L840" s="123"/>
      <c r="M840" s="3"/>
      <c r="N840" s="3"/>
      <c r="O840" s="3"/>
      <c r="P840" s="125"/>
      <c r="Q840" s="125"/>
      <c r="R840" s="127"/>
      <c r="S840" s="123"/>
      <c r="T840" s="3"/>
      <c r="W840" s="86"/>
      <c r="Y840" s="75"/>
    </row>
    <row r="841" spans="1:25" x14ac:dyDescent="0.25">
      <c r="A841" s="75"/>
      <c r="C841" s="81"/>
      <c r="D841" s="81"/>
      <c r="I841" s="81"/>
      <c r="K841" s="82"/>
      <c r="L841" s="123"/>
      <c r="M841" s="3"/>
      <c r="N841" s="3"/>
      <c r="O841" s="3"/>
      <c r="P841" s="125"/>
      <c r="Q841" s="125"/>
      <c r="R841" s="127"/>
      <c r="S841" s="123"/>
      <c r="T841" s="3"/>
      <c r="W841" s="86"/>
      <c r="Y841" s="75"/>
    </row>
    <row r="842" spans="1:25" x14ac:dyDescent="0.25">
      <c r="A842" s="75"/>
      <c r="C842" s="81"/>
      <c r="D842" s="81"/>
      <c r="I842" s="81"/>
      <c r="K842" s="82"/>
      <c r="L842" s="123"/>
      <c r="M842" s="3"/>
      <c r="N842" s="3"/>
      <c r="O842" s="3"/>
      <c r="P842" s="125"/>
      <c r="Q842" s="125"/>
      <c r="R842" s="127"/>
      <c r="S842" s="123"/>
      <c r="T842" s="3"/>
      <c r="W842" s="86"/>
      <c r="Y842" s="75"/>
    </row>
    <row r="843" spans="1:25" x14ac:dyDescent="0.25">
      <c r="A843" s="75"/>
      <c r="C843" s="81"/>
      <c r="D843" s="81"/>
      <c r="I843" s="81"/>
      <c r="K843" s="82"/>
      <c r="L843" s="123"/>
      <c r="M843" s="3"/>
      <c r="N843" s="3"/>
      <c r="O843" s="3"/>
      <c r="P843" s="125"/>
      <c r="Q843" s="125"/>
      <c r="R843" s="127"/>
      <c r="S843" s="123"/>
      <c r="T843" s="3"/>
      <c r="W843" s="86"/>
      <c r="Y843" s="75"/>
    </row>
    <row r="844" spans="1:25" x14ac:dyDescent="0.25">
      <c r="A844" s="75"/>
      <c r="C844" s="81"/>
      <c r="D844" s="81"/>
      <c r="I844" s="81"/>
      <c r="K844" s="82"/>
      <c r="L844" s="123"/>
      <c r="M844" s="3"/>
      <c r="N844" s="3"/>
      <c r="O844" s="3"/>
      <c r="P844" s="125"/>
      <c r="Q844" s="125"/>
      <c r="R844" s="127"/>
      <c r="S844" s="123"/>
      <c r="T844" s="3"/>
      <c r="W844" s="86"/>
      <c r="Y844" s="75"/>
    </row>
    <row r="845" spans="1:25" x14ac:dyDescent="0.25">
      <c r="A845" s="75"/>
      <c r="C845" s="81"/>
      <c r="D845" s="81"/>
      <c r="I845" s="81"/>
      <c r="K845" s="82"/>
      <c r="L845" s="123"/>
      <c r="M845" s="3"/>
      <c r="N845" s="3"/>
      <c r="O845" s="3"/>
      <c r="P845" s="125"/>
      <c r="Q845" s="125"/>
      <c r="R845" s="127"/>
      <c r="S845" s="123"/>
      <c r="T845" s="3"/>
      <c r="W845" s="86"/>
      <c r="Y845" s="75"/>
    </row>
    <row r="846" spans="1:25" x14ac:dyDescent="0.25">
      <c r="A846" s="75"/>
      <c r="C846" s="81"/>
      <c r="D846" s="81"/>
      <c r="I846" s="81"/>
      <c r="K846" s="82"/>
      <c r="L846" s="123"/>
      <c r="M846" s="3"/>
      <c r="N846" s="3"/>
      <c r="O846" s="3"/>
      <c r="P846" s="125"/>
      <c r="Q846" s="125"/>
      <c r="R846" s="127"/>
      <c r="S846" s="123"/>
      <c r="T846" s="3"/>
      <c r="W846" s="86"/>
      <c r="Y846" s="75"/>
    </row>
    <row r="847" spans="1:25" x14ac:dyDescent="0.25">
      <c r="A847" s="75"/>
      <c r="C847" s="81"/>
      <c r="D847" s="81"/>
      <c r="I847" s="81"/>
      <c r="K847" s="82"/>
      <c r="L847" s="123"/>
      <c r="M847" s="3"/>
      <c r="N847" s="3"/>
      <c r="O847" s="3"/>
      <c r="P847" s="125"/>
      <c r="Q847" s="125"/>
      <c r="R847" s="127"/>
      <c r="S847" s="123"/>
      <c r="T847" s="3"/>
      <c r="W847" s="86"/>
      <c r="Y847" s="75"/>
    </row>
    <row r="848" spans="1:25" x14ac:dyDescent="0.25">
      <c r="A848" s="75"/>
      <c r="C848" s="81"/>
      <c r="D848" s="81"/>
      <c r="I848" s="81"/>
      <c r="K848" s="82"/>
      <c r="L848" s="123"/>
      <c r="M848" s="3"/>
      <c r="N848" s="3"/>
      <c r="O848" s="3"/>
      <c r="P848" s="125"/>
      <c r="Q848" s="125"/>
      <c r="R848" s="127"/>
      <c r="S848" s="123"/>
      <c r="T848" s="3"/>
      <c r="W848" s="86"/>
      <c r="Y848" s="75"/>
    </row>
    <row r="849" spans="1:25" x14ac:dyDescent="0.25">
      <c r="A849" s="75"/>
      <c r="C849" s="81"/>
      <c r="D849" s="81"/>
      <c r="I849" s="81"/>
      <c r="K849" s="82"/>
      <c r="L849" s="123"/>
      <c r="M849" s="3"/>
      <c r="N849" s="3"/>
      <c r="O849" s="3"/>
      <c r="P849" s="125"/>
      <c r="Q849" s="125"/>
      <c r="R849" s="127"/>
      <c r="S849" s="123"/>
      <c r="T849" s="3"/>
      <c r="W849" s="86"/>
      <c r="Y849" s="75"/>
    </row>
    <row r="850" spans="1:25" x14ac:dyDescent="0.25">
      <c r="A850" s="75"/>
      <c r="C850" s="81"/>
      <c r="D850" s="81"/>
      <c r="I850" s="81"/>
      <c r="K850" s="82"/>
      <c r="L850" s="123"/>
      <c r="M850" s="3"/>
      <c r="N850" s="3"/>
      <c r="O850" s="3"/>
      <c r="P850" s="125"/>
      <c r="Q850" s="125"/>
      <c r="R850" s="127"/>
      <c r="S850" s="123"/>
      <c r="T850" s="3"/>
      <c r="W850" s="86"/>
      <c r="Y850" s="75"/>
    </row>
    <row r="851" spans="1:25" x14ac:dyDescent="0.25">
      <c r="A851" s="75"/>
      <c r="C851" s="81"/>
      <c r="D851" s="81"/>
      <c r="I851" s="81"/>
      <c r="K851" s="82"/>
      <c r="L851" s="123"/>
      <c r="M851" s="3"/>
      <c r="N851" s="3"/>
      <c r="O851" s="3"/>
      <c r="P851" s="125"/>
      <c r="Q851" s="125"/>
      <c r="R851" s="127"/>
      <c r="S851" s="123"/>
      <c r="T851" s="3"/>
      <c r="W851" s="86"/>
      <c r="Y851" s="75"/>
    </row>
    <row r="852" spans="1:25" x14ac:dyDescent="0.25">
      <c r="A852" s="75"/>
      <c r="C852" s="81"/>
      <c r="D852" s="81"/>
      <c r="I852" s="81"/>
      <c r="K852" s="82"/>
      <c r="L852" s="123"/>
      <c r="M852" s="3"/>
      <c r="N852" s="3"/>
      <c r="O852" s="3"/>
      <c r="P852" s="125"/>
      <c r="Q852" s="125"/>
      <c r="R852" s="127"/>
      <c r="S852" s="123"/>
      <c r="T852" s="3"/>
      <c r="W852" s="86"/>
      <c r="Y852" s="75"/>
    </row>
    <row r="853" spans="1:25" x14ac:dyDescent="0.25">
      <c r="A853" s="75"/>
      <c r="C853" s="81"/>
      <c r="D853" s="81"/>
      <c r="I853" s="81"/>
      <c r="K853" s="82"/>
      <c r="L853" s="123"/>
      <c r="M853" s="3"/>
      <c r="N853" s="3"/>
      <c r="O853" s="3"/>
      <c r="P853" s="125"/>
      <c r="Q853" s="125"/>
      <c r="R853" s="127"/>
      <c r="S853" s="123"/>
      <c r="T853" s="3"/>
      <c r="W853" s="86"/>
      <c r="Y853" s="75"/>
    </row>
    <row r="854" spans="1:25" x14ac:dyDescent="0.25">
      <c r="A854" s="75"/>
      <c r="C854" s="81"/>
      <c r="D854" s="81"/>
      <c r="I854" s="81"/>
      <c r="K854" s="82"/>
      <c r="L854" s="123"/>
      <c r="M854" s="3"/>
      <c r="N854" s="3"/>
      <c r="O854" s="3"/>
      <c r="P854" s="125"/>
      <c r="Q854" s="125"/>
      <c r="R854" s="127"/>
      <c r="S854" s="123"/>
      <c r="T854" s="3"/>
      <c r="W854" s="86"/>
      <c r="Y854" s="75"/>
    </row>
    <row r="855" spans="1:25" x14ac:dyDescent="0.25">
      <c r="A855" s="75"/>
      <c r="C855" s="81"/>
      <c r="D855" s="81"/>
      <c r="I855" s="81"/>
      <c r="K855" s="82"/>
      <c r="L855" s="123"/>
      <c r="M855" s="3"/>
      <c r="N855" s="3"/>
      <c r="O855" s="3"/>
      <c r="P855" s="125"/>
      <c r="Q855" s="125"/>
      <c r="R855" s="127"/>
      <c r="S855" s="123"/>
      <c r="T855" s="3"/>
      <c r="W855" s="86"/>
      <c r="Y855" s="75"/>
    </row>
    <row r="856" spans="1:25" x14ac:dyDescent="0.25">
      <c r="A856" s="75"/>
      <c r="C856" s="81"/>
      <c r="D856" s="81"/>
      <c r="I856" s="81"/>
      <c r="K856" s="82"/>
      <c r="L856" s="123"/>
      <c r="M856" s="3"/>
      <c r="N856" s="3"/>
      <c r="O856" s="3"/>
      <c r="P856" s="125"/>
      <c r="Q856" s="125"/>
      <c r="R856" s="127"/>
      <c r="S856" s="123"/>
      <c r="T856" s="3"/>
      <c r="W856" s="86"/>
      <c r="Y856" s="75"/>
    </row>
    <row r="857" spans="1:25" x14ac:dyDescent="0.25">
      <c r="A857" s="75"/>
      <c r="C857" s="81"/>
      <c r="D857" s="81"/>
      <c r="I857" s="81"/>
      <c r="K857" s="82"/>
      <c r="L857" s="123"/>
      <c r="M857" s="3"/>
      <c r="N857" s="3"/>
      <c r="O857" s="3"/>
      <c r="P857" s="125"/>
      <c r="Q857" s="125"/>
      <c r="R857" s="127"/>
      <c r="S857" s="123"/>
      <c r="T857" s="3"/>
      <c r="W857" s="86"/>
      <c r="Y857" s="75"/>
    </row>
    <row r="858" spans="1:25" x14ac:dyDescent="0.25">
      <c r="A858" s="75"/>
      <c r="C858" s="81"/>
      <c r="D858" s="81"/>
      <c r="I858" s="81"/>
      <c r="K858" s="82"/>
      <c r="L858" s="123"/>
      <c r="M858" s="3"/>
      <c r="N858" s="3"/>
      <c r="O858" s="3"/>
      <c r="P858" s="125"/>
      <c r="Q858" s="125"/>
      <c r="R858" s="127"/>
      <c r="S858" s="123"/>
      <c r="T858" s="3"/>
      <c r="W858" s="86"/>
      <c r="Y858" s="75"/>
    </row>
    <row r="859" spans="1:25" x14ac:dyDescent="0.25">
      <c r="A859" s="75"/>
      <c r="C859" s="81"/>
      <c r="D859" s="81"/>
      <c r="I859" s="81"/>
      <c r="K859" s="82"/>
      <c r="L859" s="123"/>
      <c r="M859" s="3"/>
      <c r="N859" s="3"/>
      <c r="O859" s="3"/>
      <c r="P859" s="125"/>
      <c r="Q859" s="125"/>
      <c r="R859" s="127"/>
      <c r="S859" s="123"/>
      <c r="T859" s="3"/>
      <c r="W859" s="86"/>
      <c r="Y859" s="75"/>
    </row>
    <row r="860" spans="1:25" x14ac:dyDescent="0.25">
      <c r="A860" s="75"/>
      <c r="C860" s="81"/>
      <c r="D860" s="81"/>
      <c r="I860" s="81"/>
      <c r="K860" s="82"/>
      <c r="L860" s="123"/>
      <c r="M860" s="3"/>
      <c r="N860" s="3"/>
      <c r="O860" s="3"/>
      <c r="P860" s="125"/>
      <c r="Q860" s="125"/>
      <c r="R860" s="127"/>
      <c r="S860" s="123"/>
      <c r="T860" s="3"/>
      <c r="W860" s="86"/>
      <c r="Y860" s="75"/>
    </row>
    <row r="861" spans="1:25" x14ac:dyDescent="0.25">
      <c r="A861" s="75"/>
      <c r="C861" s="81"/>
      <c r="D861" s="81"/>
      <c r="I861" s="81"/>
      <c r="K861" s="82"/>
      <c r="L861" s="123"/>
      <c r="M861" s="3"/>
      <c r="N861" s="3"/>
      <c r="O861" s="3"/>
      <c r="P861" s="125"/>
      <c r="Q861" s="125"/>
      <c r="R861" s="127"/>
      <c r="S861" s="123"/>
      <c r="T861" s="3"/>
      <c r="W861" s="86"/>
      <c r="Y861" s="75"/>
    </row>
    <row r="862" spans="1:25" x14ac:dyDescent="0.25">
      <c r="A862" s="75"/>
      <c r="C862" s="81"/>
      <c r="D862" s="81"/>
      <c r="I862" s="81"/>
      <c r="K862" s="82"/>
      <c r="L862" s="123"/>
      <c r="M862" s="3"/>
      <c r="N862" s="3"/>
      <c r="O862" s="3"/>
      <c r="P862" s="125"/>
      <c r="Q862" s="125"/>
      <c r="R862" s="127"/>
      <c r="S862" s="123"/>
      <c r="T862" s="3"/>
      <c r="W862" s="86"/>
      <c r="Y862" s="75"/>
    </row>
    <row r="863" spans="1:25" x14ac:dyDescent="0.25">
      <c r="A863" s="75"/>
      <c r="C863" s="81"/>
      <c r="D863" s="81"/>
      <c r="I863" s="81"/>
      <c r="K863" s="82"/>
      <c r="L863" s="123"/>
      <c r="M863" s="3"/>
      <c r="N863" s="3"/>
      <c r="O863" s="3"/>
      <c r="P863" s="125"/>
      <c r="Q863" s="125"/>
      <c r="R863" s="127"/>
      <c r="S863" s="123"/>
      <c r="T863" s="3"/>
      <c r="W863" s="86"/>
      <c r="Y863" s="75"/>
    </row>
    <row r="864" spans="1:25" x14ac:dyDescent="0.25">
      <c r="A864" s="75"/>
      <c r="C864" s="81"/>
      <c r="D864" s="81"/>
      <c r="I864" s="81"/>
      <c r="K864" s="82"/>
      <c r="L864" s="123"/>
      <c r="M864" s="3"/>
      <c r="N864" s="3"/>
      <c r="O864" s="3"/>
      <c r="P864" s="125"/>
      <c r="Q864" s="125"/>
      <c r="R864" s="127"/>
      <c r="S864" s="123"/>
      <c r="T864" s="3"/>
      <c r="W864" s="86"/>
      <c r="Y864" s="75"/>
    </row>
    <row r="865" spans="1:25" x14ac:dyDescent="0.25">
      <c r="A865" s="75"/>
      <c r="C865" s="81"/>
      <c r="D865" s="81"/>
      <c r="I865" s="81"/>
      <c r="K865" s="82"/>
      <c r="L865" s="123"/>
      <c r="M865" s="3"/>
      <c r="N865" s="3"/>
      <c r="O865" s="3"/>
      <c r="P865" s="125"/>
      <c r="Q865" s="125"/>
      <c r="R865" s="127"/>
      <c r="S865" s="123"/>
      <c r="T865" s="3"/>
      <c r="W865" s="86"/>
      <c r="Y865" s="75"/>
    </row>
    <row r="866" spans="1:25" x14ac:dyDescent="0.25">
      <c r="A866" s="75"/>
      <c r="C866" s="81"/>
      <c r="D866" s="81"/>
      <c r="I866" s="81"/>
      <c r="K866" s="82"/>
      <c r="L866" s="123"/>
      <c r="M866" s="3"/>
      <c r="N866" s="3"/>
      <c r="O866" s="3"/>
      <c r="P866" s="125"/>
      <c r="Q866" s="125"/>
      <c r="R866" s="127"/>
      <c r="S866" s="123"/>
      <c r="T866" s="3"/>
      <c r="W866" s="86"/>
      <c r="Y866" s="75"/>
    </row>
    <row r="867" spans="1:25" x14ac:dyDescent="0.25">
      <c r="A867" s="75"/>
      <c r="C867" s="81"/>
      <c r="D867" s="81"/>
      <c r="I867" s="81"/>
      <c r="K867" s="82"/>
      <c r="L867" s="123"/>
      <c r="M867" s="3"/>
      <c r="N867" s="3"/>
      <c r="O867" s="3"/>
      <c r="P867" s="125"/>
      <c r="Q867" s="125"/>
      <c r="R867" s="127"/>
      <c r="S867" s="123"/>
      <c r="T867" s="3"/>
      <c r="W867" s="86"/>
      <c r="Y867" s="75"/>
    </row>
    <row r="868" spans="1:25" x14ac:dyDescent="0.25">
      <c r="A868" s="75"/>
      <c r="C868" s="81"/>
      <c r="D868" s="81"/>
      <c r="I868" s="81"/>
      <c r="K868" s="82"/>
      <c r="L868" s="123"/>
      <c r="M868" s="3"/>
      <c r="N868" s="3"/>
      <c r="O868" s="3"/>
      <c r="P868" s="125"/>
      <c r="Q868" s="125"/>
      <c r="R868" s="127"/>
      <c r="S868" s="123"/>
      <c r="T868" s="3"/>
      <c r="W868" s="86"/>
      <c r="Y868" s="75"/>
    </row>
    <row r="869" spans="1:25" x14ac:dyDescent="0.25">
      <c r="A869" s="75"/>
      <c r="C869" s="81"/>
      <c r="D869" s="81"/>
      <c r="I869" s="81"/>
      <c r="K869" s="82"/>
      <c r="L869" s="123"/>
      <c r="M869" s="3"/>
      <c r="N869" s="3"/>
      <c r="O869" s="3"/>
      <c r="P869" s="125"/>
      <c r="Q869" s="125"/>
      <c r="R869" s="127"/>
      <c r="S869" s="123"/>
      <c r="T869" s="3"/>
      <c r="W869" s="86"/>
      <c r="Y869" s="75"/>
    </row>
    <row r="870" spans="1:25" x14ac:dyDescent="0.25">
      <c r="A870" s="75"/>
      <c r="C870" s="81"/>
      <c r="D870" s="81"/>
      <c r="I870" s="81"/>
      <c r="K870" s="82"/>
      <c r="L870" s="123"/>
      <c r="M870" s="3"/>
      <c r="N870" s="3"/>
      <c r="O870" s="3"/>
      <c r="P870" s="125"/>
      <c r="Q870" s="125"/>
      <c r="R870" s="127"/>
      <c r="S870" s="123"/>
      <c r="T870" s="3"/>
      <c r="W870" s="86"/>
      <c r="Y870" s="75"/>
    </row>
    <row r="871" spans="1:25" x14ac:dyDescent="0.25">
      <c r="A871" s="75"/>
      <c r="C871" s="81"/>
      <c r="D871" s="81"/>
      <c r="I871" s="81"/>
      <c r="K871" s="82"/>
      <c r="L871" s="123"/>
      <c r="M871" s="3"/>
      <c r="N871" s="3"/>
      <c r="O871" s="3"/>
      <c r="P871" s="125"/>
      <c r="Q871" s="125"/>
      <c r="R871" s="127"/>
      <c r="S871" s="123"/>
      <c r="T871" s="3"/>
      <c r="W871" s="86"/>
      <c r="Y871" s="75"/>
    </row>
    <row r="872" spans="1:25" x14ac:dyDescent="0.25">
      <c r="A872" s="75"/>
      <c r="C872" s="81"/>
      <c r="D872" s="81"/>
      <c r="I872" s="81"/>
      <c r="K872" s="82"/>
      <c r="L872" s="123"/>
      <c r="M872" s="3"/>
      <c r="N872" s="3"/>
      <c r="O872" s="3"/>
      <c r="P872" s="125"/>
      <c r="Q872" s="125"/>
      <c r="R872" s="127"/>
      <c r="S872" s="123"/>
      <c r="T872" s="3"/>
      <c r="W872" s="86"/>
      <c r="Y872" s="75"/>
    </row>
    <row r="873" spans="1:25" x14ac:dyDescent="0.25">
      <c r="A873" s="75"/>
      <c r="C873" s="81"/>
      <c r="D873" s="81"/>
      <c r="I873" s="81"/>
      <c r="K873" s="82"/>
      <c r="L873" s="123"/>
      <c r="M873" s="3"/>
      <c r="N873" s="3"/>
      <c r="O873" s="3"/>
      <c r="P873" s="125"/>
      <c r="Q873" s="125"/>
      <c r="R873" s="127"/>
      <c r="S873" s="123"/>
      <c r="T873" s="3"/>
      <c r="W873" s="86"/>
      <c r="Y873" s="75"/>
    </row>
    <row r="874" spans="1:25" x14ac:dyDescent="0.25">
      <c r="A874" s="75"/>
      <c r="C874" s="81"/>
      <c r="D874" s="81"/>
      <c r="I874" s="81"/>
      <c r="K874" s="82"/>
      <c r="L874" s="123"/>
      <c r="M874" s="3"/>
      <c r="N874" s="3"/>
      <c r="O874" s="3"/>
      <c r="P874" s="125"/>
      <c r="Q874" s="125"/>
      <c r="R874" s="127"/>
      <c r="S874" s="123"/>
      <c r="T874" s="3"/>
      <c r="W874" s="86"/>
      <c r="Y874" s="75"/>
    </row>
    <row r="875" spans="1:25" x14ac:dyDescent="0.25">
      <c r="A875" s="75"/>
      <c r="C875" s="81"/>
      <c r="D875" s="81"/>
      <c r="I875" s="81"/>
      <c r="K875" s="82"/>
      <c r="L875" s="123"/>
      <c r="M875" s="3"/>
      <c r="N875" s="3"/>
      <c r="O875" s="3"/>
      <c r="P875" s="125"/>
      <c r="Q875" s="125"/>
      <c r="R875" s="127"/>
      <c r="S875" s="123"/>
      <c r="T875" s="3"/>
      <c r="W875" s="86"/>
      <c r="Y875" s="75"/>
    </row>
    <row r="876" spans="1:25" x14ac:dyDescent="0.25">
      <c r="A876" s="75"/>
      <c r="C876" s="81"/>
      <c r="D876" s="81"/>
      <c r="I876" s="81"/>
      <c r="K876" s="82"/>
      <c r="L876" s="123"/>
      <c r="M876" s="3"/>
      <c r="N876" s="3"/>
      <c r="O876" s="3"/>
      <c r="P876" s="125"/>
      <c r="Q876" s="125"/>
      <c r="R876" s="127"/>
      <c r="S876" s="123"/>
      <c r="T876" s="3"/>
      <c r="W876" s="86"/>
      <c r="Y876" s="75"/>
    </row>
    <row r="877" spans="1:25" x14ac:dyDescent="0.25">
      <c r="A877" s="75"/>
      <c r="C877" s="81"/>
      <c r="D877" s="81"/>
      <c r="I877" s="81"/>
      <c r="K877" s="82"/>
      <c r="L877" s="123"/>
      <c r="M877" s="3"/>
      <c r="N877" s="3"/>
      <c r="O877" s="3"/>
      <c r="P877" s="125"/>
      <c r="Q877" s="125"/>
      <c r="R877" s="127"/>
      <c r="S877" s="123"/>
      <c r="T877" s="3"/>
      <c r="W877" s="86"/>
      <c r="Y877" s="75"/>
    </row>
    <row r="878" spans="1:25" x14ac:dyDescent="0.25">
      <c r="A878" s="75"/>
      <c r="C878" s="81"/>
      <c r="D878" s="81"/>
      <c r="I878" s="81"/>
      <c r="K878" s="82"/>
      <c r="L878" s="123"/>
      <c r="M878" s="3"/>
      <c r="N878" s="3"/>
      <c r="O878" s="3"/>
      <c r="P878" s="125"/>
      <c r="Q878" s="125"/>
      <c r="R878" s="127"/>
      <c r="S878" s="123"/>
      <c r="T878" s="3"/>
      <c r="W878" s="86"/>
      <c r="Y878" s="75"/>
    </row>
    <row r="879" spans="1:25" x14ac:dyDescent="0.25">
      <c r="A879" s="75"/>
      <c r="C879" s="81"/>
      <c r="D879" s="81"/>
      <c r="I879" s="81"/>
      <c r="K879" s="82"/>
      <c r="L879" s="123"/>
      <c r="M879" s="3"/>
      <c r="N879" s="3"/>
      <c r="O879" s="3"/>
      <c r="P879" s="125"/>
      <c r="Q879" s="125"/>
      <c r="R879" s="127"/>
      <c r="S879" s="123"/>
      <c r="T879" s="3"/>
      <c r="W879" s="86"/>
      <c r="Y879" s="75"/>
    </row>
    <row r="880" spans="1:25" x14ac:dyDescent="0.25">
      <c r="A880" s="75"/>
      <c r="C880" s="81"/>
      <c r="D880" s="81"/>
      <c r="I880" s="81"/>
      <c r="K880" s="82"/>
      <c r="L880" s="123"/>
      <c r="M880" s="3"/>
      <c r="N880" s="3"/>
      <c r="O880" s="3"/>
      <c r="P880" s="125"/>
      <c r="Q880" s="125"/>
      <c r="R880" s="127"/>
      <c r="S880" s="123"/>
      <c r="T880" s="3"/>
      <c r="W880" s="86"/>
      <c r="Y880" s="75"/>
    </row>
    <row r="881" spans="1:25" x14ac:dyDescent="0.25">
      <c r="A881" s="75"/>
      <c r="C881" s="81"/>
      <c r="D881" s="81"/>
      <c r="I881" s="81"/>
      <c r="K881" s="82"/>
      <c r="L881" s="123"/>
      <c r="M881" s="3"/>
      <c r="N881" s="3"/>
      <c r="O881" s="3"/>
      <c r="P881" s="125"/>
      <c r="Q881" s="125"/>
      <c r="R881" s="127"/>
      <c r="S881" s="123"/>
      <c r="T881" s="3"/>
      <c r="W881" s="86"/>
      <c r="Y881" s="75"/>
    </row>
    <row r="882" spans="1:25" x14ac:dyDescent="0.25">
      <c r="A882" s="75"/>
      <c r="C882" s="81"/>
      <c r="D882" s="81"/>
      <c r="I882" s="81"/>
      <c r="K882" s="82"/>
      <c r="L882" s="123"/>
      <c r="M882" s="3"/>
      <c r="N882" s="3"/>
      <c r="O882" s="3"/>
      <c r="P882" s="125"/>
      <c r="Q882" s="125"/>
      <c r="R882" s="127"/>
      <c r="S882" s="123"/>
      <c r="T882" s="3"/>
      <c r="W882" s="86"/>
      <c r="Y882" s="75"/>
    </row>
    <row r="883" spans="1:25" x14ac:dyDescent="0.25">
      <c r="A883" s="75"/>
      <c r="C883" s="81"/>
      <c r="D883" s="81"/>
      <c r="I883" s="81"/>
      <c r="K883" s="82"/>
      <c r="L883" s="123"/>
      <c r="M883" s="3"/>
      <c r="N883" s="3"/>
      <c r="O883" s="3"/>
      <c r="P883" s="125"/>
      <c r="Q883" s="125"/>
      <c r="R883" s="127"/>
      <c r="S883" s="123"/>
      <c r="T883" s="3"/>
      <c r="W883" s="86"/>
      <c r="Y883" s="75"/>
    </row>
    <row r="884" spans="1:25" x14ac:dyDescent="0.25">
      <c r="A884" s="75"/>
      <c r="C884" s="81"/>
      <c r="D884" s="81"/>
      <c r="I884" s="81"/>
      <c r="K884" s="82"/>
      <c r="L884" s="123"/>
      <c r="M884" s="3"/>
      <c r="N884" s="3"/>
      <c r="O884" s="3"/>
      <c r="P884" s="125"/>
      <c r="Q884" s="125"/>
      <c r="R884" s="127"/>
      <c r="S884" s="123"/>
      <c r="T884" s="3"/>
      <c r="W884" s="86"/>
      <c r="Y884" s="75"/>
    </row>
    <row r="885" spans="1:25" x14ac:dyDescent="0.25">
      <c r="A885" s="75"/>
      <c r="C885" s="81"/>
      <c r="D885" s="81"/>
      <c r="I885" s="81"/>
      <c r="K885" s="82"/>
      <c r="L885" s="123"/>
      <c r="M885" s="3"/>
      <c r="N885" s="3"/>
      <c r="O885" s="3"/>
      <c r="P885" s="125"/>
      <c r="Q885" s="125"/>
      <c r="R885" s="127"/>
      <c r="S885" s="123"/>
      <c r="T885" s="3"/>
      <c r="W885" s="86"/>
      <c r="Y885" s="75"/>
    </row>
    <row r="886" spans="1:25" x14ac:dyDescent="0.25">
      <c r="A886" s="75"/>
      <c r="C886" s="81"/>
      <c r="D886" s="81"/>
      <c r="I886" s="81"/>
      <c r="K886" s="82"/>
      <c r="L886" s="123"/>
      <c r="M886" s="3"/>
      <c r="N886" s="3"/>
      <c r="O886" s="3"/>
      <c r="P886" s="125"/>
      <c r="Q886" s="125"/>
      <c r="R886" s="127"/>
      <c r="S886" s="123"/>
      <c r="T886" s="3"/>
      <c r="W886" s="86"/>
      <c r="Y886" s="75"/>
    </row>
    <row r="887" spans="1:25" x14ac:dyDescent="0.25">
      <c r="A887" s="75"/>
      <c r="C887" s="81"/>
      <c r="D887" s="81"/>
      <c r="I887" s="81"/>
      <c r="K887" s="82"/>
      <c r="L887" s="123"/>
      <c r="M887" s="3"/>
      <c r="N887" s="3"/>
      <c r="O887" s="3"/>
      <c r="P887" s="125"/>
      <c r="Q887" s="125"/>
      <c r="R887" s="127"/>
      <c r="S887" s="123"/>
      <c r="T887" s="3"/>
      <c r="W887" s="86"/>
      <c r="Y887" s="75"/>
    </row>
    <row r="888" spans="1:25" x14ac:dyDescent="0.25">
      <c r="A888" s="75"/>
      <c r="C888" s="81"/>
      <c r="D888" s="81"/>
      <c r="I888" s="81"/>
      <c r="K888" s="82"/>
      <c r="L888" s="123"/>
      <c r="M888" s="3"/>
      <c r="N888" s="3"/>
      <c r="O888" s="3"/>
      <c r="P888" s="125"/>
      <c r="Q888" s="125"/>
      <c r="R888" s="127"/>
      <c r="S888" s="123"/>
      <c r="T888" s="3"/>
      <c r="W888" s="86"/>
      <c r="Y888" s="75"/>
    </row>
    <row r="889" spans="1:25" x14ac:dyDescent="0.25">
      <c r="A889" s="75"/>
      <c r="C889" s="81"/>
      <c r="D889" s="81"/>
      <c r="I889" s="81"/>
      <c r="K889" s="82"/>
      <c r="L889" s="123"/>
      <c r="M889" s="3"/>
      <c r="N889" s="3"/>
      <c r="O889" s="3"/>
      <c r="P889" s="125"/>
      <c r="Q889" s="125"/>
      <c r="R889" s="127"/>
      <c r="S889" s="123"/>
      <c r="T889" s="3"/>
      <c r="W889" s="86"/>
      <c r="Y889" s="75"/>
    </row>
    <row r="890" spans="1:25" x14ac:dyDescent="0.25">
      <c r="A890" s="75"/>
      <c r="C890" s="81"/>
      <c r="D890" s="81"/>
      <c r="I890" s="81"/>
      <c r="K890" s="82"/>
      <c r="L890" s="123"/>
      <c r="M890" s="3"/>
      <c r="N890" s="3"/>
      <c r="O890" s="3"/>
      <c r="P890" s="125"/>
      <c r="Q890" s="125"/>
      <c r="R890" s="127"/>
      <c r="S890" s="123"/>
      <c r="T890" s="3"/>
      <c r="W890" s="86"/>
      <c r="Y890" s="75"/>
    </row>
    <row r="891" spans="1:25" x14ac:dyDescent="0.25">
      <c r="A891" s="75"/>
      <c r="C891" s="81"/>
      <c r="D891" s="81"/>
      <c r="I891" s="81"/>
      <c r="K891" s="82"/>
      <c r="L891" s="123"/>
      <c r="M891" s="3"/>
      <c r="N891" s="3"/>
      <c r="O891" s="3"/>
      <c r="P891" s="125"/>
      <c r="Q891" s="125"/>
      <c r="R891" s="127"/>
      <c r="S891" s="123"/>
      <c r="T891" s="3"/>
      <c r="W891" s="86"/>
      <c r="Y891" s="75"/>
    </row>
    <row r="892" spans="1:25" x14ac:dyDescent="0.25">
      <c r="A892" s="75"/>
      <c r="C892" s="81"/>
      <c r="D892" s="81"/>
      <c r="I892" s="81"/>
      <c r="K892" s="82"/>
      <c r="L892" s="123"/>
      <c r="M892" s="3"/>
      <c r="N892" s="3"/>
      <c r="O892" s="3"/>
      <c r="P892" s="125"/>
      <c r="Q892" s="125"/>
      <c r="R892" s="127"/>
      <c r="S892" s="123"/>
      <c r="T892" s="3"/>
      <c r="W892" s="86"/>
      <c r="Y892" s="75"/>
    </row>
    <row r="893" spans="1:25" x14ac:dyDescent="0.25">
      <c r="A893" s="75"/>
      <c r="C893" s="81"/>
      <c r="D893" s="81"/>
      <c r="I893" s="81"/>
      <c r="K893" s="82"/>
      <c r="L893" s="123"/>
      <c r="M893" s="3"/>
      <c r="N893" s="3"/>
      <c r="O893" s="3"/>
      <c r="P893" s="125"/>
      <c r="Q893" s="125"/>
      <c r="R893" s="127"/>
      <c r="S893" s="123"/>
      <c r="T893" s="3"/>
      <c r="W893" s="86"/>
      <c r="Y893" s="75"/>
    </row>
    <row r="894" spans="1:25" x14ac:dyDescent="0.25">
      <c r="A894" s="75"/>
      <c r="C894" s="81"/>
      <c r="D894" s="81"/>
      <c r="I894" s="81"/>
      <c r="K894" s="82"/>
      <c r="L894" s="123"/>
      <c r="M894" s="3"/>
      <c r="N894" s="3"/>
      <c r="O894" s="3"/>
      <c r="P894" s="125"/>
      <c r="Q894" s="125"/>
      <c r="R894" s="127"/>
      <c r="S894" s="123"/>
      <c r="T894" s="3"/>
      <c r="W894" s="86"/>
      <c r="Y894" s="75"/>
    </row>
    <row r="895" spans="1:25" x14ac:dyDescent="0.25">
      <c r="A895" s="75"/>
      <c r="C895" s="81"/>
      <c r="D895" s="81"/>
      <c r="I895" s="81"/>
      <c r="K895" s="82"/>
      <c r="L895" s="123"/>
      <c r="M895" s="3"/>
      <c r="N895" s="3"/>
      <c r="O895" s="3"/>
      <c r="P895" s="125"/>
      <c r="Q895" s="125"/>
      <c r="R895" s="127"/>
      <c r="S895" s="123"/>
      <c r="T895" s="3"/>
      <c r="W895" s="86"/>
      <c r="Y895" s="75"/>
    </row>
    <row r="896" spans="1:25" x14ac:dyDescent="0.25">
      <c r="A896" s="75"/>
      <c r="C896" s="81"/>
      <c r="D896" s="81"/>
      <c r="I896" s="81"/>
      <c r="K896" s="82"/>
      <c r="L896" s="123"/>
      <c r="M896" s="3"/>
      <c r="N896" s="3"/>
      <c r="O896" s="3"/>
      <c r="P896" s="125"/>
      <c r="Q896" s="125"/>
      <c r="R896" s="127"/>
      <c r="S896" s="123"/>
      <c r="T896" s="3"/>
      <c r="W896" s="86"/>
      <c r="Y896" s="75"/>
    </row>
    <row r="897" spans="1:25" x14ac:dyDescent="0.25">
      <c r="A897" s="75"/>
      <c r="C897" s="81"/>
      <c r="D897" s="81"/>
      <c r="I897" s="81"/>
      <c r="K897" s="82"/>
      <c r="L897" s="123"/>
      <c r="M897" s="3"/>
      <c r="N897" s="3"/>
      <c r="O897" s="3"/>
      <c r="P897" s="125"/>
      <c r="Q897" s="125"/>
      <c r="R897" s="127"/>
      <c r="S897" s="123"/>
      <c r="T897" s="3"/>
      <c r="W897" s="86"/>
      <c r="Y897" s="75"/>
    </row>
    <row r="898" spans="1:25" x14ac:dyDescent="0.25">
      <c r="A898" s="75"/>
      <c r="C898" s="81"/>
      <c r="D898" s="81"/>
      <c r="I898" s="81"/>
      <c r="K898" s="82"/>
      <c r="L898" s="123"/>
      <c r="M898" s="3"/>
      <c r="N898" s="3"/>
      <c r="O898" s="3"/>
      <c r="P898" s="125"/>
      <c r="Q898" s="125"/>
      <c r="R898" s="127"/>
      <c r="S898" s="123"/>
      <c r="T898" s="3"/>
      <c r="W898" s="86"/>
      <c r="Y898" s="75"/>
    </row>
    <row r="899" spans="1:25" x14ac:dyDescent="0.25">
      <c r="A899" s="75"/>
      <c r="C899" s="81"/>
      <c r="D899" s="81"/>
      <c r="I899" s="81"/>
      <c r="K899" s="82"/>
      <c r="L899" s="123"/>
      <c r="M899" s="3"/>
      <c r="N899" s="3"/>
      <c r="O899" s="3"/>
      <c r="P899" s="125"/>
      <c r="Q899" s="125"/>
      <c r="R899" s="127"/>
      <c r="S899" s="123"/>
      <c r="T899" s="3"/>
      <c r="W899" s="86"/>
      <c r="Y899" s="75"/>
    </row>
    <row r="900" spans="1:25" x14ac:dyDescent="0.25">
      <c r="A900" s="75"/>
      <c r="C900" s="81"/>
      <c r="D900" s="81"/>
      <c r="I900" s="81"/>
      <c r="K900" s="82"/>
      <c r="L900" s="123"/>
      <c r="M900" s="3"/>
      <c r="N900" s="3"/>
      <c r="O900" s="3"/>
      <c r="P900" s="125"/>
      <c r="Q900" s="125"/>
      <c r="R900" s="127"/>
      <c r="S900" s="123"/>
      <c r="T900" s="3"/>
      <c r="W900" s="86"/>
      <c r="Y900" s="75"/>
    </row>
    <row r="901" spans="1:25" x14ac:dyDescent="0.25">
      <c r="A901" s="75"/>
      <c r="C901" s="81"/>
      <c r="D901" s="81"/>
      <c r="I901" s="81"/>
      <c r="K901" s="82"/>
      <c r="L901" s="123"/>
      <c r="M901" s="3"/>
      <c r="N901" s="3"/>
      <c r="O901" s="3"/>
      <c r="P901" s="125"/>
      <c r="Q901" s="125"/>
      <c r="R901" s="127"/>
      <c r="S901" s="123"/>
      <c r="T901" s="3"/>
      <c r="W901" s="86"/>
      <c r="Y901" s="75"/>
    </row>
    <row r="902" spans="1:25" x14ac:dyDescent="0.25">
      <c r="A902" s="75"/>
      <c r="C902" s="81"/>
      <c r="D902" s="81"/>
      <c r="I902" s="81"/>
      <c r="K902" s="82"/>
      <c r="L902" s="123"/>
      <c r="M902" s="3"/>
      <c r="N902" s="3"/>
      <c r="O902" s="3"/>
      <c r="P902" s="125"/>
      <c r="Q902" s="125"/>
      <c r="R902" s="127"/>
      <c r="S902" s="123"/>
      <c r="T902" s="3"/>
      <c r="W902" s="86"/>
      <c r="Y902" s="75"/>
    </row>
    <row r="903" spans="1:25" x14ac:dyDescent="0.25">
      <c r="A903" s="75"/>
      <c r="C903" s="81"/>
      <c r="D903" s="81"/>
      <c r="I903" s="81"/>
      <c r="K903" s="82"/>
      <c r="L903" s="123"/>
      <c r="M903" s="3"/>
      <c r="N903" s="3"/>
      <c r="O903" s="3"/>
      <c r="P903" s="125"/>
      <c r="Q903" s="125"/>
      <c r="R903" s="127"/>
      <c r="S903" s="123"/>
      <c r="T903" s="3"/>
      <c r="W903" s="86"/>
      <c r="Y903" s="75"/>
    </row>
    <row r="904" spans="1:25" x14ac:dyDescent="0.25">
      <c r="A904" s="75"/>
      <c r="C904" s="81"/>
      <c r="D904" s="81"/>
      <c r="I904" s="81"/>
      <c r="K904" s="82"/>
      <c r="L904" s="123"/>
      <c r="M904" s="3"/>
      <c r="N904" s="3"/>
      <c r="O904" s="3"/>
      <c r="P904" s="125"/>
      <c r="Q904" s="125"/>
      <c r="R904" s="127"/>
      <c r="S904" s="123"/>
      <c r="T904" s="3"/>
      <c r="W904" s="86"/>
      <c r="Y904" s="75"/>
    </row>
    <row r="905" spans="1:25" x14ac:dyDescent="0.25">
      <c r="A905" s="75"/>
      <c r="C905" s="81"/>
      <c r="D905" s="81"/>
      <c r="I905" s="81"/>
      <c r="K905" s="82"/>
      <c r="L905" s="123"/>
      <c r="M905" s="3"/>
      <c r="N905" s="3"/>
      <c r="O905" s="3"/>
      <c r="P905" s="125"/>
      <c r="Q905" s="125"/>
      <c r="R905" s="127"/>
      <c r="S905" s="123"/>
      <c r="T905" s="3"/>
      <c r="W905" s="86"/>
      <c r="Y905" s="75"/>
    </row>
    <row r="906" spans="1:25" x14ac:dyDescent="0.25">
      <c r="A906" s="75"/>
      <c r="C906" s="81"/>
      <c r="D906" s="81"/>
      <c r="I906" s="81"/>
      <c r="K906" s="82"/>
      <c r="L906" s="123"/>
      <c r="M906" s="3"/>
      <c r="N906" s="3"/>
      <c r="O906" s="3"/>
      <c r="P906" s="125"/>
      <c r="Q906" s="125"/>
      <c r="R906" s="127"/>
      <c r="S906" s="123"/>
      <c r="T906" s="3"/>
      <c r="W906" s="86"/>
      <c r="Y906" s="75"/>
    </row>
    <row r="907" spans="1:25" x14ac:dyDescent="0.25">
      <c r="A907" s="75"/>
      <c r="C907" s="81"/>
      <c r="D907" s="81"/>
      <c r="I907" s="81"/>
      <c r="K907" s="82"/>
      <c r="L907" s="123"/>
      <c r="M907" s="3"/>
      <c r="N907" s="3"/>
      <c r="O907" s="3"/>
      <c r="P907" s="125"/>
      <c r="Q907" s="125"/>
      <c r="R907" s="127"/>
      <c r="S907" s="123"/>
      <c r="T907" s="3"/>
      <c r="W907" s="86"/>
      <c r="Y907" s="75"/>
    </row>
    <row r="908" spans="1:25" x14ac:dyDescent="0.25">
      <c r="A908" s="75"/>
      <c r="C908" s="81"/>
      <c r="D908" s="81"/>
      <c r="I908" s="81"/>
      <c r="K908" s="82"/>
      <c r="L908" s="123"/>
      <c r="M908" s="3"/>
      <c r="N908" s="3"/>
      <c r="O908" s="3"/>
      <c r="P908" s="125"/>
      <c r="Q908" s="125"/>
      <c r="R908" s="127"/>
      <c r="S908" s="123"/>
      <c r="T908" s="3"/>
      <c r="W908" s="86"/>
      <c r="Y908" s="75"/>
    </row>
    <row r="909" spans="1:25" x14ac:dyDescent="0.25">
      <c r="A909" s="75"/>
      <c r="C909" s="81"/>
      <c r="D909" s="81"/>
      <c r="I909" s="81"/>
      <c r="K909" s="82"/>
      <c r="L909" s="123"/>
      <c r="M909" s="3"/>
      <c r="N909" s="3"/>
      <c r="O909" s="3"/>
      <c r="P909" s="125"/>
      <c r="Q909" s="125"/>
      <c r="R909" s="127"/>
      <c r="S909" s="123"/>
      <c r="T909" s="3"/>
      <c r="W909" s="86"/>
      <c r="Y909" s="75"/>
    </row>
    <row r="910" spans="1:25" x14ac:dyDescent="0.25">
      <c r="A910" s="75"/>
      <c r="C910" s="81"/>
      <c r="D910" s="81"/>
      <c r="I910" s="81"/>
      <c r="K910" s="82"/>
      <c r="L910" s="123"/>
      <c r="M910" s="3"/>
      <c r="N910" s="3"/>
      <c r="O910" s="3"/>
      <c r="P910" s="125"/>
      <c r="Q910" s="125"/>
      <c r="R910" s="127"/>
      <c r="S910" s="123"/>
      <c r="T910" s="3"/>
      <c r="W910" s="86"/>
      <c r="Y910" s="75"/>
    </row>
    <row r="911" spans="1:25" x14ac:dyDescent="0.25">
      <c r="A911" s="75"/>
      <c r="C911" s="81"/>
      <c r="D911" s="81"/>
      <c r="I911" s="81"/>
      <c r="K911" s="82"/>
      <c r="L911" s="123"/>
      <c r="M911" s="3"/>
      <c r="N911" s="3"/>
      <c r="O911" s="3"/>
      <c r="P911" s="125"/>
      <c r="Q911" s="125"/>
      <c r="R911" s="127"/>
      <c r="S911" s="123"/>
      <c r="T911" s="3"/>
      <c r="W911" s="86"/>
      <c r="Y911" s="75"/>
    </row>
    <row r="912" spans="1:25" x14ac:dyDescent="0.25">
      <c r="A912" s="75"/>
      <c r="C912" s="81"/>
      <c r="D912" s="81"/>
      <c r="I912" s="81"/>
      <c r="K912" s="82"/>
      <c r="L912" s="123"/>
      <c r="M912" s="3"/>
      <c r="N912" s="3"/>
      <c r="O912" s="3"/>
      <c r="P912" s="125"/>
      <c r="Q912" s="125"/>
      <c r="R912" s="127"/>
      <c r="S912" s="123"/>
      <c r="T912" s="3"/>
      <c r="W912" s="86"/>
      <c r="Y912" s="75"/>
    </row>
    <row r="913" spans="1:25" x14ac:dyDescent="0.25">
      <c r="A913" s="75"/>
      <c r="C913" s="81"/>
      <c r="D913" s="81"/>
      <c r="I913" s="81"/>
      <c r="K913" s="82"/>
      <c r="L913" s="123"/>
      <c r="M913" s="3"/>
      <c r="N913" s="3"/>
      <c r="O913" s="3"/>
      <c r="P913" s="125"/>
      <c r="Q913" s="125"/>
      <c r="R913" s="127"/>
      <c r="S913" s="123"/>
      <c r="T913" s="3"/>
      <c r="W913" s="86"/>
      <c r="Y913" s="75"/>
    </row>
    <row r="914" spans="1:25" x14ac:dyDescent="0.25">
      <c r="A914" s="75"/>
      <c r="C914" s="81"/>
      <c r="D914" s="81"/>
      <c r="I914" s="81"/>
      <c r="K914" s="82"/>
      <c r="L914" s="123"/>
      <c r="M914" s="3"/>
      <c r="N914" s="3"/>
      <c r="O914" s="3"/>
      <c r="P914" s="125"/>
      <c r="Q914" s="125"/>
      <c r="R914" s="127"/>
      <c r="S914" s="123"/>
      <c r="T914" s="3"/>
      <c r="W914" s="86"/>
      <c r="Y914" s="75"/>
    </row>
    <row r="915" spans="1:25" x14ac:dyDescent="0.25">
      <c r="A915" s="75"/>
      <c r="C915" s="81"/>
      <c r="D915" s="81"/>
      <c r="I915" s="81"/>
      <c r="K915" s="82"/>
      <c r="L915" s="123"/>
      <c r="M915" s="3"/>
      <c r="N915" s="3"/>
      <c r="O915" s="3"/>
      <c r="P915" s="125"/>
      <c r="Q915" s="125"/>
      <c r="R915" s="127"/>
      <c r="S915" s="123"/>
      <c r="T915" s="3"/>
      <c r="W915" s="86"/>
      <c r="Y915" s="75"/>
    </row>
    <row r="916" spans="1:25" x14ac:dyDescent="0.25">
      <c r="A916" s="75"/>
      <c r="C916" s="81"/>
      <c r="D916" s="81"/>
      <c r="I916" s="81"/>
      <c r="K916" s="82"/>
      <c r="L916" s="123"/>
      <c r="M916" s="3"/>
      <c r="N916" s="3"/>
      <c r="O916" s="3"/>
      <c r="P916" s="125"/>
      <c r="Q916" s="125"/>
      <c r="R916" s="127"/>
      <c r="S916" s="123"/>
      <c r="T916" s="3"/>
      <c r="W916" s="86"/>
      <c r="Y916" s="75"/>
    </row>
    <row r="917" spans="1:25" x14ac:dyDescent="0.25">
      <c r="A917" s="75"/>
      <c r="C917" s="81"/>
      <c r="D917" s="81"/>
      <c r="I917" s="81"/>
      <c r="K917" s="82"/>
      <c r="L917" s="123"/>
      <c r="M917" s="3"/>
      <c r="N917" s="3"/>
      <c r="O917" s="3"/>
      <c r="P917" s="125"/>
      <c r="Q917" s="125"/>
      <c r="R917" s="127"/>
      <c r="S917" s="123"/>
      <c r="T917" s="3"/>
      <c r="W917" s="86"/>
      <c r="Y917" s="75"/>
    </row>
    <row r="918" spans="1:25" x14ac:dyDescent="0.25">
      <c r="A918" s="75"/>
      <c r="C918" s="81"/>
      <c r="D918" s="81"/>
      <c r="I918" s="81"/>
      <c r="K918" s="82"/>
      <c r="L918" s="123"/>
      <c r="M918" s="3"/>
      <c r="N918" s="3"/>
      <c r="O918" s="3"/>
      <c r="P918" s="125"/>
      <c r="Q918" s="125"/>
      <c r="R918" s="127"/>
      <c r="S918" s="123"/>
      <c r="T918" s="3"/>
      <c r="W918" s="86"/>
      <c r="Y918" s="75"/>
    </row>
    <row r="919" spans="1:25" x14ac:dyDescent="0.25">
      <c r="A919" s="75"/>
      <c r="C919" s="81"/>
      <c r="D919" s="81"/>
      <c r="I919" s="81"/>
      <c r="K919" s="82"/>
      <c r="L919" s="123"/>
      <c r="M919" s="3"/>
      <c r="N919" s="3"/>
      <c r="O919" s="3"/>
      <c r="P919" s="125"/>
      <c r="Q919" s="125"/>
      <c r="R919" s="127"/>
      <c r="S919" s="123"/>
      <c r="T919" s="3"/>
      <c r="W919" s="86"/>
      <c r="Y919" s="75"/>
    </row>
    <row r="920" spans="1:25" x14ac:dyDescent="0.25">
      <c r="A920" s="75"/>
      <c r="C920" s="81"/>
      <c r="D920" s="81"/>
      <c r="I920" s="81"/>
      <c r="K920" s="82"/>
      <c r="L920" s="123"/>
      <c r="M920" s="3"/>
      <c r="N920" s="3"/>
      <c r="O920" s="3"/>
      <c r="P920" s="125"/>
      <c r="Q920" s="125"/>
      <c r="R920" s="127"/>
      <c r="S920" s="123"/>
      <c r="T920" s="3"/>
      <c r="W920" s="86"/>
      <c r="Y920" s="75"/>
    </row>
    <row r="921" spans="1:25" x14ac:dyDescent="0.25">
      <c r="A921" s="75"/>
      <c r="C921" s="81"/>
      <c r="D921" s="81"/>
      <c r="I921" s="81"/>
      <c r="K921" s="82"/>
      <c r="L921" s="123"/>
      <c r="M921" s="3"/>
      <c r="N921" s="3"/>
      <c r="O921" s="3"/>
      <c r="P921" s="125"/>
      <c r="Q921" s="125"/>
      <c r="R921" s="127"/>
      <c r="S921" s="123"/>
      <c r="T921" s="3"/>
      <c r="W921" s="86"/>
      <c r="Y921" s="75"/>
    </row>
    <row r="922" spans="1:25" x14ac:dyDescent="0.25">
      <c r="A922" s="75"/>
      <c r="C922" s="81"/>
      <c r="D922" s="81"/>
      <c r="I922" s="81"/>
      <c r="K922" s="82"/>
      <c r="L922" s="123"/>
      <c r="M922" s="3"/>
      <c r="N922" s="3"/>
      <c r="O922" s="3"/>
      <c r="P922" s="125"/>
      <c r="Q922" s="125"/>
      <c r="R922" s="127"/>
      <c r="S922" s="123"/>
      <c r="T922" s="3"/>
      <c r="W922" s="86"/>
      <c r="Y922" s="75"/>
    </row>
    <row r="923" spans="1:25" x14ac:dyDescent="0.25">
      <c r="A923" s="75"/>
      <c r="C923" s="81"/>
      <c r="D923" s="81"/>
      <c r="I923" s="81"/>
      <c r="K923" s="82"/>
      <c r="L923" s="123"/>
      <c r="M923" s="3"/>
      <c r="N923" s="3"/>
      <c r="O923" s="3"/>
      <c r="P923" s="125"/>
      <c r="Q923" s="125"/>
      <c r="R923" s="127"/>
      <c r="S923" s="123"/>
      <c r="T923" s="3"/>
      <c r="W923" s="86"/>
      <c r="Y923" s="75"/>
    </row>
    <row r="924" spans="1:25" x14ac:dyDescent="0.25">
      <c r="A924" s="75"/>
      <c r="C924" s="81"/>
      <c r="D924" s="81"/>
      <c r="I924" s="81"/>
      <c r="K924" s="82"/>
      <c r="L924" s="123"/>
      <c r="M924" s="3"/>
      <c r="N924" s="3"/>
      <c r="O924" s="3"/>
      <c r="P924" s="125"/>
      <c r="Q924" s="125"/>
      <c r="R924" s="127"/>
      <c r="S924" s="123"/>
      <c r="T924" s="3"/>
      <c r="W924" s="86"/>
      <c r="Y924" s="75"/>
    </row>
    <row r="925" spans="1:25" x14ac:dyDescent="0.25">
      <c r="A925" s="75"/>
      <c r="C925" s="81"/>
      <c r="D925" s="81"/>
      <c r="I925" s="81"/>
      <c r="K925" s="82"/>
      <c r="L925" s="123"/>
      <c r="M925" s="3"/>
      <c r="N925" s="3"/>
      <c r="O925" s="3"/>
      <c r="P925" s="125"/>
      <c r="Q925" s="125"/>
      <c r="R925" s="127"/>
      <c r="S925" s="123"/>
      <c r="T925" s="3"/>
      <c r="W925" s="86"/>
      <c r="Y925" s="75"/>
    </row>
    <row r="926" spans="1:25" x14ac:dyDescent="0.25">
      <c r="A926" s="75"/>
      <c r="C926" s="81"/>
      <c r="D926" s="81"/>
      <c r="I926" s="81"/>
      <c r="K926" s="82"/>
      <c r="L926" s="123"/>
      <c r="M926" s="3"/>
      <c r="N926" s="3"/>
      <c r="O926" s="3"/>
      <c r="P926" s="125"/>
      <c r="Q926" s="125"/>
      <c r="R926" s="127"/>
      <c r="S926" s="123"/>
      <c r="T926" s="3"/>
      <c r="W926" s="86"/>
      <c r="Y926" s="75"/>
    </row>
    <row r="927" spans="1:25" x14ac:dyDescent="0.25">
      <c r="A927" s="75"/>
      <c r="C927" s="81"/>
      <c r="D927" s="81"/>
      <c r="I927" s="81"/>
      <c r="K927" s="82"/>
      <c r="L927" s="123"/>
      <c r="M927" s="3"/>
      <c r="N927" s="3"/>
      <c r="O927" s="3"/>
      <c r="P927" s="125"/>
      <c r="Q927" s="125"/>
      <c r="R927" s="127"/>
      <c r="S927" s="123"/>
      <c r="T927" s="3"/>
      <c r="W927" s="86"/>
      <c r="Y927" s="75"/>
    </row>
    <row r="928" spans="1:25" x14ac:dyDescent="0.25">
      <c r="A928" s="75"/>
      <c r="C928" s="81"/>
      <c r="D928" s="81"/>
      <c r="I928" s="81"/>
      <c r="K928" s="82"/>
      <c r="L928" s="123"/>
      <c r="M928" s="3"/>
      <c r="N928" s="3"/>
      <c r="O928" s="3"/>
      <c r="P928" s="125"/>
      <c r="Q928" s="125"/>
      <c r="R928" s="127"/>
      <c r="S928" s="123"/>
      <c r="T928" s="3"/>
      <c r="W928" s="86"/>
      <c r="Y928" s="75"/>
    </row>
    <row r="929" spans="1:25" x14ac:dyDescent="0.25">
      <c r="A929" s="75"/>
      <c r="C929" s="81"/>
      <c r="D929" s="81"/>
      <c r="I929" s="81"/>
      <c r="K929" s="82"/>
      <c r="L929" s="123"/>
      <c r="M929" s="3"/>
      <c r="N929" s="3"/>
      <c r="O929" s="3"/>
      <c r="P929" s="125"/>
      <c r="Q929" s="125"/>
      <c r="R929" s="127"/>
      <c r="S929" s="123"/>
      <c r="T929" s="3"/>
      <c r="W929" s="86"/>
      <c r="Y929" s="75"/>
    </row>
    <row r="930" spans="1:25" x14ac:dyDescent="0.25">
      <c r="A930" s="75"/>
      <c r="C930" s="81"/>
      <c r="D930" s="81"/>
      <c r="I930" s="81"/>
      <c r="K930" s="82"/>
      <c r="L930" s="123"/>
      <c r="M930" s="3"/>
      <c r="N930" s="3"/>
      <c r="O930" s="3"/>
      <c r="P930" s="125"/>
      <c r="Q930" s="125"/>
      <c r="R930" s="127"/>
      <c r="S930" s="123"/>
      <c r="T930" s="3"/>
      <c r="W930" s="86"/>
      <c r="Y930" s="75"/>
    </row>
    <row r="931" spans="1:25" x14ac:dyDescent="0.25">
      <c r="A931" s="75"/>
      <c r="C931" s="81"/>
      <c r="D931" s="81"/>
      <c r="I931" s="81"/>
      <c r="K931" s="82"/>
      <c r="L931" s="123"/>
      <c r="M931" s="3"/>
      <c r="N931" s="3"/>
      <c r="O931" s="3"/>
      <c r="P931" s="125"/>
      <c r="Q931" s="125"/>
      <c r="R931" s="127"/>
      <c r="S931" s="123"/>
      <c r="T931" s="3"/>
      <c r="W931" s="86"/>
      <c r="Y931" s="75"/>
    </row>
    <row r="932" spans="1:25" x14ac:dyDescent="0.25">
      <c r="A932" s="75"/>
      <c r="C932" s="81"/>
      <c r="D932" s="81"/>
      <c r="I932" s="81"/>
      <c r="K932" s="82"/>
      <c r="L932" s="123"/>
      <c r="M932" s="3"/>
      <c r="N932" s="3"/>
      <c r="O932" s="3"/>
      <c r="P932" s="125"/>
      <c r="Q932" s="125"/>
      <c r="R932" s="127"/>
      <c r="S932" s="123"/>
      <c r="T932" s="3"/>
      <c r="W932" s="86"/>
      <c r="Y932" s="75"/>
    </row>
    <row r="933" spans="1:25" x14ac:dyDescent="0.25">
      <c r="A933" s="75"/>
      <c r="C933" s="81"/>
      <c r="D933" s="81"/>
      <c r="I933" s="81"/>
      <c r="K933" s="82"/>
      <c r="L933" s="123"/>
      <c r="M933" s="3"/>
      <c r="N933" s="3"/>
      <c r="O933" s="3"/>
      <c r="P933" s="125"/>
      <c r="Q933" s="125"/>
      <c r="R933" s="127"/>
      <c r="S933" s="123"/>
      <c r="T933" s="3"/>
      <c r="W933" s="86"/>
      <c r="Y933" s="75"/>
    </row>
    <row r="934" spans="1:25" x14ac:dyDescent="0.25">
      <c r="A934" s="75"/>
      <c r="C934" s="81"/>
      <c r="D934" s="81"/>
      <c r="I934" s="81"/>
      <c r="K934" s="82"/>
      <c r="L934" s="123"/>
      <c r="M934" s="3"/>
      <c r="N934" s="3"/>
      <c r="O934" s="3"/>
      <c r="P934" s="125"/>
      <c r="Q934" s="125"/>
      <c r="R934" s="127"/>
      <c r="S934" s="123"/>
      <c r="T934" s="3"/>
      <c r="W934" s="86"/>
      <c r="Y934" s="75"/>
    </row>
    <row r="935" spans="1:25" x14ac:dyDescent="0.25">
      <c r="A935" s="75"/>
      <c r="C935" s="81"/>
      <c r="D935" s="81"/>
      <c r="I935" s="81"/>
      <c r="K935" s="82"/>
      <c r="L935" s="123"/>
      <c r="M935" s="3"/>
      <c r="N935" s="3"/>
      <c r="O935" s="3"/>
      <c r="P935" s="125"/>
      <c r="Q935" s="125"/>
      <c r="R935" s="127"/>
      <c r="S935" s="123"/>
      <c r="T935" s="3"/>
      <c r="W935" s="86"/>
      <c r="Y935" s="75"/>
    </row>
    <row r="936" spans="1:25" x14ac:dyDescent="0.25">
      <c r="A936" s="75"/>
      <c r="C936" s="81"/>
      <c r="D936" s="81"/>
      <c r="I936" s="81"/>
      <c r="K936" s="82"/>
      <c r="L936" s="123"/>
      <c r="M936" s="3"/>
      <c r="N936" s="3"/>
      <c r="O936" s="3"/>
      <c r="P936" s="125"/>
      <c r="Q936" s="125"/>
      <c r="R936" s="127"/>
      <c r="S936" s="123"/>
      <c r="T936" s="3"/>
      <c r="W936" s="86"/>
      <c r="Y936" s="75"/>
    </row>
    <row r="937" spans="1:25" x14ac:dyDescent="0.25">
      <c r="A937" s="75"/>
      <c r="C937" s="81"/>
      <c r="D937" s="81"/>
      <c r="I937" s="81"/>
      <c r="K937" s="82"/>
      <c r="L937" s="123"/>
      <c r="M937" s="3"/>
      <c r="N937" s="3"/>
      <c r="O937" s="3"/>
      <c r="P937" s="125"/>
      <c r="Q937" s="125"/>
      <c r="R937" s="127"/>
      <c r="S937" s="123"/>
      <c r="T937" s="3"/>
      <c r="W937" s="86"/>
      <c r="Y937" s="75"/>
    </row>
    <row r="938" spans="1:25" x14ac:dyDescent="0.25">
      <c r="A938" s="75"/>
      <c r="C938" s="81"/>
      <c r="D938" s="81"/>
      <c r="I938" s="81"/>
      <c r="K938" s="82"/>
      <c r="L938" s="123"/>
      <c r="M938" s="3"/>
      <c r="N938" s="3"/>
      <c r="O938" s="3"/>
      <c r="P938" s="125"/>
      <c r="Q938" s="125"/>
      <c r="R938" s="127"/>
      <c r="S938" s="123"/>
      <c r="T938" s="3"/>
      <c r="W938" s="86"/>
      <c r="Y938" s="75"/>
    </row>
    <row r="939" spans="1:25" x14ac:dyDescent="0.25">
      <c r="A939" s="75"/>
      <c r="C939" s="81"/>
      <c r="D939" s="81"/>
      <c r="I939" s="81"/>
      <c r="K939" s="82"/>
      <c r="L939" s="123"/>
      <c r="M939" s="3"/>
      <c r="N939" s="3"/>
      <c r="O939" s="3"/>
      <c r="P939" s="125"/>
      <c r="Q939" s="125"/>
      <c r="R939" s="127"/>
      <c r="S939" s="123"/>
      <c r="T939" s="3"/>
      <c r="W939" s="86"/>
      <c r="Y939" s="75"/>
    </row>
    <row r="940" spans="1:25" x14ac:dyDescent="0.25">
      <c r="A940" s="75"/>
      <c r="C940" s="81"/>
      <c r="D940" s="81"/>
      <c r="I940" s="81"/>
      <c r="K940" s="82"/>
      <c r="L940" s="123"/>
      <c r="M940" s="3"/>
      <c r="N940" s="3"/>
      <c r="O940" s="3"/>
      <c r="P940" s="125"/>
      <c r="Q940" s="125"/>
      <c r="R940" s="127"/>
      <c r="S940" s="123"/>
      <c r="T940" s="3"/>
      <c r="W940" s="86"/>
      <c r="Y940" s="75"/>
    </row>
    <row r="941" spans="1:25" x14ac:dyDescent="0.25">
      <c r="A941" s="75"/>
      <c r="C941" s="81"/>
      <c r="D941" s="81"/>
      <c r="I941" s="81"/>
      <c r="K941" s="82"/>
      <c r="L941" s="123"/>
      <c r="M941" s="3"/>
      <c r="N941" s="3"/>
      <c r="O941" s="3"/>
      <c r="P941" s="125"/>
      <c r="Q941" s="125"/>
      <c r="R941" s="127"/>
      <c r="S941" s="123"/>
      <c r="T941" s="3"/>
      <c r="W941" s="86"/>
      <c r="Y941" s="75"/>
    </row>
    <row r="942" spans="1:25" x14ac:dyDescent="0.25">
      <c r="A942" s="75"/>
      <c r="C942" s="81"/>
      <c r="D942" s="81"/>
      <c r="I942" s="81"/>
      <c r="K942" s="82"/>
      <c r="L942" s="123"/>
      <c r="M942" s="3"/>
      <c r="N942" s="3"/>
      <c r="O942" s="3"/>
      <c r="P942" s="125"/>
      <c r="Q942" s="125"/>
      <c r="R942" s="127"/>
      <c r="S942" s="123"/>
      <c r="T942" s="3"/>
      <c r="W942" s="86"/>
      <c r="Y942" s="75"/>
    </row>
    <row r="943" spans="1:25" x14ac:dyDescent="0.25">
      <c r="A943" s="75"/>
      <c r="C943" s="81"/>
      <c r="D943" s="81"/>
      <c r="I943" s="81"/>
      <c r="K943" s="82"/>
      <c r="L943" s="123"/>
      <c r="M943" s="3"/>
      <c r="N943" s="3"/>
      <c r="O943" s="3"/>
      <c r="P943" s="125"/>
      <c r="Q943" s="125"/>
      <c r="R943" s="127"/>
      <c r="S943" s="123"/>
      <c r="T943" s="3"/>
      <c r="W943" s="86"/>
      <c r="Y943" s="75"/>
    </row>
    <row r="944" spans="1:25" x14ac:dyDescent="0.25">
      <c r="A944" s="75"/>
      <c r="C944" s="81"/>
      <c r="D944" s="81"/>
      <c r="I944" s="81"/>
      <c r="K944" s="82"/>
      <c r="L944" s="123"/>
      <c r="M944" s="3"/>
      <c r="N944" s="3"/>
      <c r="O944" s="3"/>
      <c r="P944" s="125"/>
      <c r="Q944" s="125"/>
      <c r="R944" s="127"/>
      <c r="S944" s="123"/>
      <c r="T944" s="3"/>
      <c r="W944" s="86"/>
      <c r="Y944" s="75"/>
    </row>
    <row r="945" spans="1:25" x14ac:dyDescent="0.25">
      <c r="A945" s="75"/>
      <c r="C945" s="81"/>
      <c r="D945" s="81"/>
      <c r="I945" s="81"/>
      <c r="K945" s="82"/>
      <c r="L945" s="123"/>
      <c r="M945" s="3"/>
      <c r="N945" s="3"/>
      <c r="O945" s="3"/>
      <c r="P945" s="125"/>
      <c r="Q945" s="125"/>
      <c r="R945" s="127"/>
      <c r="S945" s="123"/>
      <c r="T945" s="3"/>
      <c r="W945" s="86"/>
      <c r="Y945" s="75"/>
    </row>
    <row r="946" spans="1:25" x14ac:dyDescent="0.25">
      <c r="A946" s="75"/>
      <c r="C946" s="81"/>
      <c r="D946" s="81"/>
      <c r="I946" s="81"/>
      <c r="K946" s="82"/>
      <c r="L946" s="123"/>
      <c r="M946" s="3"/>
      <c r="N946" s="3"/>
      <c r="O946" s="3"/>
      <c r="P946" s="125"/>
      <c r="Q946" s="125"/>
      <c r="R946" s="127"/>
      <c r="S946" s="123"/>
      <c r="T946" s="3"/>
      <c r="W946" s="86"/>
      <c r="Y946" s="75"/>
    </row>
    <row r="947" spans="1:25" x14ac:dyDescent="0.25">
      <c r="A947" s="75"/>
      <c r="C947" s="81"/>
      <c r="D947" s="81"/>
      <c r="I947" s="81"/>
      <c r="K947" s="82"/>
      <c r="L947" s="123"/>
      <c r="M947" s="3"/>
      <c r="N947" s="3"/>
      <c r="O947" s="3"/>
      <c r="P947" s="125"/>
      <c r="Q947" s="125"/>
      <c r="R947" s="127"/>
      <c r="S947" s="123"/>
      <c r="T947" s="3"/>
      <c r="W947" s="86"/>
      <c r="Y947" s="75"/>
    </row>
    <row r="948" spans="1:25" x14ac:dyDescent="0.25">
      <c r="A948" s="75"/>
      <c r="C948" s="81"/>
      <c r="D948" s="81"/>
      <c r="I948" s="81"/>
      <c r="K948" s="82"/>
      <c r="L948" s="123"/>
      <c r="M948" s="3"/>
      <c r="N948" s="3"/>
      <c r="O948" s="3"/>
      <c r="P948" s="125"/>
      <c r="Q948" s="125"/>
      <c r="R948" s="127"/>
      <c r="S948" s="123"/>
      <c r="T948" s="3"/>
      <c r="W948" s="86"/>
      <c r="Y948" s="75"/>
    </row>
    <row r="949" spans="1:25" x14ac:dyDescent="0.25">
      <c r="A949" s="75"/>
      <c r="C949" s="81"/>
      <c r="D949" s="81"/>
      <c r="I949" s="81"/>
      <c r="K949" s="82"/>
      <c r="L949" s="123"/>
      <c r="M949" s="3"/>
      <c r="N949" s="3"/>
      <c r="O949" s="3"/>
      <c r="P949" s="125"/>
      <c r="Q949" s="125"/>
      <c r="R949" s="127"/>
      <c r="S949" s="123"/>
      <c r="T949" s="3"/>
      <c r="W949" s="86"/>
      <c r="Y949" s="75"/>
    </row>
    <row r="950" spans="1:25" x14ac:dyDescent="0.25">
      <c r="A950" s="75"/>
      <c r="C950" s="81"/>
      <c r="D950" s="81"/>
      <c r="I950" s="81"/>
      <c r="K950" s="82"/>
      <c r="L950" s="123"/>
      <c r="M950" s="3"/>
      <c r="N950" s="3"/>
      <c r="O950" s="3"/>
      <c r="P950" s="125"/>
      <c r="Q950" s="125"/>
      <c r="R950" s="127"/>
      <c r="S950" s="123"/>
      <c r="T950" s="3"/>
      <c r="W950" s="86"/>
      <c r="Y950" s="75"/>
    </row>
    <row r="951" spans="1:25" x14ac:dyDescent="0.25">
      <c r="A951" s="75"/>
      <c r="C951" s="81"/>
      <c r="D951" s="81"/>
      <c r="I951" s="81"/>
      <c r="K951" s="82"/>
      <c r="L951" s="123"/>
      <c r="M951" s="3"/>
      <c r="N951" s="3"/>
      <c r="O951" s="3"/>
      <c r="P951" s="125"/>
      <c r="Q951" s="125"/>
      <c r="R951" s="127"/>
      <c r="S951" s="123"/>
      <c r="T951" s="3"/>
      <c r="W951" s="86"/>
      <c r="Y951" s="75"/>
    </row>
    <row r="952" spans="1:25" x14ac:dyDescent="0.25">
      <c r="A952" s="75"/>
      <c r="C952" s="81"/>
      <c r="D952" s="81"/>
      <c r="I952" s="81"/>
      <c r="K952" s="82"/>
      <c r="L952" s="123"/>
      <c r="M952" s="3"/>
      <c r="N952" s="3"/>
      <c r="O952" s="3"/>
      <c r="P952" s="125"/>
      <c r="Q952" s="125"/>
      <c r="R952" s="127"/>
      <c r="S952" s="123"/>
      <c r="T952" s="3"/>
      <c r="W952" s="86"/>
      <c r="Y952" s="75"/>
    </row>
    <row r="953" spans="1:25" x14ac:dyDescent="0.25">
      <c r="A953" s="75"/>
      <c r="C953" s="81"/>
      <c r="D953" s="81"/>
      <c r="I953" s="81"/>
      <c r="K953" s="82"/>
      <c r="L953" s="123"/>
      <c r="M953" s="3"/>
      <c r="N953" s="3"/>
      <c r="O953" s="3"/>
      <c r="P953" s="125"/>
      <c r="Q953" s="125"/>
      <c r="R953" s="127"/>
      <c r="S953" s="123"/>
      <c r="T953" s="3"/>
      <c r="W953" s="86"/>
      <c r="Y953" s="75"/>
    </row>
    <row r="954" spans="1:25" x14ac:dyDescent="0.25">
      <c r="A954" s="75"/>
      <c r="C954" s="81"/>
      <c r="D954" s="81"/>
      <c r="I954" s="81"/>
      <c r="K954" s="82"/>
      <c r="L954" s="123"/>
      <c r="M954" s="3"/>
      <c r="N954" s="3"/>
      <c r="O954" s="3"/>
      <c r="P954" s="125"/>
      <c r="Q954" s="125"/>
      <c r="R954" s="127"/>
      <c r="S954" s="123"/>
      <c r="T954" s="3"/>
      <c r="W954" s="86"/>
      <c r="Y954" s="75"/>
    </row>
    <row r="955" spans="1:25" x14ac:dyDescent="0.25">
      <c r="A955" s="75"/>
      <c r="C955" s="81"/>
      <c r="D955" s="81"/>
      <c r="I955" s="81"/>
      <c r="K955" s="82"/>
      <c r="L955" s="123"/>
      <c r="M955" s="3"/>
      <c r="N955" s="3"/>
      <c r="O955" s="3"/>
      <c r="P955" s="125"/>
      <c r="Q955" s="125"/>
      <c r="R955" s="127"/>
      <c r="S955" s="123"/>
      <c r="T955" s="3"/>
      <c r="W955" s="86"/>
      <c r="Y955" s="75"/>
    </row>
    <row r="956" spans="1:25" x14ac:dyDescent="0.25">
      <c r="A956" s="75"/>
      <c r="C956" s="81"/>
      <c r="D956" s="81"/>
      <c r="I956" s="81"/>
      <c r="K956" s="82"/>
      <c r="L956" s="123"/>
      <c r="M956" s="3"/>
      <c r="N956" s="3"/>
      <c r="O956" s="3"/>
      <c r="P956" s="125"/>
      <c r="Q956" s="125"/>
      <c r="R956" s="127"/>
      <c r="S956" s="123"/>
      <c r="T956" s="3"/>
      <c r="W956" s="86"/>
      <c r="Y956" s="75"/>
    </row>
    <row r="957" spans="1:25" x14ac:dyDescent="0.25">
      <c r="A957" s="75"/>
      <c r="C957" s="81"/>
      <c r="D957" s="81"/>
      <c r="I957" s="81"/>
      <c r="K957" s="82"/>
      <c r="L957" s="123"/>
      <c r="M957" s="3"/>
      <c r="N957" s="3"/>
      <c r="O957" s="3"/>
      <c r="P957" s="125"/>
      <c r="Q957" s="125"/>
      <c r="R957" s="127"/>
      <c r="S957" s="123"/>
      <c r="T957" s="3"/>
      <c r="W957" s="86"/>
      <c r="Y957" s="75"/>
    </row>
    <row r="958" spans="1:25" x14ac:dyDescent="0.25">
      <c r="A958" s="75"/>
      <c r="C958" s="81"/>
      <c r="D958" s="81"/>
      <c r="I958" s="81"/>
      <c r="K958" s="82"/>
      <c r="L958" s="123"/>
      <c r="M958" s="3"/>
      <c r="N958" s="3"/>
      <c r="O958" s="3"/>
      <c r="P958" s="125"/>
      <c r="Q958" s="125"/>
      <c r="R958" s="127"/>
      <c r="S958" s="123"/>
      <c r="T958" s="3"/>
      <c r="W958" s="86"/>
      <c r="Y958" s="75"/>
    </row>
    <row r="959" spans="1:25" x14ac:dyDescent="0.25">
      <c r="A959" s="75"/>
      <c r="C959" s="81"/>
      <c r="D959" s="81"/>
      <c r="I959" s="81"/>
      <c r="K959" s="82"/>
      <c r="L959" s="123"/>
      <c r="M959" s="3"/>
      <c r="N959" s="3"/>
      <c r="O959" s="3"/>
      <c r="P959" s="125"/>
      <c r="Q959" s="125"/>
      <c r="R959" s="127"/>
      <c r="S959" s="123"/>
      <c r="T959" s="3"/>
      <c r="W959" s="86"/>
      <c r="Y959" s="75"/>
    </row>
    <row r="960" spans="1:25" x14ac:dyDescent="0.25">
      <c r="A960" s="75"/>
      <c r="C960" s="81"/>
      <c r="D960" s="81"/>
      <c r="I960" s="81"/>
      <c r="K960" s="82"/>
      <c r="L960" s="123"/>
      <c r="M960" s="3"/>
      <c r="N960" s="3"/>
      <c r="O960" s="3"/>
      <c r="P960" s="125"/>
      <c r="Q960" s="125"/>
      <c r="R960" s="127"/>
      <c r="S960" s="123"/>
      <c r="T960" s="3"/>
      <c r="W960" s="86"/>
      <c r="Y960" s="75"/>
    </row>
    <row r="961" spans="1:25" x14ac:dyDescent="0.25">
      <c r="A961" s="75"/>
      <c r="C961" s="81"/>
      <c r="D961" s="81"/>
      <c r="I961" s="81"/>
      <c r="K961" s="82"/>
      <c r="L961" s="123"/>
      <c r="M961" s="3"/>
      <c r="N961" s="3"/>
      <c r="O961" s="3"/>
      <c r="P961" s="125"/>
      <c r="Q961" s="125"/>
      <c r="R961" s="127"/>
      <c r="S961" s="123"/>
      <c r="T961" s="3"/>
      <c r="W961" s="86"/>
      <c r="Y961" s="75"/>
    </row>
    <row r="962" spans="1:25" x14ac:dyDescent="0.25">
      <c r="A962" s="75"/>
      <c r="C962" s="81"/>
      <c r="D962" s="81"/>
      <c r="I962" s="81"/>
      <c r="K962" s="82"/>
      <c r="L962" s="123"/>
      <c r="M962" s="3"/>
      <c r="N962" s="3"/>
      <c r="O962" s="3"/>
      <c r="P962" s="125"/>
      <c r="Q962" s="125"/>
      <c r="R962" s="127"/>
      <c r="S962" s="123"/>
      <c r="T962" s="3"/>
      <c r="W962" s="86"/>
      <c r="Y962" s="75"/>
    </row>
    <row r="963" spans="1:25" x14ac:dyDescent="0.25">
      <c r="A963" s="75"/>
      <c r="C963" s="81"/>
      <c r="D963" s="81"/>
      <c r="I963" s="81"/>
      <c r="K963" s="82"/>
      <c r="L963" s="123"/>
      <c r="M963" s="3"/>
      <c r="N963" s="3"/>
      <c r="O963" s="3"/>
      <c r="P963" s="125"/>
      <c r="Q963" s="125"/>
      <c r="R963" s="127"/>
      <c r="S963" s="123"/>
      <c r="T963" s="3"/>
      <c r="W963" s="86"/>
      <c r="Y963" s="75"/>
    </row>
    <row r="964" spans="1:25" x14ac:dyDescent="0.25">
      <c r="A964" s="75"/>
      <c r="C964" s="81"/>
      <c r="D964" s="81"/>
      <c r="I964" s="81"/>
      <c r="K964" s="82"/>
      <c r="L964" s="123"/>
      <c r="M964" s="3"/>
      <c r="N964" s="3"/>
      <c r="O964" s="3"/>
      <c r="P964" s="125"/>
      <c r="Q964" s="125"/>
      <c r="R964" s="127"/>
      <c r="S964" s="123"/>
      <c r="T964" s="3"/>
      <c r="W964" s="86"/>
      <c r="Y964" s="75"/>
    </row>
    <row r="965" spans="1:25" x14ac:dyDescent="0.25">
      <c r="A965" s="75"/>
      <c r="C965" s="81"/>
      <c r="D965" s="81"/>
      <c r="I965" s="81"/>
      <c r="K965" s="82"/>
      <c r="L965" s="123"/>
      <c r="M965" s="3"/>
      <c r="N965" s="3"/>
      <c r="O965" s="3"/>
      <c r="P965" s="125"/>
      <c r="Q965" s="125"/>
      <c r="R965" s="127"/>
      <c r="S965" s="123"/>
      <c r="T965" s="3"/>
      <c r="W965" s="86"/>
      <c r="Y965" s="75"/>
    </row>
    <row r="966" spans="1:25" x14ac:dyDescent="0.25">
      <c r="A966" s="75"/>
      <c r="C966" s="81"/>
      <c r="D966" s="81"/>
      <c r="I966" s="81"/>
      <c r="K966" s="82"/>
      <c r="L966" s="123"/>
      <c r="M966" s="3"/>
      <c r="N966" s="3"/>
      <c r="O966" s="3"/>
      <c r="P966" s="125"/>
      <c r="Q966" s="125"/>
      <c r="R966" s="127"/>
      <c r="S966" s="123"/>
      <c r="T966" s="3"/>
      <c r="W966" s="86"/>
      <c r="Y966" s="75"/>
    </row>
    <row r="967" spans="1:25" x14ac:dyDescent="0.25">
      <c r="A967" s="75"/>
      <c r="C967" s="81"/>
      <c r="D967" s="81"/>
      <c r="I967" s="81"/>
      <c r="K967" s="82"/>
      <c r="L967" s="123"/>
      <c r="M967" s="3"/>
      <c r="N967" s="3"/>
      <c r="O967" s="3"/>
      <c r="P967" s="125"/>
      <c r="Q967" s="125"/>
      <c r="R967" s="127"/>
      <c r="S967" s="123"/>
      <c r="T967" s="3"/>
      <c r="W967" s="86"/>
      <c r="Y967" s="75"/>
    </row>
    <row r="968" spans="1:25" x14ac:dyDescent="0.25">
      <c r="A968" s="75"/>
      <c r="C968" s="81"/>
      <c r="D968" s="81"/>
      <c r="I968" s="81"/>
      <c r="K968" s="82"/>
      <c r="L968" s="123"/>
      <c r="M968" s="3"/>
      <c r="N968" s="3"/>
      <c r="O968" s="3"/>
      <c r="P968" s="125"/>
      <c r="Q968" s="125"/>
      <c r="R968" s="127"/>
      <c r="S968" s="123"/>
      <c r="T968" s="3"/>
      <c r="W968" s="86"/>
      <c r="Y968" s="75"/>
    </row>
    <row r="969" spans="1:25" x14ac:dyDescent="0.25">
      <c r="A969" s="75"/>
      <c r="C969" s="81"/>
      <c r="D969" s="81"/>
      <c r="I969" s="81"/>
      <c r="K969" s="82"/>
      <c r="L969" s="123"/>
      <c r="M969" s="3"/>
      <c r="N969" s="3"/>
      <c r="O969" s="3"/>
      <c r="P969" s="125"/>
      <c r="Q969" s="125"/>
      <c r="R969" s="127"/>
      <c r="S969" s="123"/>
      <c r="T969" s="3"/>
      <c r="W969" s="86"/>
      <c r="Y969" s="75"/>
    </row>
    <row r="970" spans="1:25" x14ac:dyDescent="0.25">
      <c r="A970" s="75"/>
      <c r="C970" s="81"/>
      <c r="D970" s="81"/>
      <c r="I970" s="81"/>
      <c r="K970" s="82"/>
      <c r="L970" s="123"/>
      <c r="M970" s="3"/>
      <c r="N970" s="3"/>
      <c r="O970" s="3"/>
      <c r="P970" s="125"/>
      <c r="Q970" s="125"/>
      <c r="R970" s="127"/>
      <c r="S970" s="123"/>
      <c r="T970" s="3"/>
      <c r="W970" s="86"/>
      <c r="Y970" s="75"/>
    </row>
    <row r="971" spans="1:25" x14ac:dyDescent="0.25">
      <c r="A971" s="75"/>
      <c r="C971" s="81"/>
      <c r="D971" s="81"/>
      <c r="I971" s="81"/>
      <c r="K971" s="82"/>
      <c r="L971" s="123"/>
      <c r="M971" s="3"/>
      <c r="N971" s="3"/>
      <c r="O971" s="3"/>
      <c r="P971" s="125"/>
      <c r="Q971" s="125"/>
      <c r="R971" s="127"/>
      <c r="S971" s="123"/>
      <c r="T971" s="3"/>
      <c r="W971" s="86"/>
      <c r="Y971" s="75"/>
    </row>
    <row r="972" spans="1:25" x14ac:dyDescent="0.25">
      <c r="A972" s="75"/>
      <c r="C972" s="81"/>
      <c r="D972" s="81"/>
      <c r="I972" s="81"/>
      <c r="K972" s="82"/>
      <c r="L972" s="123"/>
      <c r="M972" s="3"/>
      <c r="N972" s="3"/>
      <c r="O972" s="3"/>
      <c r="P972" s="125"/>
      <c r="Q972" s="125"/>
      <c r="R972" s="127"/>
      <c r="S972" s="123"/>
      <c r="T972" s="3"/>
      <c r="W972" s="86"/>
      <c r="Y972" s="75"/>
    </row>
    <row r="973" spans="1:25" x14ac:dyDescent="0.25">
      <c r="A973" s="75"/>
      <c r="C973" s="81"/>
      <c r="D973" s="81"/>
      <c r="I973" s="81"/>
      <c r="K973" s="82"/>
      <c r="L973" s="123"/>
      <c r="M973" s="3"/>
      <c r="N973" s="3"/>
      <c r="O973" s="3"/>
      <c r="P973" s="125"/>
      <c r="Q973" s="125"/>
      <c r="R973" s="127"/>
      <c r="S973" s="123"/>
      <c r="T973" s="3"/>
      <c r="W973" s="86"/>
      <c r="Y973" s="75"/>
    </row>
    <row r="974" spans="1:25" x14ac:dyDescent="0.25">
      <c r="A974" s="75"/>
      <c r="C974" s="81"/>
      <c r="D974" s="81"/>
      <c r="I974" s="81"/>
      <c r="K974" s="82"/>
      <c r="L974" s="123"/>
      <c r="M974" s="3"/>
      <c r="N974" s="3"/>
      <c r="O974" s="3"/>
      <c r="P974" s="125"/>
      <c r="Q974" s="125"/>
      <c r="R974" s="127"/>
      <c r="S974" s="123"/>
      <c r="T974" s="3"/>
      <c r="W974" s="86"/>
      <c r="Y974" s="75"/>
    </row>
    <row r="975" spans="1:25" x14ac:dyDescent="0.25">
      <c r="A975" s="75"/>
      <c r="C975" s="81"/>
      <c r="D975" s="81"/>
      <c r="I975" s="81"/>
      <c r="K975" s="82"/>
      <c r="L975" s="123"/>
      <c r="M975" s="3"/>
      <c r="N975" s="3"/>
      <c r="O975" s="3"/>
      <c r="P975" s="125"/>
      <c r="Q975" s="125"/>
      <c r="R975" s="127"/>
      <c r="S975" s="123"/>
      <c r="T975" s="3"/>
      <c r="W975" s="86"/>
      <c r="Y975" s="75"/>
    </row>
    <row r="976" spans="1:25" x14ac:dyDescent="0.25">
      <c r="A976" s="75"/>
      <c r="C976" s="81"/>
      <c r="D976" s="81"/>
      <c r="I976" s="81"/>
      <c r="K976" s="82"/>
      <c r="L976" s="123"/>
      <c r="M976" s="3"/>
      <c r="N976" s="3"/>
      <c r="O976" s="3"/>
      <c r="P976" s="125"/>
      <c r="Q976" s="125"/>
      <c r="R976" s="127"/>
      <c r="S976" s="123"/>
      <c r="T976" s="3"/>
      <c r="W976" s="86"/>
      <c r="Y976" s="75"/>
    </row>
    <row r="977" spans="1:25" x14ac:dyDescent="0.25">
      <c r="A977" s="75"/>
      <c r="C977" s="81"/>
      <c r="D977" s="81"/>
      <c r="I977" s="81"/>
      <c r="K977" s="82"/>
      <c r="L977" s="123"/>
      <c r="M977" s="3"/>
      <c r="N977" s="3"/>
      <c r="O977" s="3"/>
      <c r="P977" s="125"/>
      <c r="Q977" s="125"/>
      <c r="R977" s="127"/>
      <c r="S977" s="123"/>
      <c r="T977" s="3"/>
      <c r="W977" s="86"/>
      <c r="Y977" s="75"/>
    </row>
    <row r="978" spans="1:25" x14ac:dyDescent="0.25">
      <c r="A978" s="75"/>
      <c r="C978" s="81"/>
      <c r="D978" s="81"/>
      <c r="I978" s="81"/>
      <c r="K978" s="82"/>
      <c r="L978" s="123"/>
      <c r="M978" s="3"/>
      <c r="N978" s="3"/>
      <c r="O978" s="3"/>
      <c r="P978" s="125"/>
      <c r="Q978" s="125"/>
      <c r="R978" s="127"/>
      <c r="S978" s="123"/>
      <c r="T978" s="3"/>
      <c r="W978" s="86"/>
      <c r="Y978" s="75"/>
    </row>
    <row r="979" spans="1:25" x14ac:dyDescent="0.25">
      <c r="A979" s="75"/>
      <c r="C979" s="81"/>
      <c r="D979" s="81"/>
      <c r="I979" s="81"/>
      <c r="K979" s="82"/>
      <c r="L979" s="123"/>
      <c r="M979" s="3"/>
      <c r="N979" s="3"/>
      <c r="O979" s="3"/>
      <c r="P979" s="125"/>
      <c r="Q979" s="125"/>
      <c r="R979" s="127"/>
      <c r="S979" s="123"/>
      <c r="T979" s="3"/>
      <c r="W979" s="86"/>
      <c r="Y979" s="75"/>
    </row>
    <row r="980" spans="1:25" x14ac:dyDescent="0.25">
      <c r="A980" s="75"/>
      <c r="C980" s="81"/>
      <c r="D980" s="81"/>
      <c r="I980" s="81"/>
      <c r="K980" s="82"/>
      <c r="L980" s="123"/>
      <c r="M980" s="3"/>
      <c r="N980" s="3"/>
      <c r="O980" s="3"/>
      <c r="P980" s="125"/>
      <c r="Q980" s="125"/>
      <c r="R980" s="127"/>
      <c r="S980" s="123"/>
      <c r="T980" s="3"/>
      <c r="W980" s="86"/>
      <c r="Y980" s="75"/>
    </row>
    <row r="981" spans="1:25" x14ac:dyDescent="0.25">
      <c r="A981" s="75"/>
      <c r="C981" s="81"/>
      <c r="D981" s="81"/>
      <c r="I981" s="81"/>
      <c r="K981" s="82"/>
      <c r="L981" s="123"/>
      <c r="M981" s="3"/>
      <c r="N981" s="3"/>
      <c r="O981" s="3"/>
      <c r="P981" s="125"/>
      <c r="Q981" s="125"/>
      <c r="R981" s="127"/>
      <c r="S981" s="123"/>
      <c r="T981" s="3"/>
      <c r="W981" s="86"/>
      <c r="Y981" s="75"/>
    </row>
    <row r="982" spans="1:25" x14ac:dyDescent="0.25">
      <c r="A982" s="75"/>
      <c r="C982" s="81"/>
      <c r="D982" s="81"/>
      <c r="I982" s="81"/>
      <c r="K982" s="82"/>
      <c r="L982" s="123"/>
      <c r="M982" s="3"/>
      <c r="N982" s="3"/>
      <c r="O982" s="3"/>
      <c r="P982" s="125"/>
      <c r="Q982" s="125"/>
      <c r="R982" s="127"/>
      <c r="S982" s="123"/>
      <c r="T982" s="3"/>
      <c r="W982" s="86"/>
      <c r="Y982" s="75"/>
    </row>
    <row r="983" spans="1:25" x14ac:dyDescent="0.25">
      <c r="A983" s="75"/>
      <c r="C983" s="81"/>
      <c r="D983" s="81"/>
      <c r="I983" s="81"/>
      <c r="K983" s="82"/>
      <c r="L983" s="123"/>
      <c r="M983" s="3"/>
      <c r="N983" s="3"/>
      <c r="O983" s="3"/>
      <c r="P983" s="125"/>
      <c r="Q983" s="125"/>
      <c r="R983" s="127"/>
      <c r="S983" s="123"/>
      <c r="T983" s="3"/>
      <c r="W983" s="86"/>
      <c r="Y983" s="75"/>
    </row>
    <row r="984" spans="1:25" x14ac:dyDescent="0.25">
      <c r="A984" s="75"/>
      <c r="C984" s="81"/>
      <c r="D984" s="81"/>
      <c r="I984" s="81"/>
      <c r="K984" s="82"/>
      <c r="L984" s="123"/>
      <c r="M984" s="3"/>
      <c r="N984" s="3"/>
      <c r="O984" s="3"/>
      <c r="P984" s="125"/>
      <c r="Q984" s="125"/>
      <c r="R984" s="127"/>
      <c r="S984" s="123"/>
      <c r="T984" s="3"/>
      <c r="W984" s="86"/>
      <c r="Y984" s="75"/>
    </row>
    <row r="985" spans="1:25" x14ac:dyDescent="0.25">
      <c r="A985" s="75"/>
      <c r="C985" s="81"/>
      <c r="D985" s="81"/>
      <c r="I985" s="81"/>
      <c r="K985" s="82"/>
      <c r="L985" s="123"/>
      <c r="M985" s="3"/>
      <c r="N985" s="3"/>
      <c r="O985" s="3"/>
      <c r="P985" s="125"/>
      <c r="Q985" s="125"/>
      <c r="R985" s="127"/>
      <c r="S985" s="123"/>
      <c r="T985" s="3"/>
      <c r="W985" s="86"/>
      <c r="Y985" s="75"/>
    </row>
    <row r="986" spans="1:25" x14ac:dyDescent="0.25">
      <c r="A986" s="75"/>
      <c r="C986" s="81"/>
      <c r="D986" s="81"/>
      <c r="I986" s="81"/>
      <c r="K986" s="82"/>
      <c r="L986" s="123"/>
      <c r="M986" s="3"/>
      <c r="N986" s="3"/>
      <c r="O986" s="3"/>
      <c r="P986" s="125"/>
      <c r="Q986" s="125"/>
      <c r="R986" s="127"/>
      <c r="S986" s="123"/>
      <c r="T986" s="3"/>
      <c r="W986" s="86"/>
      <c r="Y986" s="75"/>
    </row>
    <row r="987" spans="1:25" x14ac:dyDescent="0.25">
      <c r="A987" s="75"/>
      <c r="C987" s="81"/>
      <c r="D987" s="81"/>
      <c r="I987" s="81"/>
      <c r="K987" s="82"/>
      <c r="L987" s="123"/>
      <c r="M987" s="3"/>
      <c r="N987" s="3"/>
      <c r="O987" s="3"/>
      <c r="P987" s="125"/>
      <c r="Q987" s="125"/>
      <c r="R987" s="127"/>
      <c r="S987" s="123"/>
      <c r="T987" s="3"/>
      <c r="W987" s="86"/>
      <c r="Y987" s="75"/>
    </row>
    <row r="988" spans="1:25" x14ac:dyDescent="0.25">
      <c r="A988" s="75"/>
      <c r="C988" s="81"/>
      <c r="D988" s="81"/>
      <c r="I988" s="81"/>
      <c r="K988" s="82"/>
      <c r="L988" s="123"/>
      <c r="M988" s="3"/>
      <c r="N988" s="3"/>
      <c r="O988" s="3"/>
      <c r="P988" s="125"/>
      <c r="Q988" s="125"/>
      <c r="R988" s="127"/>
      <c r="S988" s="123"/>
      <c r="T988" s="3"/>
      <c r="W988" s="86"/>
      <c r="Y988" s="75"/>
    </row>
    <row r="989" spans="1:25" x14ac:dyDescent="0.25">
      <c r="A989" s="75"/>
      <c r="C989" s="81"/>
      <c r="D989" s="81"/>
      <c r="I989" s="81"/>
      <c r="K989" s="82"/>
      <c r="L989" s="123"/>
      <c r="M989" s="3"/>
      <c r="N989" s="3"/>
      <c r="O989" s="3"/>
      <c r="P989" s="125"/>
      <c r="Q989" s="125"/>
      <c r="R989" s="127"/>
      <c r="S989" s="123"/>
      <c r="T989" s="3"/>
      <c r="W989" s="86"/>
      <c r="Y989" s="75"/>
    </row>
    <row r="990" spans="1:25" x14ac:dyDescent="0.25">
      <c r="A990" s="75"/>
      <c r="C990" s="81"/>
      <c r="D990" s="81"/>
      <c r="I990" s="81"/>
      <c r="K990" s="82"/>
      <c r="L990" s="123"/>
      <c r="M990" s="3"/>
      <c r="N990" s="3"/>
      <c r="O990" s="3"/>
      <c r="P990" s="125"/>
      <c r="Q990" s="125"/>
      <c r="R990" s="127"/>
      <c r="S990" s="123"/>
      <c r="T990" s="3"/>
      <c r="W990" s="86"/>
      <c r="Y990" s="75"/>
    </row>
    <row r="991" spans="1:25" x14ac:dyDescent="0.25">
      <c r="A991" s="75"/>
      <c r="C991" s="81"/>
      <c r="D991" s="81"/>
      <c r="I991" s="81"/>
      <c r="K991" s="82"/>
      <c r="L991" s="123"/>
      <c r="M991" s="3"/>
      <c r="N991" s="3"/>
      <c r="O991" s="3"/>
      <c r="P991" s="125"/>
      <c r="Q991" s="125"/>
      <c r="R991" s="127"/>
      <c r="S991" s="123"/>
      <c r="T991" s="3"/>
      <c r="W991" s="86"/>
      <c r="Y991" s="75"/>
    </row>
    <row r="992" spans="1:25" x14ac:dyDescent="0.25">
      <c r="A992" s="75"/>
      <c r="C992" s="81"/>
      <c r="D992" s="81"/>
      <c r="I992" s="81"/>
      <c r="K992" s="82"/>
      <c r="L992" s="123"/>
      <c r="M992" s="3"/>
      <c r="N992" s="3"/>
      <c r="O992" s="3"/>
      <c r="P992" s="125"/>
      <c r="Q992" s="125"/>
      <c r="R992" s="127"/>
      <c r="S992" s="123"/>
      <c r="T992" s="3"/>
      <c r="W992" s="86"/>
      <c r="Y992" s="75"/>
    </row>
    <row r="993" spans="1:25" x14ac:dyDescent="0.25">
      <c r="A993" s="75"/>
      <c r="C993" s="81"/>
      <c r="D993" s="81"/>
      <c r="I993" s="81"/>
      <c r="K993" s="82"/>
      <c r="L993" s="123"/>
      <c r="M993" s="3"/>
      <c r="N993" s="3"/>
      <c r="O993" s="3"/>
      <c r="P993" s="125"/>
      <c r="Q993" s="125"/>
      <c r="R993" s="127"/>
      <c r="S993" s="123"/>
      <c r="T993" s="3"/>
      <c r="W993" s="86"/>
      <c r="Y993" s="75"/>
    </row>
    <row r="994" spans="1:25" x14ac:dyDescent="0.25">
      <c r="A994" s="75"/>
      <c r="C994" s="81"/>
      <c r="D994" s="81"/>
      <c r="I994" s="81"/>
      <c r="K994" s="82"/>
      <c r="L994" s="123"/>
      <c r="M994" s="3"/>
      <c r="N994" s="3"/>
      <c r="O994" s="3"/>
      <c r="P994" s="125"/>
      <c r="Q994" s="125"/>
      <c r="R994" s="127"/>
      <c r="S994" s="123"/>
      <c r="T994" s="3"/>
      <c r="W994" s="86"/>
      <c r="Y994" s="75"/>
    </row>
    <row r="995" spans="1:25" x14ac:dyDescent="0.25">
      <c r="A995" s="75"/>
      <c r="C995" s="81"/>
      <c r="D995" s="81"/>
      <c r="I995" s="81"/>
      <c r="K995" s="82"/>
      <c r="L995" s="123"/>
      <c r="M995" s="3"/>
      <c r="N995" s="3"/>
      <c r="O995" s="3"/>
      <c r="P995" s="125"/>
      <c r="Q995" s="125"/>
      <c r="R995" s="127"/>
      <c r="S995" s="123"/>
      <c r="T995" s="3"/>
      <c r="W995" s="86"/>
      <c r="Y995" s="75"/>
    </row>
    <row r="996" spans="1:25" x14ac:dyDescent="0.25">
      <c r="A996" s="75"/>
      <c r="C996" s="81"/>
      <c r="D996" s="81"/>
      <c r="I996" s="81"/>
      <c r="K996" s="82"/>
      <c r="L996" s="123"/>
      <c r="M996" s="3"/>
      <c r="N996" s="3"/>
      <c r="O996" s="3"/>
      <c r="P996" s="125"/>
      <c r="Q996" s="125"/>
      <c r="R996" s="127"/>
      <c r="S996" s="123"/>
      <c r="T996" s="3"/>
      <c r="W996" s="86"/>
      <c r="Y996" s="75"/>
    </row>
    <row r="997" spans="1:25" x14ac:dyDescent="0.25">
      <c r="A997" s="75"/>
      <c r="C997" s="81"/>
      <c r="D997" s="81"/>
      <c r="I997" s="81"/>
      <c r="K997" s="82"/>
      <c r="L997" s="123"/>
      <c r="M997" s="3"/>
      <c r="N997" s="3"/>
      <c r="O997" s="3"/>
      <c r="P997" s="125"/>
      <c r="Q997" s="125"/>
      <c r="R997" s="127"/>
      <c r="S997" s="123"/>
      <c r="T997" s="3"/>
      <c r="W997" s="86"/>
      <c r="Y997" s="75"/>
    </row>
    <row r="998" spans="1:25" x14ac:dyDescent="0.25">
      <c r="A998" s="75"/>
      <c r="C998" s="81"/>
      <c r="D998" s="81"/>
      <c r="I998" s="81"/>
      <c r="K998" s="82"/>
      <c r="L998" s="123"/>
      <c r="M998" s="3"/>
      <c r="N998" s="3"/>
      <c r="O998" s="3"/>
      <c r="P998" s="125"/>
      <c r="Q998" s="125"/>
      <c r="R998" s="127"/>
      <c r="S998" s="123"/>
      <c r="T998" s="3"/>
      <c r="W998" s="86"/>
      <c r="Y998" s="75"/>
    </row>
    <row r="999" spans="1:25" x14ac:dyDescent="0.25">
      <c r="A999" s="75"/>
      <c r="C999" s="81"/>
      <c r="D999" s="81"/>
      <c r="I999" s="81"/>
      <c r="K999" s="82"/>
      <c r="L999" s="123"/>
      <c r="M999" s="3"/>
      <c r="N999" s="3"/>
      <c r="O999" s="3"/>
      <c r="P999" s="125"/>
      <c r="Q999" s="125"/>
      <c r="R999" s="127"/>
      <c r="S999" s="123"/>
      <c r="T999" s="3"/>
      <c r="W999" s="86"/>
      <c r="Y999" s="75"/>
    </row>
    <row r="1000" spans="1:25" x14ac:dyDescent="0.25">
      <c r="A1000" s="75"/>
      <c r="C1000" s="81"/>
      <c r="D1000" s="81"/>
      <c r="I1000" s="81"/>
      <c r="K1000" s="82"/>
      <c r="L1000" s="123"/>
      <c r="M1000" s="3"/>
      <c r="N1000" s="3"/>
      <c r="O1000" s="3"/>
      <c r="P1000" s="125"/>
      <c r="Q1000" s="125"/>
      <c r="R1000" s="127"/>
      <c r="S1000" s="123"/>
      <c r="T1000" s="3"/>
      <c r="W1000" s="86"/>
      <c r="Y1000" s="75"/>
    </row>
    <row r="1001" spans="1:25" x14ac:dyDescent="0.25">
      <c r="A1001" s="75"/>
      <c r="C1001" s="81"/>
      <c r="D1001" s="81"/>
      <c r="I1001" s="81"/>
      <c r="K1001" s="82"/>
      <c r="L1001" s="123"/>
      <c r="M1001" s="3"/>
      <c r="N1001" s="3"/>
      <c r="O1001" s="3"/>
      <c r="P1001" s="125"/>
      <c r="Q1001" s="125"/>
      <c r="R1001" s="127"/>
      <c r="S1001" s="123"/>
      <c r="T1001" s="3"/>
      <c r="W1001" s="86"/>
      <c r="Y1001" s="75"/>
    </row>
    <row r="1002" spans="1:25" x14ac:dyDescent="0.25">
      <c r="A1002" s="75"/>
      <c r="C1002" s="81"/>
      <c r="D1002" s="81"/>
      <c r="I1002" s="81"/>
      <c r="K1002" s="82"/>
      <c r="L1002" s="123"/>
      <c r="M1002" s="3"/>
      <c r="N1002" s="3"/>
      <c r="O1002" s="3"/>
      <c r="P1002" s="125"/>
      <c r="Q1002" s="125"/>
      <c r="R1002" s="127"/>
      <c r="S1002" s="123"/>
      <c r="T1002" s="3"/>
      <c r="W1002" s="86"/>
      <c r="Y1002" s="75"/>
    </row>
    <row r="1003" spans="1:25" x14ac:dyDescent="0.25">
      <c r="A1003" s="75"/>
      <c r="C1003" s="81"/>
      <c r="D1003" s="81"/>
      <c r="I1003" s="81"/>
      <c r="K1003" s="82"/>
      <c r="L1003" s="123"/>
      <c r="M1003" s="3"/>
      <c r="N1003" s="3"/>
      <c r="O1003" s="3"/>
      <c r="P1003" s="125"/>
      <c r="Q1003" s="125"/>
      <c r="R1003" s="127"/>
      <c r="S1003" s="123"/>
      <c r="T1003" s="3"/>
      <c r="W1003" s="86"/>
      <c r="Y1003" s="75"/>
    </row>
    <row r="1004" spans="1:25" x14ac:dyDescent="0.25">
      <c r="A1004" s="75"/>
      <c r="C1004" s="81"/>
      <c r="D1004" s="81"/>
      <c r="I1004" s="81"/>
      <c r="K1004" s="82"/>
      <c r="L1004" s="123"/>
      <c r="M1004" s="3"/>
      <c r="N1004" s="3"/>
      <c r="O1004" s="3"/>
      <c r="P1004" s="125"/>
      <c r="Q1004" s="125"/>
      <c r="R1004" s="127"/>
      <c r="S1004" s="123"/>
      <c r="T1004" s="3"/>
      <c r="W1004" s="86"/>
      <c r="Y1004" s="75"/>
    </row>
    <row r="1005" spans="1:25" x14ac:dyDescent="0.25">
      <c r="A1005" s="75"/>
      <c r="C1005" s="81"/>
      <c r="D1005" s="81"/>
      <c r="I1005" s="81"/>
      <c r="K1005" s="82"/>
      <c r="L1005" s="123"/>
      <c r="M1005" s="3"/>
      <c r="N1005" s="3"/>
      <c r="O1005" s="3"/>
      <c r="P1005" s="125"/>
      <c r="Q1005" s="125"/>
      <c r="R1005" s="127"/>
      <c r="S1005" s="123"/>
      <c r="T1005" s="3"/>
      <c r="W1005" s="86"/>
      <c r="Y1005" s="75"/>
    </row>
    <row r="1006" spans="1:25" x14ac:dyDescent="0.25">
      <c r="A1006" s="75"/>
      <c r="C1006" s="81"/>
      <c r="D1006" s="81"/>
      <c r="I1006" s="81"/>
      <c r="K1006" s="82"/>
      <c r="L1006" s="123"/>
      <c r="M1006" s="3"/>
      <c r="N1006" s="3"/>
      <c r="O1006" s="3"/>
      <c r="P1006" s="125"/>
      <c r="Q1006" s="125"/>
      <c r="R1006" s="127"/>
      <c r="S1006" s="123"/>
      <c r="T1006" s="3"/>
      <c r="W1006" s="86"/>
      <c r="Y1006" s="75"/>
    </row>
    <row r="1007" spans="1:25" x14ac:dyDescent="0.25">
      <c r="A1007" s="75"/>
      <c r="C1007" s="81"/>
      <c r="D1007" s="81"/>
      <c r="I1007" s="81"/>
      <c r="K1007" s="82"/>
      <c r="L1007" s="123"/>
      <c r="M1007" s="3"/>
      <c r="N1007" s="3"/>
      <c r="O1007" s="3"/>
      <c r="P1007" s="125"/>
      <c r="Q1007" s="125"/>
      <c r="R1007" s="127"/>
      <c r="S1007" s="123"/>
      <c r="T1007" s="3"/>
      <c r="W1007" s="86"/>
      <c r="Y1007" s="75"/>
    </row>
    <row r="1008" spans="1:25" x14ac:dyDescent="0.25">
      <c r="A1008" s="75"/>
      <c r="C1008" s="81"/>
      <c r="D1008" s="81"/>
      <c r="I1008" s="81"/>
      <c r="K1008" s="82"/>
      <c r="L1008" s="123"/>
      <c r="M1008" s="3"/>
      <c r="N1008" s="3"/>
      <c r="O1008" s="3"/>
      <c r="P1008" s="125"/>
      <c r="Q1008" s="125"/>
      <c r="R1008" s="127"/>
      <c r="S1008" s="123"/>
      <c r="T1008" s="3"/>
      <c r="W1008" s="86"/>
      <c r="Y1008" s="75"/>
    </row>
    <row r="1009" spans="1:25" x14ac:dyDescent="0.25">
      <c r="A1009" s="75"/>
      <c r="C1009" s="81"/>
      <c r="D1009" s="81"/>
      <c r="I1009" s="81"/>
      <c r="K1009" s="82"/>
      <c r="L1009" s="123"/>
      <c r="M1009" s="3"/>
      <c r="N1009" s="3"/>
      <c r="O1009" s="3"/>
      <c r="P1009" s="125"/>
      <c r="Q1009" s="125"/>
      <c r="R1009" s="127"/>
      <c r="S1009" s="123"/>
      <c r="T1009" s="3"/>
      <c r="W1009" s="86"/>
      <c r="Y1009" s="75"/>
    </row>
    <row r="1010" spans="1:25" x14ac:dyDescent="0.25">
      <c r="A1010" s="75"/>
      <c r="C1010" s="81"/>
      <c r="D1010" s="81"/>
      <c r="I1010" s="81"/>
      <c r="K1010" s="82"/>
      <c r="L1010" s="123"/>
      <c r="M1010" s="3"/>
      <c r="N1010" s="3"/>
      <c r="O1010" s="3"/>
      <c r="P1010" s="125"/>
      <c r="Q1010" s="125"/>
      <c r="R1010" s="127"/>
      <c r="S1010" s="123"/>
      <c r="T1010" s="3"/>
      <c r="W1010" s="86"/>
      <c r="Y1010" s="75"/>
    </row>
    <row r="1011" spans="1:25" x14ac:dyDescent="0.25">
      <c r="A1011" s="75"/>
      <c r="C1011" s="81"/>
      <c r="D1011" s="81"/>
      <c r="I1011" s="81"/>
      <c r="K1011" s="82"/>
      <c r="L1011" s="123"/>
      <c r="M1011" s="3"/>
      <c r="N1011" s="3"/>
      <c r="O1011" s="3"/>
      <c r="P1011" s="125"/>
      <c r="Q1011" s="125"/>
      <c r="R1011" s="127"/>
      <c r="S1011" s="123"/>
      <c r="T1011" s="3"/>
      <c r="W1011" s="86"/>
      <c r="Y1011" s="75"/>
    </row>
    <row r="1012" spans="1:25" x14ac:dyDescent="0.25">
      <c r="A1012" s="75"/>
      <c r="C1012" s="81"/>
      <c r="D1012" s="81"/>
      <c r="I1012" s="81"/>
      <c r="K1012" s="82"/>
      <c r="L1012" s="123"/>
      <c r="M1012" s="3"/>
      <c r="N1012" s="3"/>
      <c r="O1012" s="3"/>
      <c r="P1012" s="125"/>
      <c r="Q1012" s="125"/>
      <c r="R1012" s="127"/>
      <c r="S1012" s="123"/>
      <c r="T1012" s="3"/>
      <c r="W1012" s="86"/>
      <c r="Y1012" s="75"/>
    </row>
    <row r="1013" spans="1:25" x14ac:dyDescent="0.25">
      <c r="A1013" s="75"/>
      <c r="C1013" s="81"/>
      <c r="D1013" s="81"/>
      <c r="I1013" s="81"/>
      <c r="K1013" s="82"/>
      <c r="L1013" s="123"/>
      <c r="M1013" s="3"/>
      <c r="N1013" s="3"/>
      <c r="O1013" s="3"/>
      <c r="P1013" s="125"/>
      <c r="Q1013" s="125"/>
      <c r="R1013" s="127"/>
      <c r="S1013" s="123"/>
      <c r="T1013" s="3"/>
      <c r="W1013" s="86"/>
      <c r="Y1013" s="75"/>
    </row>
    <row r="1014" spans="1:25" x14ac:dyDescent="0.25">
      <c r="A1014" s="75"/>
      <c r="C1014" s="81"/>
      <c r="D1014" s="81"/>
      <c r="I1014" s="81"/>
      <c r="K1014" s="82"/>
      <c r="L1014" s="123"/>
      <c r="M1014" s="3"/>
      <c r="N1014" s="3"/>
      <c r="O1014" s="3"/>
      <c r="P1014" s="125"/>
      <c r="Q1014" s="125"/>
      <c r="R1014" s="127"/>
      <c r="S1014" s="123"/>
      <c r="T1014" s="3"/>
      <c r="W1014" s="86"/>
      <c r="Y1014" s="75"/>
    </row>
    <row r="1015" spans="1:25" x14ac:dyDescent="0.25">
      <c r="A1015" s="75"/>
      <c r="C1015" s="81"/>
      <c r="D1015" s="81"/>
      <c r="I1015" s="81"/>
      <c r="K1015" s="82"/>
      <c r="L1015" s="123"/>
      <c r="M1015" s="3"/>
      <c r="N1015" s="3"/>
      <c r="O1015" s="3"/>
      <c r="P1015" s="125"/>
      <c r="Q1015" s="125"/>
      <c r="R1015" s="127"/>
      <c r="S1015" s="123"/>
      <c r="T1015" s="3"/>
      <c r="W1015" s="86"/>
      <c r="Y1015" s="75"/>
    </row>
    <row r="1016" spans="1:25" x14ac:dyDescent="0.25">
      <c r="A1016" s="75"/>
      <c r="C1016" s="81"/>
      <c r="D1016" s="81"/>
      <c r="I1016" s="81"/>
      <c r="K1016" s="82"/>
      <c r="L1016" s="123"/>
      <c r="M1016" s="3"/>
      <c r="N1016" s="3"/>
      <c r="O1016" s="3"/>
      <c r="P1016" s="125"/>
      <c r="Q1016" s="125"/>
      <c r="R1016" s="127"/>
      <c r="S1016" s="123"/>
      <c r="T1016" s="3"/>
      <c r="W1016" s="86"/>
      <c r="Y1016" s="75"/>
    </row>
    <row r="1017" spans="1:25" x14ac:dyDescent="0.25">
      <c r="A1017" s="75"/>
      <c r="C1017" s="81"/>
      <c r="D1017" s="81"/>
      <c r="I1017" s="81"/>
      <c r="K1017" s="82"/>
      <c r="L1017" s="123"/>
      <c r="M1017" s="3"/>
      <c r="N1017" s="3"/>
      <c r="O1017" s="3"/>
      <c r="P1017" s="125"/>
      <c r="Q1017" s="125"/>
      <c r="R1017" s="127"/>
      <c r="S1017" s="123"/>
      <c r="T1017" s="3"/>
      <c r="W1017" s="86"/>
      <c r="Y1017" s="75"/>
    </row>
    <row r="1018" spans="1:25" x14ac:dyDescent="0.25">
      <c r="A1018" s="75"/>
      <c r="C1018" s="81"/>
      <c r="D1018" s="81"/>
      <c r="I1018" s="81"/>
      <c r="K1018" s="82"/>
      <c r="L1018" s="123"/>
      <c r="M1018" s="3"/>
      <c r="N1018" s="3"/>
      <c r="O1018" s="3"/>
      <c r="P1018" s="125"/>
      <c r="Q1018" s="125"/>
      <c r="R1018" s="127"/>
      <c r="S1018" s="123"/>
      <c r="T1018" s="3"/>
      <c r="W1018" s="86"/>
      <c r="Y1018" s="75"/>
    </row>
    <row r="1019" spans="1:25" x14ac:dyDescent="0.25">
      <c r="A1019" s="75"/>
      <c r="C1019" s="81"/>
      <c r="D1019" s="81"/>
      <c r="I1019" s="81"/>
      <c r="K1019" s="82"/>
      <c r="L1019" s="123"/>
      <c r="M1019" s="3"/>
      <c r="N1019" s="3"/>
      <c r="O1019" s="3"/>
      <c r="P1019" s="125"/>
      <c r="Q1019" s="125"/>
      <c r="R1019" s="127"/>
      <c r="S1019" s="123"/>
      <c r="T1019" s="3"/>
      <c r="W1019" s="86"/>
      <c r="Y1019" s="75"/>
    </row>
    <row r="1020" spans="1:25" x14ac:dyDescent="0.25">
      <c r="A1020" s="75"/>
      <c r="C1020" s="81"/>
      <c r="D1020" s="81"/>
      <c r="I1020" s="81"/>
      <c r="K1020" s="82"/>
      <c r="L1020" s="123"/>
      <c r="M1020" s="3"/>
      <c r="N1020" s="3"/>
      <c r="O1020" s="3"/>
      <c r="P1020" s="125"/>
      <c r="Q1020" s="125"/>
      <c r="R1020" s="127"/>
      <c r="S1020" s="123"/>
      <c r="T1020" s="3"/>
      <c r="W1020" s="86"/>
      <c r="Y1020" s="75"/>
    </row>
    <row r="1021" spans="1:25" x14ac:dyDescent="0.25">
      <c r="A1021" s="75"/>
      <c r="C1021" s="81"/>
      <c r="D1021" s="81"/>
      <c r="I1021" s="81"/>
      <c r="K1021" s="82"/>
      <c r="L1021" s="123"/>
      <c r="M1021" s="3"/>
      <c r="N1021" s="3"/>
      <c r="O1021" s="3"/>
      <c r="P1021" s="125"/>
      <c r="Q1021" s="125"/>
      <c r="R1021" s="127"/>
      <c r="S1021" s="123"/>
      <c r="T1021" s="3"/>
      <c r="W1021" s="86"/>
      <c r="Y1021" s="75"/>
    </row>
    <row r="1022" spans="1:25" x14ac:dyDescent="0.25">
      <c r="A1022" s="75"/>
      <c r="C1022" s="81"/>
      <c r="D1022" s="81"/>
      <c r="I1022" s="81"/>
      <c r="K1022" s="82"/>
      <c r="L1022" s="123"/>
      <c r="M1022" s="3"/>
      <c r="N1022" s="3"/>
      <c r="O1022" s="3"/>
      <c r="P1022" s="125"/>
      <c r="Q1022" s="125"/>
      <c r="R1022" s="127"/>
      <c r="S1022" s="123"/>
      <c r="T1022" s="3"/>
      <c r="W1022" s="86"/>
      <c r="Y1022" s="75"/>
    </row>
    <row r="1023" spans="1:25" x14ac:dyDescent="0.25">
      <c r="A1023" s="75"/>
      <c r="C1023" s="81"/>
      <c r="D1023" s="81"/>
      <c r="I1023" s="81"/>
      <c r="K1023" s="82"/>
      <c r="L1023" s="123"/>
      <c r="M1023" s="3"/>
      <c r="N1023" s="3"/>
      <c r="O1023" s="3"/>
      <c r="P1023" s="125"/>
      <c r="Q1023" s="125"/>
      <c r="R1023" s="127"/>
      <c r="S1023" s="123"/>
      <c r="T1023" s="3"/>
      <c r="W1023" s="86"/>
      <c r="Y1023" s="75"/>
    </row>
    <row r="1024" spans="1:25" x14ac:dyDescent="0.25">
      <c r="A1024" s="75"/>
      <c r="C1024" s="81"/>
      <c r="D1024" s="81"/>
      <c r="I1024" s="81"/>
      <c r="K1024" s="82"/>
      <c r="L1024" s="123"/>
      <c r="M1024" s="3"/>
      <c r="N1024" s="3"/>
      <c r="O1024" s="3"/>
      <c r="P1024" s="125"/>
      <c r="Q1024" s="125"/>
      <c r="R1024" s="127"/>
      <c r="S1024" s="123"/>
      <c r="T1024" s="3"/>
      <c r="W1024" s="86"/>
      <c r="Y1024" s="75"/>
    </row>
    <row r="1025" spans="1:25" x14ac:dyDescent="0.25">
      <c r="A1025" s="75"/>
      <c r="C1025" s="81"/>
      <c r="D1025" s="81"/>
      <c r="I1025" s="81"/>
      <c r="K1025" s="82"/>
      <c r="L1025" s="123"/>
      <c r="M1025" s="3"/>
      <c r="N1025" s="3"/>
      <c r="O1025" s="3"/>
      <c r="P1025" s="125"/>
      <c r="Q1025" s="125"/>
      <c r="R1025" s="127"/>
      <c r="S1025" s="123"/>
      <c r="T1025" s="3"/>
      <c r="W1025" s="86"/>
      <c r="Y1025" s="75"/>
    </row>
    <row r="1026" spans="1:25" x14ac:dyDescent="0.25">
      <c r="A1026" s="75"/>
      <c r="C1026" s="81"/>
      <c r="D1026" s="81"/>
      <c r="I1026" s="81"/>
      <c r="K1026" s="82"/>
      <c r="L1026" s="123"/>
      <c r="M1026" s="3"/>
      <c r="N1026" s="3"/>
      <c r="O1026" s="3"/>
      <c r="P1026" s="125"/>
      <c r="Q1026" s="125"/>
      <c r="R1026" s="127"/>
      <c r="S1026" s="123"/>
      <c r="T1026" s="3"/>
      <c r="W1026" s="86"/>
      <c r="Y1026" s="75"/>
    </row>
    <row r="1027" spans="1:25" x14ac:dyDescent="0.25">
      <c r="A1027" s="75"/>
      <c r="C1027" s="81"/>
      <c r="D1027" s="81"/>
      <c r="I1027" s="81"/>
      <c r="K1027" s="82"/>
      <c r="L1027" s="123"/>
      <c r="M1027" s="3"/>
      <c r="N1027" s="3"/>
      <c r="O1027" s="3"/>
      <c r="P1027" s="125"/>
      <c r="Q1027" s="125"/>
      <c r="R1027" s="127"/>
      <c r="S1027" s="123"/>
      <c r="T1027" s="3"/>
      <c r="W1027" s="86"/>
      <c r="Y1027" s="75"/>
    </row>
    <row r="1028" spans="1:25" x14ac:dyDescent="0.25">
      <c r="A1028" s="75"/>
      <c r="C1028" s="81"/>
      <c r="D1028" s="81"/>
      <c r="I1028" s="81"/>
      <c r="K1028" s="82"/>
      <c r="L1028" s="123"/>
      <c r="M1028" s="3"/>
      <c r="N1028" s="3"/>
      <c r="O1028" s="3"/>
      <c r="P1028" s="125"/>
      <c r="Q1028" s="125"/>
      <c r="R1028" s="127"/>
      <c r="S1028" s="123"/>
      <c r="T1028" s="3"/>
      <c r="W1028" s="86"/>
      <c r="Y1028" s="75"/>
    </row>
    <row r="1029" spans="1:25" x14ac:dyDescent="0.25">
      <c r="A1029" s="75"/>
      <c r="C1029" s="81"/>
      <c r="D1029" s="81"/>
      <c r="I1029" s="81"/>
      <c r="K1029" s="82"/>
      <c r="L1029" s="123"/>
      <c r="M1029" s="3"/>
      <c r="N1029" s="3"/>
      <c r="O1029" s="3"/>
      <c r="P1029" s="125"/>
      <c r="Q1029" s="125"/>
      <c r="R1029" s="127"/>
      <c r="S1029" s="123"/>
      <c r="T1029" s="3"/>
      <c r="W1029" s="86"/>
      <c r="Y1029" s="75"/>
    </row>
    <row r="1030" spans="1:25" x14ac:dyDescent="0.25">
      <c r="A1030" s="75"/>
      <c r="C1030" s="81"/>
      <c r="D1030" s="81"/>
      <c r="I1030" s="81"/>
      <c r="K1030" s="82"/>
      <c r="L1030" s="123"/>
      <c r="M1030" s="3"/>
      <c r="N1030" s="3"/>
      <c r="O1030" s="3"/>
      <c r="P1030" s="125"/>
      <c r="Q1030" s="125"/>
      <c r="R1030" s="127"/>
      <c r="S1030" s="123"/>
      <c r="T1030" s="3"/>
      <c r="W1030" s="86"/>
      <c r="Y1030" s="75"/>
    </row>
    <row r="1031" spans="1:25" x14ac:dyDescent="0.25">
      <c r="A1031" s="75"/>
      <c r="C1031" s="81"/>
      <c r="D1031" s="81"/>
      <c r="I1031" s="81"/>
      <c r="K1031" s="82"/>
      <c r="L1031" s="123"/>
      <c r="M1031" s="3"/>
      <c r="N1031" s="3"/>
      <c r="O1031" s="3"/>
      <c r="P1031" s="125"/>
      <c r="Q1031" s="125"/>
      <c r="R1031" s="127"/>
      <c r="S1031" s="123"/>
      <c r="T1031" s="3"/>
      <c r="W1031" s="86"/>
      <c r="Y1031" s="75"/>
    </row>
    <row r="1032" spans="1:25" x14ac:dyDescent="0.25">
      <c r="A1032" s="75"/>
      <c r="C1032" s="81"/>
      <c r="D1032" s="81"/>
      <c r="I1032" s="81"/>
      <c r="K1032" s="82"/>
      <c r="L1032" s="123"/>
      <c r="M1032" s="3"/>
      <c r="N1032" s="3"/>
      <c r="O1032" s="3"/>
      <c r="P1032" s="125"/>
      <c r="Q1032" s="125"/>
      <c r="R1032" s="127"/>
      <c r="S1032" s="123"/>
      <c r="T1032" s="3"/>
      <c r="W1032" s="86"/>
      <c r="Y1032" s="75"/>
    </row>
    <row r="1033" spans="1:25" x14ac:dyDescent="0.25">
      <c r="A1033" s="75"/>
      <c r="C1033" s="81"/>
      <c r="D1033" s="81"/>
      <c r="I1033" s="81"/>
      <c r="K1033" s="82"/>
      <c r="L1033" s="123"/>
      <c r="M1033" s="3"/>
      <c r="N1033" s="3"/>
      <c r="O1033" s="3"/>
      <c r="P1033" s="125"/>
      <c r="Q1033" s="125"/>
      <c r="R1033" s="127"/>
      <c r="S1033" s="123"/>
      <c r="T1033" s="3"/>
      <c r="W1033" s="86"/>
      <c r="Y1033" s="75"/>
    </row>
    <row r="1034" spans="1:25" x14ac:dyDescent="0.25">
      <c r="A1034" s="75"/>
      <c r="C1034" s="81"/>
      <c r="D1034" s="81"/>
      <c r="I1034" s="81"/>
      <c r="K1034" s="82"/>
      <c r="L1034" s="123"/>
      <c r="M1034" s="3"/>
      <c r="N1034" s="3"/>
      <c r="O1034" s="3"/>
      <c r="P1034" s="125"/>
      <c r="Q1034" s="125"/>
      <c r="R1034" s="127"/>
      <c r="S1034" s="123"/>
      <c r="T1034" s="3"/>
      <c r="W1034" s="86"/>
      <c r="Y1034" s="75"/>
    </row>
    <row r="1035" spans="1:25" x14ac:dyDescent="0.25">
      <c r="A1035" s="75"/>
      <c r="C1035" s="81"/>
      <c r="D1035" s="81"/>
      <c r="I1035" s="81"/>
      <c r="K1035" s="82"/>
      <c r="L1035" s="123"/>
      <c r="M1035" s="3"/>
      <c r="N1035" s="3"/>
      <c r="O1035" s="3"/>
      <c r="P1035" s="125"/>
      <c r="Q1035" s="125"/>
      <c r="R1035" s="127"/>
      <c r="S1035" s="123"/>
      <c r="T1035" s="3"/>
      <c r="W1035" s="86"/>
      <c r="Y1035" s="75"/>
    </row>
    <row r="1036" spans="1:25" x14ac:dyDescent="0.25">
      <c r="A1036" s="75"/>
      <c r="C1036" s="81"/>
      <c r="D1036" s="81"/>
      <c r="I1036" s="81"/>
      <c r="K1036" s="82"/>
      <c r="L1036" s="123"/>
      <c r="M1036" s="3"/>
      <c r="N1036" s="3"/>
      <c r="O1036" s="3"/>
      <c r="P1036" s="125"/>
      <c r="Q1036" s="125"/>
      <c r="R1036" s="127"/>
      <c r="S1036" s="123"/>
      <c r="T1036" s="3"/>
      <c r="W1036" s="86"/>
      <c r="Y1036" s="75"/>
    </row>
    <row r="1037" spans="1:25" x14ac:dyDescent="0.25">
      <c r="A1037" s="75"/>
      <c r="C1037" s="81"/>
      <c r="D1037" s="81"/>
      <c r="I1037" s="81"/>
      <c r="K1037" s="82"/>
      <c r="L1037" s="123"/>
      <c r="M1037" s="3"/>
      <c r="N1037" s="3"/>
      <c r="O1037" s="3"/>
      <c r="P1037" s="125"/>
      <c r="Q1037" s="125"/>
      <c r="R1037" s="127"/>
      <c r="S1037" s="123"/>
      <c r="T1037" s="3"/>
      <c r="W1037" s="86"/>
      <c r="Y1037" s="75"/>
    </row>
    <row r="1038" spans="1:25" x14ac:dyDescent="0.25">
      <c r="A1038" s="75"/>
      <c r="C1038" s="81"/>
      <c r="D1038" s="81"/>
      <c r="I1038" s="81"/>
      <c r="K1038" s="82"/>
      <c r="L1038" s="123"/>
      <c r="M1038" s="3"/>
      <c r="N1038" s="3"/>
      <c r="O1038" s="3"/>
      <c r="P1038" s="125"/>
      <c r="Q1038" s="125"/>
      <c r="R1038" s="127"/>
      <c r="S1038" s="123"/>
      <c r="T1038" s="3"/>
      <c r="W1038" s="86"/>
      <c r="Y1038" s="75"/>
    </row>
    <row r="1039" spans="1:25" x14ac:dyDescent="0.25">
      <c r="A1039" s="75"/>
      <c r="C1039" s="81"/>
      <c r="D1039" s="81"/>
      <c r="I1039" s="81"/>
      <c r="K1039" s="82"/>
      <c r="L1039" s="123"/>
      <c r="M1039" s="3"/>
      <c r="N1039" s="3"/>
      <c r="O1039" s="3"/>
      <c r="P1039" s="125"/>
      <c r="Q1039" s="125"/>
      <c r="R1039" s="127"/>
      <c r="S1039" s="123"/>
      <c r="T1039" s="3"/>
      <c r="W1039" s="86"/>
      <c r="Y1039" s="75"/>
    </row>
    <row r="1040" spans="1:25" x14ac:dyDescent="0.25">
      <c r="A1040" s="75"/>
      <c r="C1040" s="81"/>
      <c r="D1040" s="81"/>
      <c r="I1040" s="81"/>
      <c r="K1040" s="82"/>
      <c r="L1040" s="123"/>
      <c r="M1040" s="3"/>
      <c r="N1040" s="3"/>
      <c r="O1040" s="3"/>
      <c r="P1040" s="125"/>
      <c r="Q1040" s="125"/>
      <c r="R1040" s="127"/>
      <c r="S1040" s="123"/>
      <c r="T1040" s="3"/>
      <c r="W1040" s="86"/>
      <c r="Y1040" s="75"/>
    </row>
    <row r="1041" spans="1:25" x14ac:dyDescent="0.25">
      <c r="A1041" s="75"/>
      <c r="C1041" s="81"/>
      <c r="D1041" s="81"/>
      <c r="I1041" s="81"/>
      <c r="K1041" s="82"/>
      <c r="L1041" s="123"/>
      <c r="M1041" s="3"/>
      <c r="N1041" s="3"/>
      <c r="O1041" s="3"/>
      <c r="P1041" s="125"/>
      <c r="Q1041" s="125"/>
      <c r="R1041" s="127"/>
      <c r="S1041" s="123"/>
      <c r="T1041" s="3"/>
      <c r="W1041" s="86"/>
      <c r="Y1041" s="75"/>
    </row>
    <row r="1042" spans="1:25" x14ac:dyDescent="0.25">
      <c r="A1042" s="75"/>
      <c r="C1042" s="81"/>
      <c r="D1042" s="81"/>
      <c r="I1042" s="81"/>
      <c r="K1042" s="82"/>
      <c r="L1042" s="123"/>
      <c r="M1042" s="3"/>
      <c r="N1042" s="3"/>
      <c r="O1042" s="3"/>
      <c r="P1042" s="125"/>
      <c r="Q1042" s="125"/>
      <c r="R1042" s="127"/>
      <c r="S1042" s="123"/>
      <c r="T1042" s="3"/>
      <c r="W1042" s="86"/>
      <c r="Y1042" s="75"/>
    </row>
    <row r="1043" spans="1:25" x14ac:dyDescent="0.25">
      <c r="A1043" s="75"/>
      <c r="C1043" s="81"/>
      <c r="D1043" s="81"/>
      <c r="I1043" s="81"/>
      <c r="K1043" s="82"/>
      <c r="L1043" s="123"/>
      <c r="M1043" s="3"/>
      <c r="N1043" s="3"/>
      <c r="O1043" s="3"/>
      <c r="P1043" s="125"/>
      <c r="Q1043" s="125"/>
      <c r="R1043" s="127"/>
      <c r="S1043" s="123"/>
      <c r="T1043" s="3"/>
      <c r="W1043" s="86"/>
      <c r="Y1043" s="75"/>
    </row>
    <row r="1044" spans="1:25" x14ac:dyDescent="0.25">
      <c r="A1044" s="75"/>
      <c r="C1044" s="81"/>
      <c r="D1044" s="81"/>
      <c r="I1044" s="81"/>
      <c r="K1044" s="82"/>
      <c r="L1044" s="123"/>
      <c r="M1044" s="3"/>
      <c r="N1044" s="3"/>
      <c r="O1044" s="3"/>
      <c r="P1044" s="125"/>
      <c r="Q1044" s="125"/>
      <c r="R1044" s="127"/>
      <c r="S1044" s="123"/>
      <c r="T1044" s="3"/>
      <c r="W1044" s="86"/>
      <c r="Y1044" s="75"/>
    </row>
    <row r="1045" spans="1:25" x14ac:dyDescent="0.25">
      <c r="A1045" s="75"/>
      <c r="C1045" s="81"/>
      <c r="D1045" s="81"/>
      <c r="I1045" s="81"/>
      <c r="K1045" s="82"/>
      <c r="L1045" s="123"/>
      <c r="M1045" s="3"/>
      <c r="N1045" s="3"/>
      <c r="O1045" s="3"/>
      <c r="P1045" s="125"/>
      <c r="Q1045" s="125"/>
      <c r="R1045" s="127"/>
      <c r="S1045" s="123"/>
      <c r="T1045" s="3"/>
      <c r="W1045" s="86"/>
      <c r="Y1045" s="75"/>
    </row>
    <row r="1046" spans="1:25" x14ac:dyDescent="0.25">
      <c r="A1046" s="75"/>
      <c r="C1046" s="81"/>
      <c r="D1046" s="81"/>
      <c r="I1046" s="81"/>
      <c r="K1046" s="82"/>
      <c r="L1046" s="123"/>
      <c r="M1046" s="3"/>
      <c r="N1046" s="3"/>
      <c r="O1046" s="3"/>
      <c r="P1046" s="125"/>
      <c r="Q1046" s="125"/>
      <c r="R1046" s="127"/>
      <c r="S1046" s="123"/>
      <c r="T1046" s="3"/>
      <c r="W1046" s="86"/>
      <c r="Y1046" s="75"/>
    </row>
    <row r="1047" spans="1:25" x14ac:dyDescent="0.25">
      <c r="A1047" s="75"/>
      <c r="C1047" s="81"/>
      <c r="D1047" s="81"/>
      <c r="I1047" s="81"/>
      <c r="K1047" s="82"/>
      <c r="L1047" s="123"/>
      <c r="M1047" s="3"/>
      <c r="N1047" s="3"/>
      <c r="O1047" s="3"/>
      <c r="P1047" s="125"/>
      <c r="Q1047" s="125"/>
      <c r="R1047" s="127"/>
      <c r="S1047" s="123"/>
      <c r="T1047" s="3"/>
      <c r="W1047" s="86"/>
      <c r="Y1047" s="75"/>
    </row>
    <row r="1048" spans="1:25" x14ac:dyDescent="0.25">
      <c r="A1048" s="75"/>
      <c r="C1048" s="81"/>
      <c r="D1048" s="81"/>
      <c r="I1048" s="81"/>
      <c r="K1048" s="82"/>
      <c r="L1048" s="123"/>
      <c r="M1048" s="3"/>
      <c r="N1048" s="3"/>
      <c r="O1048" s="3"/>
      <c r="P1048" s="125"/>
      <c r="Q1048" s="125"/>
      <c r="R1048" s="127"/>
      <c r="S1048" s="123"/>
      <c r="T1048" s="3"/>
      <c r="W1048" s="86"/>
      <c r="Y1048" s="75"/>
    </row>
    <row r="1049" spans="1:25" x14ac:dyDescent="0.25">
      <c r="A1049" s="75"/>
      <c r="C1049" s="81"/>
      <c r="D1049" s="81"/>
      <c r="I1049" s="81"/>
      <c r="K1049" s="82"/>
      <c r="L1049" s="123"/>
      <c r="M1049" s="3"/>
      <c r="N1049" s="3"/>
      <c r="O1049" s="3"/>
      <c r="P1049" s="125"/>
      <c r="Q1049" s="125"/>
      <c r="R1049" s="127"/>
      <c r="S1049" s="123"/>
      <c r="T1049" s="3"/>
      <c r="W1049" s="86"/>
      <c r="Y1049" s="75"/>
    </row>
    <row r="1050" spans="1:25" x14ac:dyDescent="0.25">
      <c r="A1050" s="75"/>
      <c r="C1050" s="81"/>
      <c r="D1050" s="81"/>
      <c r="I1050" s="81"/>
      <c r="K1050" s="82"/>
      <c r="L1050" s="123"/>
      <c r="M1050" s="3"/>
      <c r="N1050" s="3"/>
      <c r="O1050" s="3"/>
      <c r="P1050" s="125"/>
      <c r="Q1050" s="125"/>
      <c r="R1050" s="127"/>
      <c r="S1050" s="123"/>
      <c r="T1050" s="3"/>
      <c r="W1050" s="86"/>
      <c r="Y1050" s="75"/>
    </row>
    <row r="1051" spans="1:25" x14ac:dyDescent="0.25">
      <c r="A1051" s="75"/>
      <c r="C1051" s="81"/>
      <c r="D1051" s="81"/>
      <c r="I1051" s="81"/>
      <c r="K1051" s="82"/>
      <c r="L1051" s="123"/>
      <c r="M1051" s="3"/>
      <c r="N1051" s="3"/>
      <c r="O1051" s="3"/>
      <c r="P1051" s="125"/>
      <c r="Q1051" s="125"/>
      <c r="R1051" s="127"/>
      <c r="S1051" s="123"/>
      <c r="T1051" s="3"/>
      <c r="W1051" s="86"/>
      <c r="Y1051" s="75"/>
    </row>
    <row r="1052" spans="1:25" x14ac:dyDescent="0.25">
      <c r="A1052" s="75"/>
      <c r="C1052" s="81"/>
      <c r="D1052" s="81"/>
      <c r="I1052" s="81"/>
      <c r="K1052" s="82"/>
      <c r="L1052" s="123"/>
      <c r="M1052" s="3"/>
      <c r="N1052" s="3"/>
      <c r="O1052" s="3"/>
      <c r="P1052" s="125"/>
      <c r="Q1052" s="125"/>
      <c r="R1052" s="127"/>
      <c r="S1052" s="123"/>
      <c r="T1052" s="3"/>
      <c r="W1052" s="86"/>
      <c r="Y1052" s="75"/>
    </row>
    <row r="1053" spans="1:25" x14ac:dyDescent="0.25">
      <c r="A1053" s="75"/>
      <c r="C1053" s="81"/>
      <c r="D1053" s="81"/>
      <c r="I1053" s="81"/>
      <c r="K1053" s="82"/>
      <c r="L1053" s="123"/>
      <c r="M1053" s="3"/>
      <c r="N1053" s="3"/>
      <c r="O1053" s="3"/>
      <c r="P1053" s="125"/>
      <c r="Q1053" s="125"/>
      <c r="R1053" s="127"/>
      <c r="S1053" s="123"/>
      <c r="T1053" s="3"/>
      <c r="W1053" s="86"/>
      <c r="Y1053" s="75"/>
    </row>
    <row r="1054" spans="1:25" x14ac:dyDescent="0.25">
      <c r="A1054" s="75"/>
      <c r="C1054" s="81"/>
      <c r="D1054" s="81"/>
      <c r="I1054" s="81"/>
      <c r="K1054" s="82"/>
      <c r="L1054" s="123"/>
      <c r="M1054" s="3"/>
      <c r="N1054" s="3"/>
      <c r="O1054" s="3"/>
      <c r="P1054" s="125"/>
      <c r="Q1054" s="125"/>
      <c r="R1054" s="127"/>
      <c r="S1054" s="123"/>
      <c r="T1054" s="3"/>
      <c r="W1054" s="86"/>
      <c r="Y1054" s="75"/>
    </row>
    <row r="1055" spans="1:25" x14ac:dyDescent="0.25">
      <c r="A1055" s="75"/>
      <c r="C1055" s="81"/>
      <c r="D1055" s="81"/>
      <c r="I1055" s="81"/>
      <c r="K1055" s="82"/>
      <c r="L1055" s="123"/>
      <c r="M1055" s="3"/>
      <c r="N1055" s="3"/>
      <c r="O1055" s="3"/>
      <c r="P1055" s="125"/>
      <c r="Q1055" s="125"/>
      <c r="R1055" s="127"/>
      <c r="S1055" s="123"/>
      <c r="T1055" s="3"/>
      <c r="W1055" s="86"/>
      <c r="Y1055" s="75"/>
    </row>
    <row r="1056" spans="1:25" x14ac:dyDescent="0.25">
      <c r="A1056" s="75"/>
      <c r="C1056" s="81"/>
      <c r="D1056" s="81"/>
      <c r="I1056" s="81"/>
      <c r="K1056" s="82"/>
      <c r="L1056" s="123"/>
      <c r="M1056" s="3"/>
      <c r="N1056" s="3"/>
      <c r="O1056" s="3"/>
      <c r="P1056" s="125"/>
      <c r="Q1056" s="125"/>
      <c r="R1056" s="127"/>
      <c r="S1056" s="123"/>
      <c r="T1056" s="3"/>
      <c r="W1056" s="86"/>
      <c r="Y1056" s="75"/>
    </row>
    <row r="1057" spans="1:25" x14ac:dyDescent="0.25">
      <c r="A1057" s="75"/>
      <c r="C1057" s="81"/>
      <c r="D1057" s="81"/>
      <c r="I1057" s="81"/>
      <c r="K1057" s="82"/>
      <c r="L1057" s="123"/>
      <c r="M1057" s="3"/>
      <c r="N1057" s="3"/>
      <c r="O1057" s="3"/>
      <c r="P1057" s="125"/>
      <c r="Q1057" s="125"/>
      <c r="R1057" s="127"/>
      <c r="S1057" s="123"/>
      <c r="T1057" s="3"/>
      <c r="W1057" s="86"/>
      <c r="Y1057" s="75"/>
    </row>
    <row r="1058" spans="1:25" x14ac:dyDescent="0.25">
      <c r="A1058" s="75"/>
      <c r="C1058" s="81"/>
      <c r="D1058" s="81"/>
      <c r="I1058" s="81"/>
      <c r="K1058" s="82"/>
      <c r="L1058" s="123"/>
      <c r="M1058" s="3"/>
      <c r="N1058" s="3"/>
      <c r="O1058" s="3"/>
      <c r="P1058" s="125"/>
      <c r="Q1058" s="125"/>
      <c r="R1058" s="127"/>
      <c r="S1058" s="123"/>
      <c r="T1058" s="3"/>
      <c r="W1058" s="86"/>
      <c r="Y1058" s="75"/>
    </row>
    <row r="1059" spans="1:25" x14ac:dyDescent="0.25">
      <c r="A1059" s="75"/>
      <c r="C1059" s="81"/>
      <c r="D1059" s="81"/>
      <c r="I1059" s="81"/>
      <c r="K1059" s="82"/>
      <c r="L1059" s="123"/>
      <c r="M1059" s="3"/>
      <c r="N1059" s="3"/>
      <c r="O1059" s="3"/>
      <c r="P1059" s="125"/>
      <c r="Q1059" s="125"/>
      <c r="R1059" s="127"/>
      <c r="S1059" s="123"/>
      <c r="T1059" s="3"/>
      <c r="W1059" s="86"/>
      <c r="Y1059" s="75"/>
    </row>
    <row r="1060" spans="1:25" x14ac:dyDescent="0.25">
      <c r="A1060" s="75"/>
      <c r="C1060" s="81"/>
      <c r="D1060" s="81"/>
      <c r="I1060" s="81"/>
      <c r="K1060" s="82"/>
      <c r="L1060" s="123"/>
      <c r="M1060" s="3"/>
      <c r="N1060" s="3"/>
      <c r="O1060" s="3"/>
      <c r="P1060" s="125"/>
      <c r="Q1060" s="125"/>
      <c r="R1060" s="127"/>
      <c r="S1060" s="123"/>
      <c r="T1060" s="3"/>
      <c r="W1060" s="86"/>
      <c r="Y1060" s="75"/>
    </row>
    <row r="1061" spans="1:25" x14ac:dyDescent="0.25">
      <c r="A1061" s="75"/>
      <c r="C1061" s="81"/>
      <c r="D1061" s="81"/>
      <c r="I1061" s="81"/>
      <c r="K1061" s="82"/>
      <c r="L1061" s="123"/>
      <c r="M1061" s="3"/>
      <c r="N1061" s="3"/>
      <c r="O1061" s="3"/>
      <c r="P1061" s="125"/>
      <c r="Q1061" s="125"/>
      <c r="R1061" s="127"/>
      <c r="S1061" s="123"/>
      <c r="T1061" s="3"/>
      <c r="W1061" s="86"/>
      <c r="Y1061" s="75"/>
    </row>
    <row r="1062" spans="1:25" x14ac:dyDescent="0.25">
      <c r="A1062" s="75"/>
      <c r="C1062" s="81"/>
      <c r="D1062" s="81"/>
      <c r="I1062" s="81"/>
      <c r="K1062" s="82"/>
      <c r="L1062" s="123"/>
      <c r="M1062" s="3"/>
      <c r="N1062" s="3"/>
      <c r="O1062" s="3"/>
      <c r="P1062" s="125"/>
      <c r="Q1062" s="125"/>
      <c r="R1062" s="127"/>
      <c r="S1062" s="123"/>
      <c r="T1062" s="3"/>
      <c r="W1062" s="86"/>
      <c r="Y1062" s="75"/>
    </row>
    <row r="1063" spans="1:25" x14ac:dyDescent="0.25">
      <c r="A1063" s="75"/>
      <c r="C1063" s="81"/>
      <c r="D1063" s="81"/>
      <c r="I1063" s="81"/>
      <c r="K1063" s="82"/>
      <c r="L1063" s="123"/>
      <c r="M1063" s="3"/>
      <c r="N1063" s="3"/>
      <c r="O1063" s="3"/>
      <c r="P1063" s="125"/>
      <c r="Q1063" s="125"/>
      <c r="R1063" s="127"/>
      <c r="S1063" s="123"/>
      <c r="T1063" s="3"/>
      <c r="W1063" s="86"/>
      <c r="Y1063" s="75"/>
    </row>
    <row r="1064" spans="1:25" x14ac:dyDescent="0.25">
      <c r="A1064" s="75"/>
      <c r="C1064" s="81"/>
      <c r="D1064" s="81"/>
      <c r="I1064" s="81"/>
      <c r="K1064" s="82"/>
      <c r="L1064" s="123"/>
      <c r="M1064" s="3"/>
      <c r="N1064" s="3"/>
      <c r="O1064" s="3"/>
      <c r="P1064" s="125"/>
      <c r="Q1064" s="125"/>
      <c r="R1064" s="127"/>
      <c r="S1064" s="123"/>
      <c r="T1064" s="3"/>
      <c r="W1064" s="86"/>
      <c r="Y1064" s="75"/>
    </row>
    <row r="1065" spans="1:25" x14ac:dyDescent="0.25">
      <c r="A1065" s="75"/>
      <c r="C1065" s="81"/>
      <c r="D1065" s="81"/>
      <c r="I1065" s="81"/>
      <c r="K1065" s="82"/>
      <c r="L1065" s="123"/>
      <c r="M1065" s="3"/>
      <c r="N1065" s="3"/>
      <c r="O1065" s="3"/>
      <c r="P1065" s="125"/>
      <c r="Q1065" s="125"/>
      <c r="R1065" s="127"/>
      <c r="S1065" s="123"/>
      <c r="T1065" s="3"/>
      <c r="W1065" s="86"/>
      <c r="Y1065" s="75"/>
    </row>
    <row r="1066" spans="1:25" x14ac:dyDescent="0.25">
      <c r="A1066" s="75"/>
      <c r="C1066" s="81"/>
      <c r="D1066" s="81"/>
      <c r="I1066" s="81"/>
      <c r="K1066" s="82"/>
      <c r="L1066" s="123"/>
      <c r="M1066" s="3"/>
      <c r="N1066" s="3"/>
      <c r="O1066" s="3"/>
      <c r="P1066" s="125"/>
      <c r="Q1066" s="125"/>
      <c r="R1066" s="127"/>
      <c r="S1066" s="123"/>
      <c r="T1066" s="3"/>
      <c r="W1066" s="86"/>
      <c r="Y1066" s="75"/>
    </row>
    <row r="1067" spans="1:25" x14ac:dyDescent="0.25">
      <c r="A1067" s="75"/>
      <c r="C1067" s="81"/>
      <c r="D1067" s="81"/>
      <c r="I1067" s="81"/>
      <c r="K1067" s="82"/>
      <c r="L1067" s="123"/>
      <c r="M1067" s="3"/>
      <c r="N1067" s="3"/>
      <c r="O1067" s="3"/>
      <c r="P1067" s="125"/>
      <c r="Q1067" s="125"/>
      <c r="R1067" s="127"/>
      <c r="S1067" s="123"/>
      <c r="T1067" s="3"/>
      <c r="W1067" s="86"/>
      <c r="Y1067" s="75"/>
    </row>
    <row r="1068" spans="1:25" x14ac:dyDescent="0.25">
      <c r="A1068" s="75"/>
      <c r="C1068" s="81"/>
      <c r="D1068" s="81"/>
      <c r="I1068" s="81"/>
      <c r="K1068" s="82"/>
      <c r="L1068" s="123"/>
      <c r="M1068" s="3"/>
      <c r="N1068" s="3"/>
      <c r="O1068" s="3"/>
      <c r="P1068" s="125"/>
      <c r="Q1068" s="125"/>
      <c r="R1068" s="127"/>
      <c r="S1068" s="123"/>
      <c r="T1068" s="3"/>
      <c r="W1068" s="86"/>
      <c r="Y1068" s="75"/>
    </row>
    <row r="1069" spans="1:25" x14ac:dyDescent="0.25">
      <c r="A1069" s="75"/>
      <c r="C1069" s="81"/>
      <c r="D1069" s="81"/>
      <c r="I1069" s="81"/>
      <c r="K1069" s="82"/>
      <c r="L1069" s="123"/>
      <c r="M1069" s="3"/>
      <c r="N1069" s="3"/>
      <c r="O1069" s="3"/>
      <c r="P1069" s="125"/>
      <c r="Q1069" s="125"/>
      <c r="R1069" s="127"/>
      <c r="S1069" s="123"/>
      <c r="T1069" s="3"/>
      <c r="W1069" s="86"/>
      <c r="Y1069" s="75"/>
    </row>
    <row r="1070" spans="1:25" x14ac:dyDescent="0.25">
      <c r="A1070" s="75"/>
      <c r="C1070" s="81"/>
      <c r="D1070" s="81"/>
      <c r="I1070" s="81"/>
      <c r="K1070" s="82"/>
      <c r="L1070" s="123"/>
      <c r="M1070" s="3"/>
      <c r="N1070" s="3"/>
      <c r="O1070" s="3"/>
      <c r="P1070" s="125"/>
      <c r="Q1070" s="125"/>
      <c r="R1070" s="127"/>
      <c r="S1070" s="123"/>
      <c r="T1070" s="3"/>
      <c r="W1070" s="86"/>
      <c r="Y1070" s="75"/>
    </row>
    <row r="1071" spans="1:25" x14ac:dyDescent="0.25">
      <c r="A1071" s="75"/>
      <c r="C1071" s="81"/>
      <c r="D1071" s="81"/>
      <c r="I1071" s="81"/>
      <c r="K1071" s="82"/>
      <c r="L1071" s="123"/>
      <c r="M1071" s="3"/>
      <c r="N1071" s="3"/>
      <c r="O1071" s="3"/>
      <c r="P1071" s="125"/>
      <c r="Q1071" s="125"/>
      <c r="R1071" s="127"/>
      <c r="S1071" s="123"/>
      <c r="T1071" s="3"/>
      <c r="W1071" s="86"/>
      <c r="Y1071" s="75"/>
    </row>
    <row r="1072" spans="1:25" x14ac:dyDescent="0.25">
      <c r="A1072" s="75"/>
      <c r="C1072" s="81"/>
      <c r="D1072" s="81"/>
      <c r="I1072" s="81"/>
      <c r="K1072" s="82"/>
      <c r="L1072" s="123"/>
      <c r="M1072" s="3"/>
      <c r="N1072" s="3"/>
      <c r="O1072" s="3"/>
      <c r="P1072" s="125"/>
      <c r="Q1072" s="125"/>
      <c r="R1072" s="127"/>
      <c r="S1072" s="123"/>
      <c r="T1072" s="3"/>
      <c r="W1072" s="86"/>
      <c r="Y1072" s="75"/>
    </row>
    <row r="1073" spans="1:25" x14ac:dyDescent="0.25">
      <c r="A1073" s="75"/>
      <c r="C1073" s="81"/>
      <c r="D1073" s="81"/>
      <c r="I1073" s="81"/>
      <c r="K1073" s="82"/>
      <c r="L1073" s="123"/>
      <c r="M1073" s="3"/>
      <c r="N1073" s="3"/>
      <c r="O1073" s="3"/>
      <c r="P1073" s="125"/>
      <c r="Q1073" s="125"/>
      <c r="R1073" s="127"/>
      <c r="S1073" s="123"/>
      <c r="T1073" s="3"/>
      <c r="W1073" s="86"/>
      <c r="Y1073" s="75"/>
    </row>
    <row r="1074" spans="1:25" x14ac:dyDescent="0.25">
      <c r="A1074" s="75"/>
      <c r="C1074" s="81"/>
      <c r="D1074" s="81"/>
      <c r="I1074" s="81"/>
      <c r="K1074" s="82"/>
      <c r="L1074" s="123"/>
      <c r="M1074" s="3"/>
      <c r="N1074" s="3"/>
      <c r="O1074" s="3"/>
      <c r="P1074" s="125"/>
      <c r="Q1074" s="125"/>
      <c r="R1074" s="127"/>
      <c r="S1074" s="123"/>
      <c r="T1074" s="3"/>
      <c r="W1074" s="86"/>
      <c r="Y1074" s="75"/>
    </row>
    <row r="1075" spans="1:25" x14ac:dyDescent="0.25">
      <c r="A1075" s="75"/>
      <c r="C1075" s="81"/>
      <c r="D1075" s="81"/>
      <c r="I1075" s="81"/>
      <c r="K1075" s="82"/>
      <c r="L1075" s="123"/>
      <c r="M1075" s="3"/>
      <c r="N1075" s="3"/>
      <c r="O1075" s="3"/>
      <c r="P1075" s="125"/>
      <c r="Q1075" s="125"/>
      <c r="R1075" s="127"/>
      <c r="S1075" s="123"/>
      <c r="T1075" s="3"/>
      <c r="W1075" s="86"/>
      <c r="Y1075" s="75"/>
    </row>
    <row r="1076" spans="1:25" x14ac:dyDescent="0.25">
      <c r="A1076" s="75"/>
      <c r="C1076" s="81"/>
      <c r="D1076" s="81"/>
      <c r="I1076" s="81"/>
      <c r="K1076" s="82"/>
      <c r="L1076" s="123"/>
      <c r="M1076" s="3"/>
      <c r="N1076" s="3"/>
      <c r="O1076" s="3"/>
      <c r="P1076" s="125"/>
      <c r="Q1076" s="125"/>
      <c r="R1076" s="127"/>
      <c r="S1076" s="123"/>
      <c r="T1076" s="3"/>
      <c r="W1076" s="86"/>
      <c r="Y1076" s="75"/>
    </row>
    <row r="1077" spans="1:25" x14ac:dyDescent="0.25">
      <c r="A1077" s="75"/>
      <c r="C1077" s="81"/>
      <c r="D1077" s="81"/>
      <c r="I1077" s="81"/>
      <c r="K1077" s="82"/>
      <c r="L1077" s="123"/>
      <c r="M1077" s="3"/>
      <c r="N1077" s="3"/>
      <c r="O1077" s="3"/>
      <c r="P1077" s="125"/>
      <c r="Q1077" s="125"/>
      <c r="R1077" s="127"/>
      <c r="S1077" s="123"/>
      <c r="T1077" s="3"/>
      <c r="W1077" s="86"/>
      <c r="Y1077" s="75"/>
    </row>
    <row r="1078" spans="1:25" x14ac:dyDescent="0.25">
      <c r="A1078" s="75"/>
      <c r="C1078" s="81"/>
      <c r="D1078" s="81"/>
      <c r="I1078" s="81"/>
      <c r="K1078" s="82"/>
      <c r="L1078" s="123"/>
      <c r="M1078" s="3"/>
      <c r="N1078" s="3"/>
      <c r="O1078" s="3"/>
      <c r="P1078" s="125"/>
      <c r="Q1078" s="125"/>
      <c r="R1078" s="127"/>
      <c r="S1078" s="123"/>
      <c r="T1078" s="3"/>
      <c r="W1078" s="86"/>
      <c r="Y1078" s="75"/>
    </row>
    <row r="1079" spans="1:25" x14ac:dyDescent="0.25">
      <c r="A1079" s="75"/>
      <c r="C1079" s="81"/>
      <c r="D1079" s="81"/>
      <c r="I1079" s="81"/>
      <c r="K1079" s="82"/>
      <c r="L1079" s="123"/>
      <c r="M1079" s="3"/>
      <c r="N1079" s="3"/>
      <c r="O1079" s="3"/>
      <c r="P1079" s="125"/>
      <c r="Q1079" s="125"/>
      <c r="R1079" s="127"/>
      <c r="S1079" s="123"/>
      <c r="T1079" s="3"/>
      <c r="W1079" s="86"/>
      <c r="Y1079" s="75"/>
    </row>
    <row r="1080" spans="1:25" x14ac:dyDescent="0.25">
      <c r="A1080" s="75"/>
      <c r="C1080" s="81"/>
      <c r="D1080" s="81"/>
      <c r="I1080" s="81"/>
      <c r="K1080" s="82"/>
      <c r="L1080" s="123"/>
      <c r="M1080" s="3"/>
      <c r="N1080" s="3"/>
      <c r="O1080" s="3"/>
      <c r="P1080" s="125"/>
      <c r="Q1080" s="125"/>
      <c r="R1080" s="127"/>
      <c r="S1080" s="123"/>
      <c r="T1080" s="3"/>
      <c r="W1080" s="86"/>
      <c r="Y1080" s="75"/>
    </row>
    <row r="1081" spans="1:25" x14ac:dyDescent="0.25">
      <c r="A1081" s="75"/>
      <c r="C1081" s="81"/>
      <c r="D1081" s="81"/>
      <c r="I1081" s="81"/>
      <c r="K1081" s="82"/>
      <c r="L1081" s="123"/>
      <c r="M1081" s="3"/>
      <c r="N1081" s="3"/>
      <c r="O1081" s="3"/>
      <c r="P1081" s="125"/>
      <c r="Q1081" s="125"/>
      <c r="R1081" s="127"/>
      <c r="S1081" s="123"/>
      <c r="T1081" s="3"/>
      <c r="W1081" s="86"/>
      <c r="Y1081" s="75"/>
    </row>
    <row r="1082" spans="1:25" x14ac:dyDescent="0.25">
      <c r="A1082" s="75"/>
      <c r="C1082" s="81"/>
      <c r="D1082" s="81"/>
      <c r="I1082" s="81"/>
      <c r="K1082" s="82"/>
      <c r="L1082" s="123"/>
      <c r="M1082" s="3"/>
      <c r="N1082" s="3"/>
      <c r="O1082" s="3"/>
      <c r="P1082" s="125"/>
      <c r="Q1082" s="125"/>
      <c r="R1082" s="127"/>
      <c r="S1082" s="123"/>
      <c r="T1082" s="3"/>
      <c r="W1082" s="86"/>
      <c r="Y1082" s="75"/>
    </row>
    <row r="1083" spans="1:25" x14ac:dyDescent="0.25">
      <c r="A1083" s="75"/>
      <c r="C1083" s="81"/>
      <c r="D1083" s="81"/>
      <c r="I1083" s="81"/>
      <c r="K1083" s="82"/>
      <c r="L1083" s="123"/>
      <c r="M1083" s="3"/>
      <c r="N1083" s="3"/>
      <c r="O1083" s="3"/>
      <c r="P1083" s="125"/>
      <c r="Q1083" s="125"/>
      <c r="R1083" s="127"/>
      <c r="S1083" s="123"/>
      <c r="T1083" s="3"/>
      <c r="W1083" s="86"/>
      <c r="Y1083" s="75"/>
    </row>
    <row r="1084" spans="1:25" x14ac:dyDescent="0.25">
      <c r="A1084" s="75"/>
      <c r="C1084" s="81"/>
      <c r="D1084" s="81"/>
      <c r="I1084" s="81"/>
      <c r="K1084" s="82"/>
      <c r="L1084" s="123"/>
      <c r="M1084" s="3"/>
      <c r="N1084" s="3"/>
      <c r="O1084" s="3"/>
      <c r="P1084" s="125"/>
      <c r="Q1084" s="125"/>
      <c r="R1084" s="127"/>
      <c r="S1084" s="123"/>
      <c r="T1084" s="3"/>
      <c r="W1084" s="86"/>
      <c r="Y1084" s="75"/>
    </row>
    <row r="1085" spans="1:25" x14ac:dyDescent="0.25">
      <c r="A1085" s="75"/>
      <c r="C1085" s="81"/>
      <c r="D1085" s="81"/>
      <c r="I1085" s="81"/>
      <c r="K1085" s="82"/>
      <c r="L1085" s="123"/>
      <c r="M1085" s="3"/>
      <c r="N1085" s="3"/>
      <c r="O1085" s="3"/>
      <c r="P1085" s="125"/>
      <c r="Q1085" s="125"/>
      <c r="R1085" s="127"/>
      <c r="S1085" s="123"/>
      <c r="T1085" s="3"/>
      <c r="W1085" s="86"/>
      <c r="Y1085" s="75"/>
    </row>
    <row r="1086" spans="1:25" x14ac:dyDescent="0.25">
      <c r="A1086" s="75"/>
      <c r="C1086" s="81"/>
      <c r="D1086" s="81"/>
      <c r="I1086" s="81"/>
      <c r="K1086" s="82"/>
      <c r="L1086" s="123"/>
      <c r="M1086" s="3"/>
      <c r="N1086" s="3"/>
      <c r="O1086" s="3"/>
      <c r="P1086" s="125"/>
      <c r="Q1086" s="125"/>
      <c r="R1086" s="127"/>
      <c r="S1086" s="123"/>
      <c r="T1086" s="3"/>
      <c r="W1086" s="86"/>
      <c r="Y1086" s="75"/>
    </row>
    <row r="1087" spans="1:25" x14ac:dyDescent="0.25">
      <c r="A1087" s="75"/>
      <c r="C1087" s="81"/>
      <c r="D1087" s="81"/>
      <c r="I1087" s="81"/>
      <c r="K1087" s="82"/>
      <c r="L1087" s="123"/>
      <c r="M1087" s="3"/>
      <c r="N1087" s="3"/>
      <c r="O1087" s="3"/>
      <c r="P1087" s="125"/>
      <c r="Q1087" s="125"/>
      <c r="R1087" s="127"/>
      <c r="S1087" s="123"/>
      <c r="T1087" s="3"/>
      <c r="W1087" s="86"/>
      <c r="Y1087" s="75"/>
    </row>
    <row r="1088" spans="1:25" x14ac:dyDescent="0.25">
      <c r="A1088" s="75"/>
      <c r="C1088" s="81"/>
      <c r="D1088" s="81"/>
      <c r="I1088" s="81"/>
      <c r="K1088" s="82"/>
      <c r="L1088" s="123"/>
      <c r="M1088" s="3"/>
      <c r="N1088" s="3"/>
      <c r="O1088" s="3"/>
      <c r="P1088" s="125"/>
      <c r="Q1088" s="125"/>
      <c r="R1088" s="127"/>
      <c r="S1088" s="123"/>
      <c r="T1088" s="3"/>
      <c r="W1088" s="86"/>
      <c r="Y1088" s="75"/>
    </row>
    <row r="1089" spans="1:25" x14ac:dyDescent="0.25">
      <c r="A1089" s="75"/>
      <c r="C1089" s="81"/>
      <c r="D1089" s="81"/>
      <c r="I1089" s="81"/>
      <c r="K1089" s="82"/>
      <c r="L1089" s="123"/>
      <c r="M1089" s="3"/>
      <c r="N1089" s="3"/>
      <c r="O1089" s="3"/>
      <c r="P1089" s="125"/>
      <c r="Q1089" s="125"/>
      <c r="R1089" s="127"/>
      <c r="S1089" s="123"/>
      <c r="T1089" s="3"/>
      <c r="W1089" s="86"/>
      <c r="Y1089" s="75"/>
    </row>
    <row r="1090" spans="1:25" x14ac:dyDescent="0.25">
      <c r="A1090" s="75"/>
      <c r="C1090" s="81"/>
      <c r="D1090" s="81"/>
      <c r="I1090" s="81"/>
      <c r="K1090" s="82"/>
      <c r="L1090" s="123"/>
      <c r="M1090" s="3"/>
      <c r="N1090" s="3"/>
      <c r="O1090" s="3"/>
      <c r="P1090" s="125"/>
      <c r="Q1090" s="125"/>
      <c r="R1090" s="127"/>
      <c r="S1090" s="123"/>
      <c r="T1090" s="3"/>
      <c r="W1090" s="86"/>
      <c r="Y1090" s="75"/>
    </row>
    <row r="1091" spans="1:25" x14ac:dyDescent="0.25">
      <c r="A1091" s="75"/>
      <c r="C1091" s="81"/>
      <c r="D1091" s="81"/>
      <c r="I1091" s="81"/>
      <c r="K1091" s="82"/>
      <c r="L1091" s="123"/>
      <c r="M1091" s="3"/>
      <c r="N1091" s="3"/>
      <c r="O1091" s="3"/>
      <c r="P1091" s="125"/>
      <c r="Q1091" s="125"/>
      <c r="R1091" s="127"/>
      <c r="S1091" s="123"/>
      <c r="T1091" s="3"/>
      <c r="W1091" s="86"/>
      <c r="Y1091" s="75"/>
    </row>
    <row r="1092" spans="1:25" x14ac:dyDescent="0.25">
      <c r="A1092" s="75"/>
      <c r="C1092" s="81"/>
      <c r="D1092" s="81"/>
      <c r="I1092" s="81"/>
      <c r="K1092" s="82"/>
      <c r="L1092" s="123"/>
      <c r="M1092" s="3"/>
      <c r="N1092" s="3"/>
      <c r="O1092" s="3"/>
      <c r="P1092" s="125"/>
      <c r="Q1092" s="125"/>
      <c r="R1092" s="127"/>
      <c r="S1092" s="123"/>
      <c r="T1092" s="3"/>
      <c r="W1092" s="86"/>
      <c r="Y1092" s="75"/>
    </row>
    <row r="1093" spans="1:25" x14ac:dyDescent="0.25">
      <c r="A1093" s="75"/>
      <c r="C1093" s="81"/>
      <c r="D1093" s="81"/>
      <c r="I1093" s="81"/>
      <c r="K1093" s="82"/>
      <c r="L1093" s="123"/>
      <c r="M1093" s="3"/>
      <c r="N1093" s="3"/>
      <c r="O1093" s="3"/>
      <c r="P1093" s="125"/>
      <c r="Q1093" s="125"/>
      <c r="R1093" s="127"/>
      <c r="S1093" s="123"/>
      <c r="T1093" s="3"/>
      <c r="W1093" s="86"/>
      <c r="Y1093" s="75"/>
    </row>
    <row r="1094" spans="1:25" x14ac:dyDescent="0.25">
      <c r="A1094" s="75"/>
      <c r="C1094" s="81"/>
      <c r="D1094" s="81"/>
      <c r="I1094" s="81"/>
      <c r="K1094" s="82"/>
      <c r="L1094" s="123"/>
      <c r="M1094" s="3"/>
      <c r="N1094" s="3"/>
      <c r="O1094" s="3"/>
      <c r="P1094" s="125"/>
      <c r="Q1094" s="125"/>
      <c r="R1094" s="127"/>
      <c r="S1094" s="123"/>
      <c r="T1094" s="3"/>
      <c r="W1094" s="86"/>
      <c r="Y1094" s="75"/>
    </row>
    <row r="1095" spans="1:25" x14ac:dyDescent="0.25">
      <c r="A1095" s="75"/>
      <c r="C1095" s="81"/>
      <c r="D1095" s="81"/>
      <c r="I1095" s="81"/>
      <c r="K1095" s="82"/>
      <c r="L1095" s="123"/>
      <c r="M1095" s="3"/>
      <c r="N1095" s="3"/>
      <c r="O1095" s="3"/>
      <c r="P1095" s="125"/>
      <c r="Q1095" s="125"/>
      <c r="R1095" s="127"/>
      <c r="S1095" s="123"/>
      <c r="T1095" s="3"/>
      <c r="W1095" s="86"/>
      <c r="Y1095" s="75"/>
    </row>
    <row r="1096" spans="1:25" x14ac:dyDescent="0.25">
      <c r="A1096" s="75"/>
      <c r="C1096" s="81"/>
      <c r="D1096" s="81"/>
      <c r="I1096" s="81"/>
      <c r="K1096" s="82"/>
      <c r="L1096" s="123"/>
      <c r="M1096" s="3"/>
      <c r="N1096" s="3"/>
      <c r="O1096" s="3"/>
      <c r="P1096" s="125"/>
      <c r="Q1096" s="125"/>
      <c r="R1096" s="127"/>
      <c r="S1096" s="123"/>
      <c r="T1096" s="3"/>
      <c r="W1096" s="86"/>
      <c r="Y1096" s="75"/>
    </row>
    <row r="1097" spans="1:25" x14ac:dyDescent="0.25">
      <c r="A1097" s="75"/>
      <c r="C1097" s="81"/>
      <c r="D1097" s="81"/>
      <c r="I1097" s="81"/>
      <c r="K1097" s="82"/>
      <c r="L1097" s="123"/>
      <c r="M1097" s="3"/>
      <c r="N1097" s="3"/>
      <c r="O1097" s="3"/>
      <c r="P1097" s="125"/>
      <c r="Q1097" s="125"/>
      <c r="R1097" s="127"/>
      <c r="S1097" s="123"/>
      <c r="T1097" s="3"/>
      <c r="W1097" s="86"/>
      <c r="Y1097" s="75"/>
    </row>
    <row r="1098" spans="1:25" x14ac:dyDescent="0.25">
      <c r="A1098" s="75"/>
      <c r="C1098" s="81"/>
      <c r="D1098" s="81"/>
      <c r="I1098" s="81"/>
      <c r="K1098" s="82"/>
      <c r="L1098" s="123"/>
      <c r="M1098" s="3"/>
      <c r="N1098" s="3"/>
      <c r="O1098" s="3"/>
      <c r="P1098" s="125"/>
      <c r="Q1098" s="125"/>
      <c r="R1098" s="127"/>
      <c r="S1098" s="123"/>
      <c r="T1098" s="3"/>
      <c r="W1098" s="86"/>
      <c r="Y1098" s="75"/>
    </row>
    <row r="1099" spans="1:25" x14ac:dyDescent="0.25">
      <c r="A1099" s="75"/>
      <c r="C1099" s="81"/>
      <c r="D1099" s="81"/>
      <c r="I1099" s="81"/>
      <c r="K1099" s="82"/>
      <c r="L1099" s="123"/>
      <c r="M1099" s="3"/>
      <c r="N1099" s="3"/>
      <c r="O1099" s="3"/>
      <c r="P1099" s="125"/>
      <c r="Q1099" s="125"/>
      <c r="R1099" s="127"/>
      <c r="S1099" s="123"/>
      <c r="T1099" s="3"/>
      <c r="W1099" s="86"/>
      <c r="Y1099" s="75"/>
    </row>
    <row r="1100" spans="1:25" x14ac:dyDescent="0.25">
      <c r="A1100" s="75"/>
      <c r="C1100" s="81"/>
      <c r="D1100" s="81"/>
      <c r="I1100" s="81"/>
      <c r="K1100" s="82"/>
      <c r="L1100" s="123"/>
      <c r="M1100" s="3"/>
      <c r="N1100" s="3"/>
      <c r="O1100" s="3"/>
      <c r="P1100" s="125"/>
      <c r="Q1100" s="125"/>
      <c r="R1100" s="127"/>
      <c r="S1100" s="123"/>
      <c r="T1100" s="3"/>
      <c r="W1100" s="86"/>
      <c r="Y1100" s="75"/>
    </row>
    <row r="1101" spans="1:25" x14ac:dyDescent="0.25">
      <c r="A1101" s="75"/>
      <c r="C1101" s="81"/>
      <c r="D1101" s="81"/>
      <c r="I1101" s="81"/>
      <c r="K1101" s="82"/>
      <c r="L1101" s="123"/>
      <c r="M1101" s="3"/>
      <c r="N1101" s="3"/>
      <c r="O1101" s="3"/>
      <c r="P1101" s="125"/>
      <c r="Q1101" s="125"/>
      <c r="R1101" s="127"/>
      <c r="S1101" s="123"/>
      <c r="T1101" s="3"/>
      <c r="W1101" s="86"/>
      <c r="Y1101" s="75"/>
    </row>
    <row r="1102" spans="1:25" x14ac:dyDescent="0.25">
      <c r="A1102" s="75"/>
      <c r="C1102" s="81"/>
      <c r="D1102" s="81"/>
      <c r="I1102" s="81"/>
      <c r="K1102" s="82"/>
      <c r="L1102" s="123"/>
      <c r="M1102" s="3"/>
      <c r="N1102" s="3"/>
      <c r="O1102" s="3"/>
      <c r="P1102" s="125"/>
      <c r="Q1102" s="125"/>
      <c r="R1102" s="127"/>
      <c r="S1102" s="123"/>
      <c r="T1102" s="3"/>
      <c r="W1102" s="86"/>
      <c r="Y1102" s="75"/>
    </row>
    <row r="1103" spans="1:25" x14ac:dyDescent="0.25">
      <c r="A1103" s="75"/>
      <c r="C1103" s="81"/>
      <c r="D1103" s="81"/>
      <c r="I1103" s="81"/>
      <c r="K1103" s="82"/>
      <c r="L1103" s="123"/>
      <c r="M1103" s="3"/>
      <c r="N1103" s="3"/>
      <c r="O1103" s="3"/>
      <c r="P1103" s="125"/>
      <c r="Q1103" s="125"/>
      <c r="R1103" s="127"/>
      <c r="S1103" s="123"/>
      <c r="T1103" s="3"/>
      <c r="W1103" s="86"/>
      <c r="Y1103" s="75"/>
    </row>
    <row r="1104" spans="1:25" x14ac:dyDescent="0.25">
      <c r="A1104" s="75"/>
      <c r="C1104" s="81"/>
      <c r="D1104" s="81"/>
      <c r="I1104" s="81"/>
      <c r="K1104" s="82"/>
      <c r="L1104" s="123"/>
      <c r="M1104" s="3"/>
      <c r="N1104" s="3"/>
      <c r="O1104" s="3"/>
      <c r="P1104" s="125"/>
      <c r="Q1104" s="125"/>
      <c r="R1104" s="127"/>
      <c r="S1104" s="123"/>
      <c r="T1104" s="3"/>
      <c r="W1104" s="86"/>
      <c r="Y1104" s="75"/>
    </row>
    <row r="1105" spans="1:25" x14ac:dyDescent="0.25">
      <c r="A1105" s="75"/>
      <c r="C1105" s="81"/>
      <c r="D1105" s="81"/>
      <c r="I1105" s="81"/>
      <c r="K1105" s="82"/>
      <c r="L1105" s="123"/>
      <c r="M1105" s="3"/>
      <c r="N1105" s="3"/>
      <c r="O1105" s="3"/>
      <c r="P1105" s="125"/>
      <c r="Q1105" s="125"/>
      <c r="R1105" s="127"/>
      <c r="S1105" s="123"/>
      <c r="T1105" s="3"/>
      <c r="W1105" s="86"/>
      <c r="Y1105" s="75"/>
    </row>
    <row r="1106" spans="1:25" x14ac:dyDescent="0.25">
      <c r="A1106" s="75"/>
      <c r="C1106" s="81"/>
      <c r="D1106" s="81"/>
      <c r="I1106" s="81"/>
      <c r="K1106" s="82"/>
      <c r="L1106" s="123"/>
      <c r="M1106" s="3"/>
      <c r="N1106" s="3"/>
      <c r="O1106" s="3"/>
      <c r="P1106" s="125"/>
      <c r="Q1106" s="125"/>
      <c r="R1106" s="127"/>
      <c r="S1106" s="123"/>
      <c r="T1106" s="3"/>
      <c r="W1106" s="86"/>
      <c r="Y1106" s="75"/>
    </row>
    <row r="1107" spans="1:25" x14ac:dyDescent="0.25">
      <c r="A1107" s="75"/>
      <c r="C1107" s="81"/>
      <c r="D1107" s="81"/>
      <c r="I1107" s="81"/>
      <c r="K1107" s="82"/>
      <c r="L1107" s="123"/>
      <c r="M1107" s="3"/>
      <c r="N1107" s="3"/>
      <c r="O1107" s="3"/>
      <c r="P1107" s="125"/>
      <c r="Q1107" s="125"/>
      <c r="R1107" s="127"/>
      <c r="S1107" s="123"/>
      <c r="T1107" s="3"/>
      <c r="W1107" s="86"/>
      <c r="Y1107" s="75"/>
    </row>
    <row r="1108" spans="1:25" x14ac:dyDescent="0.25">
      <c r="A1108" s="75"/>
      <c r="C1108" s="81"/>
      <c r="D1108" s="81"/>
      <c r="I1108" s="81"/>
      <c r="K1108" s="82"/>
      <c r="L1108" s="123"/>
      <c r="M1108" s="3"/>
      <c r="N1108" s="3"/>
      <c r="O1108" s="3"/>
      <c r="P1108" s="125"/>
      <c r="Q1108" s="125"/>
      <c r="R1108" s="127"/>
      <c r="S1108" s="123"/>
      <c r="T1108" s="3"/>
      <c r="W1108" s="86"/>
      <c r="Y1108" s="75"/>
    </row>
    <row r="1109" spans="1:25" x14ac:dyDescent="0.25">
      <c r="A1109" s="75"/>
      <c r="C1109" s="81"/>
      <c r="D1109" s="81"/>
      <c r="I1109" s="81"/>
      <c r="K1109" s="82"/>
      <c r="L1109" s="123"/>
      <c r="M1109" s="3"/>
      <c r="N1109" s="3"/>
      <c r="O1109" s="3"/>
      <c r="P1109" s="125"/>
      <c r="Q1109" s="125"/>
      <c r="R1109" s="127"/>
      <c r="S1109" s="123"/>
      <c r="T1109" s="3"/>
      <c r="W1109" s="86"/>
      <c r="Y1109" s="75"/>
    </row>
    <row r="1110" spans="1:25" x14ac:dyDescent="0.25">
      <c r="A1110" s="75"/>
      <c r="C1110" s="81"/>
      <c r="D1110" s="81"/>
      <c r="I1110" s="81"/>
      <c r="K1110" s="82"/>
      <c r="L1110" s="123"/>
      <c r="M1110" s="3"/>
      <c r="N1110" s="3"/>
      <c r="O1110" s="3"/>
      <c r="P1110" s="125"/>
      <c r="Q1110" s="125"/>
      <c r="R1110" s="127"/>
      <c r="S1110" s="123"/>
      <c r="T1110" s="3"/>
      <c r="W1110" s="86"/>
      <c r="Y1110" s="75"/>
    </row>
    <row r="1111" spans="1:25" x14ac:dyDescent="0.25">
      <c r="A1111" s="75"/>
      <c r="C1111" s="81"/>
      <c r="D1111" s="81"/>
      <c r="I1111" s="81"/>
      <c r="K1111" s="82"/>
      <c r="L1111" s="123"/>
      <c r="M1111" s="3"/>
      <c r="N1111" s="3"/>
      <c r="O1111" s="3"/>
      <c r="P1111" s="125"/>
      <c r="Q1111" s="125"/>
      <c r="R1111" s="127"/>
      <c r="S1111" s="123"/>
      <c r="T1111" s="3"/>
      <c r="W1111" s="86"/>
      <c r="Y1111" s="75"/>
    </row>
    <row r="1112" spans="1:25" x14ac:dyDescent="0.25">
      <c r="A1112" s="75"/>
      <c r="C1112" s="81"/>
      <c r="D1112" s="81"/>
      <c r="I1112" s="81"/>
      <c r="K1112" s="82"/>
      <c r="L1112" s="123"/>
      <c r="M1112" s="3"/>
      <c r="N1112" s="3"/>
      <c r="O1112" s="3"/>
      <c r="P1112" s="125"/>
      <c r="Q1112" s="125"/>
      <c r="R1112" s="127"/>
      <c r="S1112" s="123"/>
      <c r="T1112" s="3"/>
      <c r="W1112" s="86"/>
      <c r="Y1112" s="75"/>
    </row>
    <row r="1113" spans="1:25" x14ac:dyDescent="0.25">
      <c r="A1113" s="75"/>
      <c r="C1113" s="81"/>
      <c r="D1113" s="81"/>
      <c r="I1113" s="81"/>
      <c r="K1113" s="82"/>
      <c r="L1113" s="123"/>
      <c r="M1113" s="3"/>
      <c r="N1113" s="3"/>
      <c r="O1113" s="3"/>
      <c r="P1113" s="125"/>
      <c r="Q1113" s="125"/>
      <c r="R1113" s="127"/>
      <c r="S1113" s="123"/>
      <c r="T1113" s="3"/>
      <c r="W1113" s="86"/>
      <c r="Y1113" s="75"/>
    </row>
    <row r="1114" spans="1:25" x14ac:dyDescent="0.25">
      <c r="A1114" s="75"/>
      <c r="C1114" s="81"/>
      <c r="D1114" s="81"/>
      <c r="I1114" s="81"/>
      <c r="K1114" s="82"/>
      <c r="L1114" s="123"/>
      <c r="M1114" s="3"/>
      <c r="N1114" s="3"/>
      <c r="O1114" s="3"/>
      <c r="P1114" s="125"/>
      <c r="Q1114" s="125"/>
      <c r="R1114" s="127"/>
      <c r="S1114" s="123"/>
      <c r="T1114" s="3"/>
      <c r="W1114" s="86"/>
      <c r="Y1114" s="75"/>
    </row>
    <row r="1115" spans="1:25" x14ac:dyDescent="0.25">
      <c r="A1115" s="75"/>
      <c r="C1115" s="81"/>
      <c r="D1115" s="81"/>
      <c r="I1115" s="81"/>
      <c r="K1115" s="82"/>
      <c r="L1115" s="123"/>
      <c r="M1115" s="3"/>
      <c r="N1115" s="3"/>
      <c r="O1115" s="3"/>
      <c r="P1115" s="125"/>
      <c r="Q1115" s="125"/>
      <c r="R1115" s="127"/>
      <c r="S1115" s="123"/>
      <c r="T1115" s="3"/>
      <c r="W1115" s="86"/>
      <c r="Y1115" s="75"/>
    </row>
    <row r="1116" spans="1:25" x14ac:dyDescent="0.25">
      <c r="A1116" s="75"/>
      <c r="C1116" s="81"/>
      <c r="D1116" s="81"/>
      <c r="I1116" s="81"/>
      <c r="K1116" s="82"/>
      <c r="L1116" s="123"/>
      <c r="M1116" s="3"/>
      <c r="N1116" s="3"/>
      <c r="O1116" s="3"/>
      <c r="P1116" s="125"/>
      <c r="Q1116" s="125"/>
      <c r="R1116" s="127"/>
      <c r="S1116" s="123"/>
      <c r="T1116" s="3"/>
      <c r="W1116" s="86"/>
      <c r="Y1116" s="75"/>
    </row>
    <row r="1117" spans="1:25" x14ac:dyDescent="0.25">
      <c r="A1117" s="75"/>
      <c r="C1117" s="81"/>
      <c r="D1117" s="81"/>
      <c r="I1117" s="81"/>
      <c r="K1117" s="82"/>
      <c r="L1117" s="123"/>
      <c r="M1117" s="3"/>
      <c r="N1117" s="3"/>
      <c r="O1117" s="3"/>
      <c r="P1117" s="125"/>
      <c r="Q1117" s="125"/>
      <c r="R1117" s="127"/>
      <c r="S1117" s="123"/>
      <c r="T1117" s="3"/>
      <c r="W1117" s="86"/>
      <c r="Y1117" s="75"/>
    </row>
    <row r="1118" spans="1:25" x14ac:dyDescent="0.25">
      <c r="A1118" s="75"/>
      <c r="C1118" s="81"/>
      <c r="D1118" s="81"/>
      <c r="I1118" s="81"/>
      <c r="K1118" s="82"/>
      <c r="L1118" s="123"/>
      <c r="M1118" s="3"/>
      <c r="N1118" s="3"/>
      <c r="O1118" s="3"/>
      <c r="P1118" s="125"/>
      <c r="Q1118" s="125"/>
      <c r="R1118" s="127"/>
      <c r="S1118" s="123"/>
      <c r="T1118" s="3"/>
      <c r="W1118" s="86"/>
      <c r="Y1118" s="75"/>
    </row>
    <row r="1119" spans="1:25" x14ac:dyDescent="0.25">
      <c r="A1119" s="75"/>
      <c r="C1119" s="81"/>
      <c r="D1119" s="81"/>
      <c r="I1119" s="81"/>
      <c r="K1119" s="82"/>
      <c r="L1119" s="123"/>
      <c r="M1119" s="3"/>
      <c r="N1119" s="3"/>
      <c r="O1119" s="3"/>
      <c r="P1119" s="125"/>
      <c r="Q1119" s="125"/>
      <c r="R1119" s="127"/>
      <c r="S1119" s="123"/>
      <c r="T1119" s="3"/>
      <c r="W1119" s="86"/>
      <c r="Y1119" s="75"/>
    </row>
    <row r="1120" spans="1:25" x14ac:dyDescent="0.25">
      <c r="A1120" s="75"/>
      <c r="C1120" s="81"/>
      <c r="D1120" s="81"/>
      <c r="I1120" s="81"/>
      <c r="K1120" s="82"/>
      <c r="L1120" s="123"/>
      <c r="M1120" s="3"/>
      <c r="N1120" s="3"/>
      <c r="O1120" s="3"/>
      <c r="P1120" s="125"/>
      <c r="Q1120" s="125"/>
      <c r="R1120" s="127"/>
      <c r="S1120" s="123"/>
      <c r="T1120" s="3"/>
      <c r="W1120" s="86"/>
      <c r="Y1120" s="75"/>
    </row>
    <row r="1121" spans="1:25" x14ac:dyDescent="0.25">
      <c r="A1121" s="75"/>
      <c r="C1121" s="81"/>
      <c r="D1121" s="81"/>
      <c r="I1121" s="81"/>
      <c r="K1121" s="82"/>
      <c r="L1121" s="123"/>
      <c r="M1121" s="3"/>
      <c r="N1121" s="3"/>
      <c r="O1121" s="3"/>
      <c r="P1121" s="125"/>
      <c r="Q1121" s="125"/>
      <c r="R1121" s="127"/>
      <c r="S1121" s="123"/>
      <c r="T1121" s="3"/>
      <c r="W1121" s="86"/>
      <c r="Y1121" s="75"/>
    </row>
    <row r="1122" spans="1:25" x14ac:dyDescent="0.25">
      <c r="A1122" s="75"/>
      <c r="C1122" s="81"/>
      <c r="D1122" s="81"/>
      <c r="I1122" s="81"/>
      <c r="K1122" s="82"/>
      <c r="L1122" s="123"/>
      <c r="M1122" s="3"/>
      <c r="N1122" s="3"/>
      <c r="O1122" s="3"/>
      <c r="P1122" s="125"/>
      <c r="Q1122" s="125"/>
      <c r="R1122" s="127"/>
      <c r="S1122" s="123"/>
      <c r="T1122" s="3"/>
      <c r="W1122" s="86"/>
      <c r="Y1122" s="75"/>
    </row>
    <row r="1123" spans="1:25" x14ac:dyDescent="0.25">
      <c r="A1123" s="75"/>
      <c r="C1123" s="81"/>
      <c r="D1123" s="81"/>
      <c r="I1123" s="81"/>
      <c r="K1123" s="82"/>
      <c r="L1123" s="123"/>
      <c r="M1123" s="3"/>
      <c r="N1123" s="3"/>
      <c r="O1123" s="3"/>
      <c r="P1123" s="125"/>
      <c r="Q1123" s="125"/>
      <c r="R1123" s="127"/>
      <c r="S1123" s="123"/>
      <c r="T1123" s="3"/>
      <c r="W1123" s="86"/>
      <c r="Y1123" s="75"/>
    </row>
    <row r="1124" spans="1:25" x14ac:dyDescent="0.25">
      <c r="A1124" s="75"/>
      <c r="C1124" s="81"/>
      <c r="D1124" s="81"/>
      <c r="I1124" s="81"/>
      <c r="K1124" s="82"/>
      <c r="L1124" s="123"/>
      <c r="M1124" s="3"/>
      <c r="N1124" s="3"/>
      <c r="O1124" s="3"/>
      <c r="P1124" s="125"/>
      <c r="Q1124" s="125"/>
      <c r="R1124" s="127"/>
      <c r="S1124" s="123"/>
      <c r="T1124" s="3"/>
      <c r="W1124" s="86"/>
      <c r="Y1124" s="75"/>
    </row>
    <row r="1125" spans="1:25" x14ac:dyDescent="0.25">
      <c r="A1125" s="75"/>
      <c r="C1125" s="81"/>
      <c r="D1125" s="81"/>
      <c r="I1125" s="81"/>
      <c r="K1125" s="82"/>
      <c r="L1125" s="123"/>
      <c r="M1125" s="3"/>
      <c r="N1125" s="3"/>
      <c r="O1125" s="3"/>
      <c r="P1125" s="125"/>
      <c r="Q1125" s="125"/>
      <c r="R1125" s="127"/>
      <c r="S1125" s="123"/>
      <c r="T1125" s="3"/>
      <c r="W1125" s="86"/>
      <c r="Y1125" s="75"/>
    </row>
    <row r="1126" spans="1:25" x14ac:dyDescent="0.25">
      <c r="A1126" s="75"/>
      <c r="C1126" s="81"/>
      <c r="D1126" s="81"/>
      <c r="I1126" s="81"/>
      <c r="K1126" s="82"/>
      <c r="L1126" s="123"/>
      <c r="M1126" s="3"/>
      <c r="N1126" s="3"/>
      <c r="O1126" s="3"/>
      <c r="P1126" s="125"/>
      <c r="Q1126" s="125"/>
      <c r="R1126" s="127"/>
      <c r="S1126" s="123"/>
      <c r="T1126" s="3"/>
      <c r="W1126" s="86"/>
      <c r="Y1126" s="75"/>
    </row>
    <row r="1127" spans="1:25" x14ac:dyDescent="0.25">
      <c r="A1127" s="75"/>
      <c r="C1127" s="81"/>
      <c r="D1127" s="81"/>
      <c r="I1127" s="81"/>
      <c r="K1127" s="82"/>
      <c r="L1127" s="123"/>
      <c r="M1127" s="3"/>
      <c r="N1127" s="3"/>
      <c r="O1127" s="3"/>
      <c r="P1127" s="125"/>
      <c r="Q1127" s="125"/>
      <c r="R1127" s="127"/>
      <c r="S1127" s="123"/>
      <c r="T1127" s="3"/>
      <c r="W1127" s="86"/>
      <c r="Y1127" s="75"/>
    </row>
    <row r="1128" spans="1:25" x14ac:dyDescent="0.25">
      <c r="A1128" s="75"/>
      <c r="C1128" s="81"/>
      <c r="D1128" s="81"/>
      <c r="I1128" s="81"/>
      <c r="K1128" s="82"/>
      <c r="L1128" s="123"/>
      <c r="M1128" s="3"/>
      <c r="N1128" s="3"/>
      <c r="O1128" s="3"/>
      <c r="P1128" s="125"/>
      <c r="Q1128" s="125"/>
      <c r="R1128" s="127"/>
      <c r="S1128" s="123"/>
      <c r="T1128" s="3"/>
      <c r="W1128" s="86"/>
      <c r="Y1128" s="75"/>
    </row>
    <row r="1129" spans="1:25" x14ac:dyDescent="0.25">
      <c r="A1129" s="75"/>
      <c r="C1129" s="81"/>
      <c r="D1129" s="81"/>
      <c r="I1129" s="81"/>
      <c r="K1129" s="82"/>
      <c r="L1129" s="123"/>
      <c r="M1129" s="3"/>
      <c r="N1129" s="3"/>
      <c r="O1129" s="3"/>
      <c r="P1129" s="125"/>
      <c r="Q1129" s="125"/>
      <c r="R1129" s="127"/>
      <c r="S1129" s="123"/>
      <c r="T1129" s="3"/>
      <c r="W1129" s="86"/>
      <c r="Y1129" s="75"/>
    </row>
    <row r="1130" spans="1:25" x14ac:dyDescent="0.25">
      <c r="A1130" s="75"/>
      <c r="C1130" s="81"/>
      <c r="D1130" s="81"/>
      <c r="I1130" s="81"/>
      <c r="K1130" s="82"/>
      <c r="L1130" s="123"/>
      <c r="M1130" s="3"/>
      <c r="N1130" s="3"/>
      <c r="O1130" s="3"/>
      <c r="P1130" s="125"/>
      <c r="Q1130" s="125"/>
      <c r="R1130" s="127"/>
      <c r="S1130" s="123"/>
      <c r="T1130" s="3"/>
      <c r="W1130" s="86"/>
      <c r="Y1130" s="75"/>
    </row>
    <row r="1131" spans="1:25" x14ac:dyDescent="0.25">
      <c r="A1131" s="75"/>
      <c r="C1131" s="81"/>
      <c r="D1131" s="81"/>
      <c r="I1131" s="81"/>
      <c r="K1131" s="82"/>
      <c r="L1131" s="123"/>
      <c r="M1131" s="3"/>
      <c r="N1131" s="3"/>
      <c r="O1131" s="3"/>
      <c r="P1131" s="125"/>
      <c r="Q1131" s="125"/>
      <c r="R1131" s="127"/>
      <c r="S1131" s="123"/>
      <c r="T1131" s="3"/>
      <c r="W1131" s="86"/>
      <c r="Y1131" s="75"/>
    </row>
    <row r="1132" spans="1:25" x14ac:dyDescent="0.25">
      <c r="A1132" s="75"/>
      <c r="C1132" s="81"/>
      <c r="D1132" s="81"/>
      <c r="I1132" s="81"/>
      <c r="K1132" s="82"/>
      <c r="L1132" s="123"/>
      <c r="M1132" s="3"/>
      <c r="N1132" s="3"/>
      <c r="O1132" s="3"/>
      <c r="P1132" s="125"/>
      <c r="Q1132" s="125"/>
      <c r="R1132" s="127"/>
      <c r="S1132" s="123"/>
      <c r="T1132" s="3"/>
      <c r="W1132" s="86"/>
      <c r="Y1132" s="75"/>
    </row>
    <row r="1133" spans="1:25" x14ac:dyDescent="0.25">
      <c r="A1133" s="75"/>
      <c r="C1133" s="81"/>
      <c r="D1133" s="81"/>
      <c r="I1133" s="81"/>
      <c r="K1133" s="82"/>
      <c r="L1133" s="123"/>
      <c r="M1133" s="3"/>
      <c r="N1133" s="3"/>
      <c r="O1133" s="3"/>
      <c r="P1133" s="125"/>
      <c r="Q1133" s="125"/>
      <c r="R1133" s="127"/>
      <c r="S1133" s="123"/>
      <c r="T1133" s="3"/>
      <c r="W1133" s="86"/>
      <c r="Y1133" s="75"/>
    </row>
    <row r="1134" spans="1:25" x14ac:dyDescent="0.25">
      <c r="A1134" s="75"/>
      <c r="C1134" s="81"/>
      <c r="D1134" s="81"/>
      <c r="I1134" s="81"/>
      <c r="K1134" s="82"/>
      <c r="L1134" s="123"/>
      <c r="M1134" s="3"/>
      <c r="N1134" s="3"/>
      <c r="O1134" s="3"/>
      <c r="P1134" s="125"/>
      <c r="Q1134" s="125"/>
      <c r="R1134" s="127"/>
      <c r="S1134" s="123"/>
      <c r="T1134" s="3"/>
      <c r="W1134" s="86"/>
      <c r="Y1134" s="75"/>
    </row>
    <row r="1135" spans="1:25" x14ac:dyDescent="0.25">
      <c r="A1135" s="75"/>
      <c r="C1135" s="81"/>
      <c r="D1135" s="81"/>
      <c r="I1135" s="81"/>
      <c r="K1135" s="82"/>
      <c r="L1135" s="123"/>
      <c r="M1135" s="3"/>
      <c r="N1135" s="3"/>
      <c r="O1135" s="3"/>
      <c r="P1135" s="125"/>
      <c r="Q1135" s="125"/>
      <c r="R1135" s="127"/>
      <c r="S1135" s="123"/>
      <c r="T1135" s="3"/>
      <c r="W1135" s="86"/>
      <c r="Y1135" s="75"/>
    </row>
    <row r="1136" spans="1:25" x14ac:dyDescent="0.25">
      <c r="A1136" s="75"/>
      <c r="C1136" s="81"/>
      <c r="D1136" s="81"/>
      <c r="I1136" s="81"/>
      <c r="K1136" s="82"/>
      <c r="L1136" s="123"/>
      <c r="M1136" s="3"/>
      <c r="N1136" s="3"/>
      <c r="O1136" s="3"/>
      <c r="P1136" s="125"/>
      <c r="Q1136" s="125"/>
      <c r="R1136" s="127"/>
      <c r="S1136" s="123"/>
      <c r="T1136" s="3"/>
      <c r="W1136" s="86"/>
      <c r="Y1136" s="75"/>
    </row>
    <row r="1137" spans="1:25" x14ac:dyDescent="0.25">
      <c r="A1137" s="75"/>
      <c r="C1137" s="81"/>
      <c r="D1137" s="81"/>
      <c r="I1137" s="81"/>
      <c r="K1137" s="82"/>
      <c r="L1137" s="123"/>
      <c r="M1137" s="3"/>
      <c r="N1137" s="3"/>
      <c r="O1137" s="3"/>
      <c r="P1137" s="125"/>
      <c r="Q1137" s="125"/>
      <c r="R1137" s="127"/>
      <c r="S1137" s="123"/>
      <c r="T1137" s="3"/>
      <c r="W1137" s="86"/>
      <c r="Y1137" s="75"/>
    </row>
    <row r="1138" spans="1:25" x14ac:dyDescent="0.25">
      <c r="A1138" s="75"/>
      <c r="C1138" s="81"/>
      <c r="D1138" s="81"/>
      <c r="I1138" s="81"/>
      <c r="K1138" s="82"/>
      <c r="L1138" s="123"/>
      <c r="M1138" s="3"/>
      <c r="N1138" s="3"/>
      <c r="O1138" s="3"/>
      <c r="P1138" s="125"/>
      <c r="Q1138" s="125"/>
      <c r="R1138" s="127"/>
      <c r="S1138" s="123"/>
      <c r="T1138" s="3"/>
      <c r="W1138" s="86"/>
      <c r="Y1138" s="75"/>
    </row>
    <row r="1139" spans="1:25" x14ac:dyDescent="0.25">
      <c r="A1139" s="75"/>
      <c r="C1139" s="81"/>
      <c r="D1139" s="81"/>
      <c r="I1139" s="81"/>
      <c r="K1139" s="82"/>
      <c r="L1139" s="123"/>
      <c r="M1139" s="3"/>
      <c r="N1139" s="3"/>
      <c r="O1139" s="3"/>
      <c r="P1139" s="125"/>
      <c r="Q1139" s="125"/>
      <c r="R1139" s="127"/>
      <c r="S1139" s="123"/>
      <c r="T1139" s="3"/>
      <c r="W1139" s="86"/>
      <c r="Y1139" s="75"/>
    </row>
    <row r="1140" spans="1:25" x14ac:dyDescent="0.25">
      <c r="A1140" s="75"/>
      <c r="C1140" s="81"/>
      <c r="D1140" s="81"/>
      <c r="I1140" s="81"/>
      <c r="K1140" s="82"/>
      <c r="L1140" s="123"/>
      <c r="M1140" s="3"/>
      <c r="N1140" s="3"/>
      <c r="O1140" s="3"/>
      <c r="P1140" s="125"/>
      <c r="Q1140" s="125"/>
      <c r="R1140" s="127"/>
      <c r="S1140" s="123"/>
      <c r="T1140" s="3"/>
      <c r="W1140" s="86"/>
      <c r="Y1140" s="75"/>
    </row>
    <row r="1141" spans="1:25" x14ac:dyDescent="0.25">
      <c r="A1141" s="75"/>
      <c r="C1141" s="81"/>
      <c r="D1141" s="81"/>
      <c r="I1141" s="81"/>
      <c r="K1141" s="82"/>
      <c r="L1141" s="123"/>
      <c r="M1141" s="3"/>
      <c r="N1141" s="3"/>
      <c r="O1141" s="3"/>
      <c r="P1141" s="125"/>
      <c r="Q1141" s="125"/>
      <c r="R1141" s="127"/>
      <c r="S1141" s="123"/>
      <c r="T1141" s="3"/>
      <c r="W1141" s="86"/>
      <c r="Y1141" s="75"/>
    </row>
    <row r="1142" spans="1:25" x14ac:dyDescent="0.25">
      <c r="A1142" s="75"/>
      <c r="C1142" s="81"/>
      <c r="D1142" s="81"/>
      <c r="I1142" s="81"/>
      <c r="K1142" s="82"/>
      <c r="L1142" s="123"/>
      <c r="M1142" s="3"/>
      <c r="N1142" s="3"/>
      <c r="O1142" s="3"/>
      <c r="P1142" s="125"/>
      <c r="Q1142" s="125"/>
      <c r="R1142" s="127"/>
      <c r="S1142" s="123"/>
      <c r="T1142" s="3"/>
      <c r="W1142" s="86"/>
      <c r="Y1142" s="75"/>
    </row>
    <row r="1143" spans="1:25" x14ac:dyDescent="0.25">
      <c r="A1143" s="75"/>
      <c r="C1143" s="81"/>
      <c r="D1143" s="81"/>
      <c r="I1143" s="81"/>
      <c r="K1143" s="82"/>
      <c r="L1143" s="123"/>
      <c r="M1143" s="3"/>
      <c r="N1143" s="3"/>
      <c r="O1143" s="3"/>
      <c r="P1143" s="125"/>
      <c r="Q1143" s="125"/>
      <c r="R1143" s="127"/>
      <c r="S1143" s="123"/>
      <c r="T1143" s="3"/>
      <c r="W1143" s="86"/>
      <c r="Y1143" s="75"/>
    </row>
    <row r="1144" spans="1:25" x14ac:dyDescent="0.25">
      <c r="A1144" s="75"/>
      <c r="C1144" s="81"/>
      <c r="D1144" s="81"/>
      <c r="I1144" s="81"/>
      <c r="K1144" s="82"/>
      <c r="L1144" s="123"/>
      <c r="M1144" s="3"/>
      <c r="N1144" s="3"/>
      <c r="O1144" s="3"/>
      <c r="P1144" s="125"/>
      <c r="Q1144" s="125"/>
      <c r="R1144" s="127"/>
      <c r="S1144" s="123"/>
      <c r="T1144" s="3"/>
      <c r="W1144" s="86"/>
      <c r="Y1144" s="75"/>
    </row>
    <row r="1145" spans="1:25" x14ac:dyDescent="0.25">
      <c r="A1145" s="75"/>
      <c r="C1145" s="81"/>
      <c r="D1145" s="81"/>
      <c r="I1145" s="81"/>
      <c r="K1145" s="82"/>
      <c r="L1145" s="123"/>
      <c r="M1145" s="3"/>
      <c r="N1145" s="3"/>
      <c r="O1145" s="3"/>
      <c r="P1145" s="125"/>
      <c r="Q1145" s="125"/>
      <c r="R1145" s="127"/>
      <c r="S1145" s="123"/>
      <c r="T1145" s="3"/>
      <c r="W1145" s="86"/>
      <c r="Y1145" s="75"/>
    </row>
    <row r="1146" spans="1:25" x14ac:dyDescent="0.25">
      <c r="A1146" s="75"/>
      <c r="C1146" s="81"/>
      <c r="D1146" s="81"/>
      <c r="I1146" s="81"/>
      <c r="K1146" s="82"/>
      <c r="L1146" s="123"/>
      <c r="M1146" s="3"/>
      <c r="N1146" s="3"/>
      <c r="O1146" s="3"/>
      <c r="P1146" s="125"/>
      <c r="Q1146" s="125"/>
      <c r="R1146" s="127"/>
      <c r="S1146" s="123"/>
      <c r="T1146" s="3"/>
      <c r="W1146" s="86"/>
      <c r="Y1146" s="75"/>
    </row>
    <row r="1147" spans="1:25" x14ac:dyDescent="0.25">
      <c r="A1147" s="75"/>
      <c r="C1147" s="81"/>
      <c r="D1147" s="81"/>
      <c r="I1147" s="81"/>
      <c r="K1147" s="82"/>
      <c r="L1147" s="123"/>
      <c r="M1147" s="3"/>
      <c r="N1147" s="3"/>
      <c r="O1147" s="3"/>
      <c r="P1147" s="125"/>
      <c r="Q1147" s="125"/>
      <c r="R1147" s="127"/>
      <c r="S1147" s="123"/>
      <c r="T1147" s="3"/>
      <c r="W1147" s="86"/>
      <c r="Y1147" s="75"/>
    </row>
    <row r="1148" spans="1:25" x14ac:dyDescent="0.25">
      <c r="A1148" s="75"/>
      <c r="C1148" s="81"/>
      <c r="D1148" s="81"/>
      <c r="I1148" s="81"/>
      <c r="K1148" s="82"/>
      <c r="L1148" s="123"/>
      <c r="M1148" s="3"/>
      <c r="N1148" s="3"/>
      <c r="O1148" s="3"/>
      <c r="P1148" s="125"/>
      <c r="Q1148" s="125"/>
      <c r="R1148" s="127"/>
      <c r="S1148" s="123"/>
      <c r="T1148" s="3"/>
      <c r="W1148" s="86"/>
      <c r="Y1148" s="75"/>
    </row>
    <row r="1149" spans="1:25" x14ac:dyDescent="0.25">
      <c r="A1149" s="75"/>
      <c r="C1149" s="81"/>
      <c r="D1149" s="81"/>
      <c r="I1149" s="81"/>
      <c r="K1149" s="82"/>
      <c r="L1149" s="123"/>
      <c r="M1149" s="3"/>
      <c r="N1149" s="3"/>
      <c r="O1149" s="3"/>
      <c r="P1149" s="125"/>
      <c r="Q1149" s="125"/>
      <c r="R1149" s="127"/>
      <c r="S1149" s="123"/>
      <c r="T1149" s="3"/>
      <c r="W1149" s="86"/>
      <c r="Y1149" s="75"/>
    </row>
    <row r="1150" spans="1:25" x14ac:dyDescent="0.25">
      <c r="A1150" s="75"/>
      <c r="C1150" s="81"/>
      <c r="D1150" s="81"/>
      <c r="I1150" s="81"/>
      <c r="K1150" s="82"/>
      <c r="L1150" s="123"/>
      <c r="M1150" s="3"/>
      <c r="N1150" s="3"/>
      <c r="O1150" s="3"/>
      <c r="P1150" s="125"/>
      <c r="Q1150" s="125"/>
      <c r="R1150" s="127"/>
      <c r="S1150" s="123"/>
      <c r="T1150" s="3"/>
      <c r="W1150" s="86"/>
      <c r="Y1150" s="75"/>
    </row>
    <row r="1151" spans="1:25" x14ac:dyDescent="0.25">
      <c r="A1151" s="75"/>
      <c r="C1151" s="81"/>
      <c r="D1151" s="81"/>
      <c r="I1151" s="81"/>
      <c r="K1151" s="82"/>
      <c r="L1151" s="123"/>
      <c r="M1151" s="3"/>
      <c r="N1151" s="3"/>
      <c r="O1151" s="3"/>
      <c r="P1151" s="125"/>
      <c r="Q1151" s="125"/>
      <c r="R1151" s="127"/>
      <c r="S1151" s="123"/>
      <c r="T1151" s="3"/>
      <c r="W1151" s="86"/>
      <c r="Y1151" s="75"/>
    </row>
    <row r="1152" spans="1:25" x14ac:dyDescent="0.25">
      <c r="A1152" s="75"/>
      <c r="C1152" s="81"/>
      <c r="D1152" s="81"/>
      <c r="I1152" s="81"/>
      <c r="K1152" s="82"/>
      <c r="L1152" s="123"/>
      <c r="M1152" s="3"/>
      <c r="N1152" s="3"/>
      <c r="O1152" s="3"/>
      <c r="P1152" s="125"/>
      <c r="Q1152" s="125"/>
      <c r="R1152" s="127"/>
      <c r="S1152" s="123"/>
      <c r="T1152" s="3"/>
      <c r="W1152" s="86"/>
      <c r="Y1152" s="75"/>
    </row>
    <row r="1153" spans="1:25" x14ac:dyDescent="0.25">
      <c r="A1153" s="75"/>
      <c r="C1153" s="81"/>
      <c r="D1153" s="81"/>
      <c r="I1153" s="81"/>
      <c r="K1153" s="82"/>
      <c r="L1153" s="123"/>
      <c r="M1153" s="3"/>
      <c r="N1153" s="3"/>
      <c r="O1153" s="3"/>
      <c r="P1153" s="125"/>
      <c r="Q1153" s="125"/>
      <c r="R1153" s="127"/>
      <c r="S1153" s="123"/>
      <c r="T1153" s="3"/>
      <c r="W1153" s="86"/>
      <c r="Y1153" s="75"/>
    </row>
    <row r="1154" spans="1:25" x14ac:dyDescent="0.25">
      <c r="A1154" s="75"/>
      <c r="C1154" s="81"/>
      <c r="D1154" s="81"/>
      <c r="I1154" s="81"/>
      <c r="K1154" s="82"/>
      <c r="L1154" s="123"/>
      <c r="M1154" s="3"/>
      <c r="N1154" s="3"/>
      <c r="O1154" s="3"/>
      <c r="P1154" s="125"/>
      <c r="Q1154" s="125"/>
      <c r="R1154" s="127"/>
      <c r="S1154" s="123"/>
      <c r="T1154" s="3"/>
      <c r="W1154" s="86"/>
      <c r="Y1154" s="75"/>
    </row>
    <row r="1155" spans="1:25" x14ac:dyDescent="0.25">
      <c r="A1155" s="75"/>
      <c r="C1155" s="81"/>
      <c r="D1155" s="81"/>
      <c r="I1155" s="81"/>
      <c r="K1155" s="82"/>
      <c r="L1155" s="123"/>
      <c r="M1155" s="3"/>
      <c r="N1155" s="3"/>
      <c r="O1155" s="3"/>
      <c r="P1155" s="125"/>
      <c r="Q1155" s="125"/>
      <c r="R1155" s="127"/>
      <c r="S1155" s="123"/>
      <c r="T1155" s="3"/>
      <c r="W1155" s="86"/>
      <c r="Y1155" s="75"/>
    </row>
    <row r="1156" spans="1:25" x14ac:dyDescent="0.25">
      <c r="A1156" s="75"/>
      <c r="C1156" s="81"/>
      <c r="D1156" s="81"/>
      <c r="I1156" s="81"/>
      <c r="K1156" s="82"/>
      <c r="L1156" s="123"/>
      <c r="M1156" s="3"/>
      <c r="N1156" s="3"/>
      <c r="O1156" s="3"/>
      <c r="P1156" s="125"/>
      <c r="Q1156" s="125"/>
      <c r="R1156" s="127"/>
      <c r="S1156" s="123"/>
      <c r="T1156" s="3"/>
      <c r="W1156" s="86"/>
      <c r="Y1156" s="75"/>
    </row>
    <row r="1157" spans="1:25" x14ac:dyDescent="0.25">
      <c r="A1157" s="75"/>
      <c r="C1157" s="81"/>
      <c r="D1157" s="81"/>
      <c r="I1157" s="81"/>
      <c r="K1157" s="82"/>
      <c r="L1157" s="123"/>
      <c r="M1157" s="3"/>
      <c r="N1157" s="3"/>
      <c r="O1157" s="3"/>
      <c r="P1157" s="125"/>
      <c r="Q1157" s="125"/>
      <c r="R1157" s="127"/>
      <c r="S1157" s="123"/>
      <c r="T1157" s="3"/>
      <c r="W1157" s="86"/>
      <c r="Y1157" s="75"/>
    </row>
    <row r="1158" spans="1:25" x14ac:dyDescent="0.25">
      <c r="A1158" s="75"/>
      <c r="C1158" s="81"/>
      <c r="D1158" s="81"/>
      <c r="I1158" s="81"/>
      <c r="K1158" s="82"/>
      <c r="L1158" s="123"/>
      <c r="M1158" s="3"/>
      <c r="N1158" s="3"/>
      <c r="O1158" s="3"/>
      <c r="P1158" s="125"/>
      <c r="Q1158" s="125"/>
      <c r="R1158" s="127"/>
      <c r="S1158" s="123"/>
      <c r="T1158" s="3"/>
      <c r="W1158" s="86"/>
      <c r="Y1158" s="75"/>
    </row>
    <row r="1159" spans="1:25" x14ac:dyDescent="0.25">
      <c r="A1159" s="75"/>
      <c r="C1159" s="81"/>
      <c r="D1159" s="81"/>
      <c r="I1159" s="81"/>
      <c r="K1159" s="82"/>
      <c r="L1159" s="123"/>
      <c r="M1159" s="3"/>
      <c r="N1159" s="3"/>
      <c r="O1159" s="3"/>
      <c r="P1159" s="125"/>
      <c r="Q1159" s="125"/>
      <c r="R1159" s="127"/>
      <c r="S1159" s="123"/>
      <c r="T1159" s="3"/>
      <c r="W1159" s="86"/>
      <c r="Y1159" s="75"/>
    </row>
    <row r="1160" spans="1:25" x14ac:dyDescent="0.25">
      <c r="A1160" s="75"/>
      <c r="C1160" s="81"/>
      <c r="D1160" s="81"/>
      <c r="I1160" s="81"/>
      <c r="K1160" s="82"/>
      <c r="L1160" s="123"/>
      <c r="M1160" s="3"/>
      <c r="N1160" s="3"/>
      <c r="O1160" s="3"/>
      <c r="P1160" s="125"/>
      <c r="Q1160" s="125"/>
      <c r="R1160" s="127"/>
      <c r="S1160" s="123"/>
      <c r="T1160" s="3"/>
      <c r="W1160" s="86"/>
      <c r="Y1160" s="75"/>
    </row>
    <row r="1161" spans="1:25" x14ac:dyDescent="0.25">
      <c r="A1161" s="75"/>
      <c r="C1161" s="81"/>
      <c r="D1161" s="81"/>
      <c r="I1161" s="81"/>
      <c r="K1161" s="82"/>
      <c r="L1161" s="123"/>
      <c r="M1161" s="3"/>
      <c r="N1161" s="3"/>
      <c r="O1161" s="3"/>
      <c r="P1161" s="125"/>
      <c r="Q1161" s="125"/>
      <c r="R1161" s="127"/>
      <c r="S1161" s="123"/>
      <c r="T1161" s="3"/>
      <c r="W1161" s="86"/>
      <c r="Y1161" s="75"/>
    </row>
    <row r="1162" spans="1:25" x14ac:dyDescent="0.25">
      <c r="A1162" s="75"/>
      <c r="C1162" s="81"/>
      <c r="D1162" s="81"/>
      <c r="I1162" s="81"/>
      <c r="K1162" s="82"/>
      <c r="L1162" s="123"/>
      <c r="M1162" s="3"/>
      <c r="N1162" s="3"/>
      <c r="O1162" s="3"/>
      <c r="P1162" s="125"/>
      <c r="Q1162" s="125"/>
      <c r="R1162" s="127"/>
      <c r="S1162" s="123"/>
      <c r="T1162" s="3"/>
      <c r="W1162" s="86"/>
      <c r="Y1162" s="75"/>
    </row>
    <row r="1163" spans="1:25" x14ac:dyDescent="0.25">
      <c r="A1163" s="75"/>
      <c r="C1163" s="81"/>
      <c r="D1163" s="81"/>
      <c r="I1163" s="81"/>
      <c r="K1163" s="82"/>
      <c r="L1163" s="123"/>
      <c r="M1163" s="3"/>
      <c r="N1163" s="3"/>
      <c r="O1163" s="3"/>
      <c r="P1163" s="125"/>
      <c r="Q1163" s="125"/>
      <c r="R1163" s="127"/>
      <c r="S1163" s="123"/>
      <c r="T1163" s="3"/>
      <c r="W1163" s="86"/>
      <c r="Y1163" s="75"/>
    </row>
    <row r="1164" spans="1:25" x14ac:dyDescent="0.25">
      <c r="A1164" s="75"/>
      <c r="C1164" s="81"/>
      <c r="D1164" s="81"/>
      <c r="I1164" s="81"/>
      <c r="K1164" s="82"/>
      <c r="L1164" s="123"/>
      <c r="M1164" s="3"/>
      <c r="N1164" s="3"/>
      <c r="O1164" s="3"/>
      <c r="P1164" s="125"/>
      <c r="Q1164" s="125"/>
      <c r="R1164" s="127"/>
      <c r="S1164" s="123"/>
      <c r="T1164" s="3"/>
      <c r="W1164" s="86"/>
      <c r="Y1164" s="75"/>
    </row>
    <row r="1165" spans="1:25" x14ac:dyDescent="0.25">
      <c r="A1165" s="75"/>
      <c r="C1165" s="81"/>
      <c r="D1165" s="81"/>
      <c r="I1165" s="81"/>
      <c r="K1165" s="82"/>
      <c r="L1165" s="123"/>
      <c r="M1165" s="3"/>
      <c r="N1165" s="3"/>
      <c r="O1165" s="3"/>
      <c r="P1165" s="125"/>
      <c r="Q1165" s="125"/>
      <c r="R1165" s="127"/>
      <c r="S1165" s="123"/>
      <c r="T1165" s="3"/>
      <c r="W1165" s="86"/>
      <c r="Y1165" s="75"/>
    </row>
    <row r="1166" spans="1:25" x14ac:dyDescent="0.25">
      <c r="A1166" s="75"/>
      <c r="C1166" s="81"/>
      <c r="D1166" s="81"/>
      <c r="I1166" s="81"/>
      <c r="K1166" s="82"/>
      <c r="L1166" s="123"/>
      <c r="M1166" s="3"/>
      <c r="N1166" s="3"/>
      <c r="O1166" s="3"/>
      <c r="P1166" s="125"/>
      <c r="Q1166" s="125"/>
      <c r="R1166" s="127"/>
      <c r="S1166" s="123"/>
      <c r="T1166" s="3"/>
      <c r="W1166" s="86"/>
      <c r="Y1166" s="75"/>
    </row>
    <row r="1167" spans="1:25" x14ac:dyDescent="0.25">
      <c r="A1167" s="75"/>
      <c r="C1167" s="81"/>
      <c r="D1167" s="81"/>
      <c r="I1167" s="81"/>
      <c r="K1167" s="82"/>
      <c r="L1167" s="123"/>
      <c r="M1167" s="3"/>
      <c r="N1167" s="3"/>
      <c r="O1167" s="3"/>
      <c r="P1167" s="125"/>
      <c r="Q1167" s="125"/>
      <c r="R1167" s="127"/>
      <c r="S1167" s="123"/>
      <c r="T1167" s="3"/>
      <c r="W1167" s="86"/>
      <c r="Y1167" s="75"/>
    </row>
    <row r="1168" spans="1:25" x14ac:dyDescent="0.25">
      <c r="A1168" s="75"/>
      <c r="C1168" s="81"/>
      <c r="D1168" s="81"/>
      <c r="I1168" s="81"/>
      <c r="K1168" s="82"/>
      <c r="L1168" s="123"/>
      <c r="M1168" s="3"/>
      <c r="N1168" s="3"/>
      <c r="O1168" s="3"/>
      <c r="P1168" s="125"/>
      <c r="Q1168" s="125"/>
      <c r="R1168" s="127"/>
      <c r="S1168" s="123"/>
      <c r="T1168" s="3"/>
      <c r="W1168" s="86"/>
      <c r="Y1168" s="75"/>
    </row>
    <row r="1169" spans="1:25" x14ac:dyDescent="0.25">
      <c r="A1169" s="75"/>
      <c r="C1169" s="81"/>
      <c r="D1169" s="81"/>
      <c r="I1169" s="81"/>
      <c r="K1169" s="82"/>
      <c r="L1169" s="123"/>
      <c r="M1169" s="3"/>
      <c r="N1169" s="3"/>
      <c r="O1169" s="3"/>
      <c r="P1169" s="125"/>
      <c r="Q1169" s="125"/>
      <c r="R1169" s="127"/>
      <c r="S1169" s="123"/>
      <c r="T1169" s="3"/>
      <c r="W1169" s="86"/>
      <c r="Y1169" s="75"/>
    </row>
    <row r="1170" spans="1:25" x14ac:dyDescent="0.25">
      <c r="A1170" s="75"/>
      <c r="C1170" s="81"/>
      <c r="D1170" s="81"/>
      <c r="I1170" s="81"/>
      <c r="K1170" s="82"/>
      <c r="L1170" s="123"/>
      <c r="M1170" s="3"/>
      <c r="N1170" s="3"/>
      <c r="O1170" s="3"/>
      <c r="P1170" s="125"/>
      <c r="Q1170" s="125"/>
      <c r="R1170" s="127"/>
      <c r="S1170" s="123"/>
      <c r="T1170" s="3"/>
      <c r="W1170" s="86"/>
      <c r="Y1170" s="75"/>
    </row>
    <row r="1171" spans="1:25" x14ac:dyDescent="0.25">
      <c r="A1171" s="75"/>
      <c r="C1171" s="81"/>
      <c r="D1171" s="81"/>
      <c r="I1171" s="81"/>
      <c r="K1171" s="82"/>
      <c r="L1171" s="123"/>
      <c r="M1171" s="3"/>
      <c r="N1171" s="3"/>
      <c r="O1171" s="3"/>
      <c r="P1171" s="125"/>
      <c r="Q1171" s="125"/>
      <c r="R1171" s="127"/>
      <c r="S1171" s="123"/>
      <c r="T1171" s="3"/>
      <c r="W1171" s="86"/>
      <c r="Y1171" s="75"/>
    </row>
    <row r="1172" spans="1:25" x14ac:dyDescent="0.25">
      <c r="A1172" s="75"/>
      <c r="C1172" s="81"/>
      <c r="D1172" s="81"/>
      <c r="I1172" s="81"/>
      <c r="K1172" s="82"/>
      <c r="L1172" s="123"/>
      <c r="M1172" s="3"/>
      <c r="N1172" s="3"/>
      <c r="O1172" s="3"/>
      <c r="P1172" s="125"/>
      <c r="Q1172" s="125"/>
      <c r="R1172" s="127"/>
      <c r="S1172" s="123"/>
      <c r="T1172" s="3"/>
      <c r="W1172" s="86"/>
      <c r="Y1172" s="75"/>
    </row>
    <row r="1173" spans="1:25" x14ac:dyDescent="0.25">
      <c r="A1173" s="75"/>
      <c r="C1173" s="81"/>
      <c r="D1173" s="81"/>
      <c r="I1173" s="81"/>
      <c r="K1173" s="82"/>
      <c r="L1173" s="123"/>
      <c r="M1173" s="3"/>
      <c r="N1173" s="3"/>
      <c r="O1173" s="3"/>
      <c r="P1173" s="125"/>
      <c r="Q1173" s="125"/>
      <c r="R1173" s="127"/>
      <c r="S1173" s="123"/>
      <c r="T1173" s="3"/>
      <c r="W1173" s="86"/>
      <c r="Y1173" s="75"/>
    </row>
    <row r="1174" spans="1:25" x14ac:dyDescent="0.25">
      <c r="A1174" s="75"/>
      <c r="C1174" s="81"/>
      <c r="D1174" s="81"/>
      <c r="I1174" s="81"/>
      <c r="K1174" s="82"/>
      <c r="L1174" s="123"/>
      <c r="M1174" s="3"/>
      <c r="N1174" s="3"/>
      <c r="O1174" s="3"/>
      <c r="P1174" s="125"/>
      <c r="Q1174" s="125"/>
      <c r="R1174" s="127"/>
      <c r="S1174" s="123"/>
      <c r="T1174" s="3"/>
      <c r="W1174" s="86"/>
      <c r="Y1174" s="75"/>
    </row>
    <row r="1175" spans="1:25" x14ac:dyDescent="0.25">
      <c r="A1175" s="75"/>
      <c r="C1175" s="81"/>
      <c r="D1175" s="81"/>
      <c r="I1175" s="81"/>
      <c r="K1175" s="82"/>
      <c r="L1175" s="123"/>
      <c r="M1175" s="3"/>
      <c r="N1175" s="3"/>
      <c r="O1175" s="3"/>
      <c r="P1175" s="125"/>
      <c r="Q1175" s="125"/>
      <c r="R1175" s="127"/>
      <c r="S1175" s="123"/>
      <c r="T1175" s="3"/>
      <c r="W1175" s="86"/>
      <c r="Y1175" s="75"/>
    </row>
    <row r="1176" spans="1:25" x14ac:dyDescent="0.25">
      <c r="A1176" s="75"/>
      <c r="C1176" s="81"/>
      <c r="D1176" s="81"/>
      <c r="I1176" s="81"/>
      <c r="K1176" s="82"/>
      <c r="L1176" s="123"/>
      <c r="M1176" s="3"/>
      <c r="N1176" s="3"/>
      <c r="O1176" s="3"/>
      <c r="P1176" s="125"/>
      <c r="Q1176" s="125"/>
      <c r="R1176" s="127"/>
      <c r="S1176" s="123"/>
      <c r="T1176" s="3"/>
      <c r="W1176" s="86"/>
      <c r="Y1176" s="75"/>
    </row>
    <row r="1177" spans="1:25" x14ac:dyDescent="0.25">
      <c r="A1177" s="75"/>
      <c r="C1177" s="81"/>
      <c r="D1177" s="81"/>
      <c r="I1177" s="81"/>
      <c r="K1177" s="82"/>
      <c r="L1177" s="123"/>
      <c r="M1177" s="3"/>
      <c r="N1177" s="3"/>
      <c r="O1177" s="3"/>
      <c r="P1177" s="125"/>
      <c r="Q1177" s="125"/>
      <c r="R1177" s="127"/>
      <c r="S1177" s="123"/>
      <c r="T1177" s="3"/>
      <c r="W1177" s="86"/>
      <c r="Y1177" s="75"/>
    </row>
    <row r="1178" spans="1:25" x14ac:dyDescent="0.25">
      <c r="A1178" s="75"/>
      <c r="C1178" s="81"/>
      <c r="D1178" s="81"/>
      <c r="I1178" s="81"/>
      <c r="K1178" s="82"/>
      <c r="L1178" s="123"/>
      <c r="M1178" s="3"/>
      <c r="N1178" s="3"/>
      <c r="O1178" s="3"/>
      <c r="P1178" s="125"/>
      <c r="Q1178" s="125"/>
      <c r="R1178" s="127"/>
      <c r="S1178" s="123"/>
      <c r="T1178" s="3"/>
      <c r="W1178" s="86"/>
      <c r="Y1178" s="75"/>
    </row>
    <row r="1179" spans="1:25" x14ac:dyDescent="0.25">
      <c r="A1179" s="75"/>
      <c r="C1179" s="81"/>
      <c r="D1179" s="81"/>
      <c r="I1179" s="81"/>
      <c r="K1179" s="82"/>
      <c r="L1179" s="123"/>
      <c r="M1179" s="3"/>
      <c r="N1179" s="3"/>
      <c r="O1179" s="3"/>
      <c r="P1179" s="125"/>
      <c r="Q1179" s="125"/>
      <c r="R1179" s="127"/>
      <c r="S1179" s="123"/>
      <c r="T1179" s="3"/>
      <c r="W1179" s="86"/>
      <c r="Y1179" s="75"/>
    </row>
    <row r="1180" spans="1:25" x14ac:dyDescent="0.25">
      <c r="A1180" s="75"/>
      <c r="C1180" s="81"/>
      <c r="D1180" s="81"/>
      <c r="I1180" s="81"/>
      <c r="K1180" s="82"/>
      <c r="L1180" s="123"/>
      <c r="M1180" s="3"/>
      <c r="N1180" s="3"/>
      <c r="O1180" s="3"/>
      <c r="P1180" s="125"/>
      <c r="Q1180" s="125"/>
      <c r="R1180" s="127"/>
      <c r="S1180" s="123"/>
      <c r="T1180" s="3"/>
      <c r="W1180" s="86"/>
      <c r="Y1180" s="75"/>
    </row>
    <row r="1181" spans="1:25" x14ac:dyDescent="0.25">
      <c r="A1181" s="75"/>
      <c r="C1181" s="81"/>
      <c r="D1181" s="81"/>
      <c r="I1181" s="81"/>
      <c r="K1181" s="82"/>
      <c r="L1181" s="123"/>
      <c r="M1181" s="3"/>
      <c r="N1181" s="3"/>
      <c r="O1181" s="3"/>
      <c r="P1181" s="125"/>
      <c r="Q1181" s="125"/>
      <c r="R1181" s="127"/>
      <c r="S1181" s="123"/>
      <c r="T1181" s="3"/>
      <c r="W1181" s="86"/>
      <c r="Y1181" s="75"/>
    </row>
    <row r="1182" spans="1:25" x14ac:dyDescent="0.25">
      <c r="A1182" s="75"/>
      <c r="C1182" s="81"/>
      <c r="D1182" s="81"/>
      <c r="I1182" s="81"/>
      <c r="K1182" s="82"/>
      <c r="L1182" s="123"/>
      <c r="M1182" s="3"/>
      <c r="N1182" s="3"/>
      <c r="O1182" s="3"/>
      <c r="P1182" s="125"/>
      <c r="Q1182" s="125"/>
      <c r="R1182" s="127"/>
      <c r="S1182" s="123"/>
      <c r="T1182" s="3"/>
      <c r="W1182" s="86"/>
      <c r="Y1182" s="75"/>
    </row>
    <row r="1183" spans="1:25" x14ac:dyDescent="0.25">
      <c r="A1183" s="75"/>
      <c r="C1183" s="81"/>
      <c r="D1183" s="81"/>
      <c r="I1183" s="81"/>
      <c r="K1183" s="82"/>
      <c r="L1183" s="123"/>
      <c r="M1183" s="3"/>
      <c r="N1183" s="3"/>
      <c r="O1183" s="3"/>
      <c r="P1183" s="125"/>
      <c r="Q1183" s="125"/>
      <c r="R1183" s="127"/>
      <c r="S1183" s="123"/>
      <c r="T1183" s="3"/>
      <c r="W1183" s="86"/>
      <c r="Y1183" s="75"/>
    </row>
    <row r="1184" spans="1:25" x14ac:dyDescent="0.25">
      <c r="A1184" s="75"/>
      <c r="C1184" s="81"/>
      <c r="D1184" s="81"/>
      <c r="I1184" s="81"/>
      <c r="K1184" s="82"/>
      <c r="L1184" s="123"/>
      <c r="M1184" s="3"/>
      <c r="N1184" s="3"/>
      <c r="O1184" s="3"/>
      <c r="P1184" s="125"/>
      <c r="Q1184" s="125"/>
      <c r="R1184" s="127"/>
      <c r="S1184" s="123"/>
      <c r="T1184" s="3"/>
      <c r="W1184" s="86"/>
      <c r="Y1184" s="75"/>
    </row>
    <row r="1185" spans="1:25" x14ac:dyDescent="0.25">
      <c r="A1185" s="75"/>
      <c r="C1185" s="81"/>
      <c r="D1185" s="81"/>
      <c r="I1185" s="81"/>
      <c r="K1185" s="82"/>
      <c r="L1185" s="123"/>
      <c r="M1185" s="3"/>
      <c r="N1185" s="3"/>
      <c r="O1185" s="3"/>
      <c r="P1185" s="125"/>
      <c r="Q1185" s="125"/>
      <c r="R1185" s="127"/>
      <c r="S1185" s="123"/>
      <c r="T1185" s="3"/>
      <c r="W1185" s="86"/>
      <c r="Y1185" s="75"/>
    </row>
    <row r="1186" spans="1:25" x14ac:dyDescent="0.25">
      <c r="A1186" s="75"/>
      <c r="C1186" s="81"/>
      <c r="D1186" s="81"/>
      <c r="I1186" s="81"/>
      <c r="K1186" s="82"/>
      <c r="L1186" s="123"/>
      <c r="M1186" s="3"/>
      <c r="N1186" s="3"/>
      <c r="O1186" s="3"/>
      <c r="P1186" s="125"/>
      <c r="Q1186" s="125"/>
      <c r="R1186" s="127"/>
      <c r="S1186" s="123"/>
      <c r="T1186" s="3"/>
      <c r="W1186" s="86"/>
      <c r="Y1186" s="75"/>
    </row>
    <row r="1187" spans="1:25" x14ac:dyDescent="0.25">
      <c r="A1187" s="75"/>
      <c r="C1187" s="81"/>
      <c r="D1187" s="81"/>
      <c r="I1187" s="81"/>
      <c r="K1187" s="82"/>
      <c r="L1187" s="123"/>
      <c r="M1187" s="3"/>
      <c r="N1187" s="3"/>
      <c r="O1187" s="3"/>
      <c r="P1187" s="125"/>
      <c r="Q1187" s="125"/>
      <c r="R1187" s="127"/>
      <c r="S1187" s="123"/>
      <c r="T1187" s="3"/>
      <c r="W1187" s="86"/>
      <c r="Y1187" s="75"/>
    </row>
    <row r="1188" spans="1:25" x14ac:dyDescent="0.25">
      <c r="A1188" s="75"/>
      <c r="C1188" s="81"/>
      <c r="D1188" s="81"/>
      <c r="I1188" s="81"/>
      <c r="K1188" s="82"/>
      <c r="L1188" s="123"/>
      <c r="M1188" s="3"/>
      <c r="N1188" s="3"/>
      <c r="O1188" s="3"/>
      <c r="P1188" s="125"/>
      <c r="Q1188" s="125"/>
      <c r="R1188" s="127"/>
      <c r="S1188" s="123"/>
      <c r="T1188" s="3"/>
      <c r="W1188" s="86"/>
      <c r="Y1188" s="75"/>
    </row>
    <row r="1189" spans="1:25" x14ac:dyDescent="0.25">
      <c r="A1189" s="75"/>
      <c r="C1189" s="81"/>
      <c r="D1189" s="81"/>
      <c r="I1189" s="81"/>
      <c r="K1189" s="82"/>
      <c r="L1189" s="123"/>
      <c r="M1189" s="3"/>
      <c r="N1189" s="3"/>
      <c r="O1189" s="3"/>
      <c r="P1189" s="125"/>
      <c r="Q1189" s="125"/>
      <c r="R1189" s="127"/>
      <c r="S1189" s="123"/>
      <c r="T1189" s="3"/>
      <c r="W1189" s="86"/>
      <c r="Y1189" s="75"/>
    </row>
    <row r="1190" spans="1:25" x14ac:dyDescent="0.25">
      <c r="A1190" s="75"/>
      <c r="C1190" s="81"/>
      <c r="D1190" s="81"/>
      <c r="I1190" s="81"/>
      <c r="K1190" s="82"/>
      <c r="L1190" s="123"/>
      <c r="M1190" s="3"/>
      <c r="N1190" s="3"/>
      <c r="O1190" s="3"/>
      <c r="P1190" s="125"/>
      <c r="Q1190" s="125"/>
      <c r="R1190" s="127"/>
      <c r="S1190" s="123"/>
      <c r="T1190" s="3"/>
      <c r="W1190" s="86"/>
      <c r="Y1190" s="75"/>
    </row>
    <row r="1191" spans="1:25" x14ac:dyDescent="0.25">
      <c r="A1191" s="75"/>
      <c r="C1191" s="81"/>
      <c r="D1191" s="81"/>
      <c r="I1191" s="81"/>
      <c r="K1191" s="82"/>
      <c r="L1191" s="123"/>
      <c r="M1191" s="3"/>
      <c r="N1191" s="3"/>
      <c r="O1191" s="3"/>
      <c r="P1191" s="125"/>
      <c r="Q1191" s="125"/>
      <c r="R1191" s="127"/>
      <c r="S1191" s="123"/>
      <c r="T1191" s="3"/>
      <c r="W1191" s="86"/>
      <c r="Y1191" s="75"/>
    </row>
    <row r="1192" spans="1:25" x14ac:dyDescent="0.25">
      <c r="A1192" s="75"/>
      <c r="C1192" s="81"/>
      <c r="D1192" s="81"/>
      <c r="I1192" s="81"/>
      <c r="K1192" s="82"/>
      <c r="L1192" s="123"/>
      <c r="M1192" s="3"/>
      <c r="N1192" s="3"/>
      <c r="O1192" s="3"/>
      <c r="P1192" s="125"/>
      <c r="Q1192" s="125"/>
      <c r="R1192" s="127"/>
      <c r="S1192" s="123"/>
      <c r="T1192" s="3"/>
      <c r="W1192" s="86"/>
      <c r="Y1192" s="75"/>
    </row>
    <row r="1193" spans="1:25" x14ac:dyDescent="0.25">
      <c r="A1193" s="75"/>
      <c r="C1193" s="81"/>
      <c r="D1193" s="81"/>
      <c r="I1193" s="81"/>
      <c r="K1193" s="82"/>
      <c r="L1193" s="123"/>
      <c r="M1193" s="3"/>
      <c r="N1193" s="3"/>
      <c r="O1193" s="3"/>
      <c r="P1193" s="125"/>
      <c r="Q1193" s="125"/>
      <c r="R1193" s="127"/>
      <c r="S1193" s="123"/>
      <c r="T1193" s="3"/>
      <c r="W1193" s="86"/>
      <c r="Y1193" s="75"/>
    </row>
    <row r="1194" spans="1:25" x14ac:dyDescent="0.25">
      <c r="A1194" s="75"/>
      <c r="C1194" s="81"/>
      <c r="D1194" s="81"/>
      <c r="I1194" s="81"/>
      <c r="K1194" s="82"/>
      <c r="L1194" s="123"/>
      <c r="M1194" s="3"/>
      <c r="N1194" s="3"/>
      <c r="O1194" s="3"/>
      <c r="P1194" s="125"/>
      <c r="Q1194" s="125"/>
      <c r="R1194" s="127"/>
      <c r="S1194" s="123"/>
      <c r="T1194" s="3"/>
      <c r="W1194" s="86"/>
      <c r="Y1194" s="75"/>
    </row>
    <row r="1195" spans="1:25" x14ac:dyDescent="0.25">
      <c r="A1195" s="75"/>
      <c r="C1195" s="81"/>
      <c r="D1195" s="81"/>
      <c r="I1195" s="81"/>
      <c r="K1195" s="82"/>
      <c r="L1195" s="123"/>
      <c r="M1195" s="3"/>
      <c r="N1195" s="3"/>
      <c r="O1195" s="3"/>
      <c r="P1195" s="125"/>
      <c r="Q1195" s="125"/>
      <c r="R1195" s="127"/>
      <c r="S1195" s="123"/>
      <c r="T1195" s="3"/>
      <c r="W1195" s="86"/>
      <c r="Y1195" s="75"/>
    </row>
    <row r="1196" spans="1:25" x14ac:dyDescent="0.25">
      <c r="A1196" s="75"/>
      <c r="C1196" s="81"/>
      <c r="D1196" s="81"/>
      <c r="I1196" s="81"/>
      <c r="K1196" s="82"/>
      <c r="L1196" s="123"/>
      <c r="M1196" s="3"/>
      <c r="N1196" s="3"/>
      <c r="O1196" s="3"/>
      <c r="P1196" s="125"/>
      <c r="Q1196" s="125"/>
      <c r="R1196" s="127"/>
      <c r="S1196" s="123"/>
      <c r="T1196" s="3"/>
      <c r="W1196" s="86"/>
      <c r="Y1196" s="75"/>
    </row>
    <row r="1197" spans="1:25" x14ac:dyDescent="0.25">
      <c r="A1197" s="75"/>
      <c r="C1197" s="81"/>
      <c r="D1197" s="81"/>
      <c r="I1197" s="81"/>
      <c r="K1197" s="82"/>
      <c r="L1197" s="123"/>
      <c r="M1197" s="3"/>
      <c r="N1197" s="3"/>
      <c r="O1197" s="3"/>
      <c r="P1197" s="125"/>
      <c r="Q1197" s="125"/>
      <c r="R1197" s="127"/>
      <c r="S1197" s="123"/>
      <c r="T1197" s="3"/>
      <c r="W1197" s="86"/>
      <c r="Y1197" s="75"/>
    </row>
    <row r="1198" spans="1:25" x14ac:dyDescent="0.25">
      <c r="A1198" s="75"/>
      <c r="C1198" s="81"/>
      <c r="D1198" s="81"/>
      <c r="I1198" s="81"/>
      <c r="K1198" s="82"/>
      <c r="L1198" s="123"/>
      <c r="M1198" s="3"/>
      <c r="N1198" s="3"/>
      <c r="O1198" s="3"/>
      <c r="P1198" s="125"/>
      <c r="Q1198" s="125"/>
      <c r="R1198" s="127"/>
      <c r="S1198" s="123"/>
      <c r="T1198" s="3"/>
      <c r="W1198" s="86"/>
      <c r="Y1198" s="75"/>
    </row>
    <row r="1199" spans="1:25" x14ac:dyDescent="0.25">
      <c r="A1199" s="75"/>
      <c r="C1199" s="81"/>
      <c r="D1199" s="81"/>
      <c r="I1199" s="81"/>
      <c r="K1199" s="82"/>
      <c r="L1199" s="123"/>
      <c r="M1199" s="3"/>
      <c r="N1199" s="3"/>
      <c r="O1199" s="3"/>
      <c r="P1199" s="125"/>
      <c r="Q1199" s="125"/>
      <c r="R1199" s="127"/>
      <c r="S1199" s="123"/>
      <c r="T1199" s="3"/>
      <c r="W1199" s="86"/>
      <c r="Y1199" s="75"/>
    </row>
    <row r="1200" spans="1:25" x14ac:dyDescent="0.25">
      <c r="A1200" s="75"/>
      <c r="C1200" s="81"/>
      <c r="D1200" s="81"/>
      <c r="I1200" s="81"/>
      <c r="K1200" s="82"/>
      <c r="L1200" s="123"/>
      <c r="M1200" s="3"/>
      <c r="N1200" s="3"/>
      <c r="O1200" s="3"/>
      <c r="P1200" s="125"/>
      <c r="Q1200" s="125"/>
      <c r="R1200" s="127"/>
      <c r="S1200" s="123"/>
      <c r="T1200" s="3"/>
      <c r="W1200" s="86"/>
      <c r="Y1200" s="75"/>
    </row>
    <row r="1201" spans="1:25" x14ac:dyDescent="0.25">
      <c r="A1201" s="75"/>
      <c r="C1201" s="81"/>
      <c r="D1201" s="81"/>
      <c r="I1201" s="81"/>
      <c r="K1201" s="82"/>
      <c r="L1201" s="123"/>
      <c r="M1201" s="3"/>
      <c r="N1201" s="3"/>
      <c r="O1201" s="3"/>
      <c r="P1201" s="125"/>
      <c r="Q1201" s="125"/>
      <c r="R1201" s="127"/>
      <c r="S1201" s="123"/>
      <c r="T1201" s="3"/>
      <c r="W1201" s="86"/>
      <c r="Y1201" s="75"/>
    </row>
    <row r="1202" spans="1:25" x14ac:dyDescent="0.25">
      <c r="A1202" s="75"/>
      <c r="C1202" s="81"/>
      <c r="D1202" s="81"/>
      <c r="I1202" s="81"/>
      <c r="K1202" s="82"/>
      <c r="L1202" s="123"/>
      <c r="M1202" s="3"/>
      <c r="N1202" s="3"/>
      <c r="O1202" s="3"/>
      <c r="P1202" s="125"/>
      <c r="Q1202" s="125"/>
      <c r="R1202" s="127"/>
      <c r="S1202" s="123"/>
      <c r="T1202" s="3"/>
      <c r="W1202" s="86"/>
      <c r="Y1202" s="75"/>
    </row>
    <row r="1203" spans="1:25" x14ac:dyDescent="0.25">
      <c r="A1203" s="75"/>
      <c r="C1203" s="81"/>
      <c r="D1203" s="81"/>
      <c r="I1203" s="81"/>
      <c r="K1203" s="82"/>
      <c r="L1203" s="123"/>
      <c r="M1203" s="3"/>
      <c r="N1203" s="3"/>
      <c r="O1203" s="3"/>
      <c r="P1203" s="125"/>
      <c r="Q1203" s="125"/>
      <c r="R1203" s="127"/>
      <c r="S1203" s="123"/>
      <c r="T1203" s="3"/>
      <c r="W1203" s="86"/>
      <c r="Y1203" s="75"/>
    </row>
    <row r="1204" spans="1:25" x14ac:dyDescent="0.25">
      <c r="A1204" s="75"/>
      <c r="C1204" s="81"/>
      <c r="D1204" s="81"/>
      <c r="I1204" s="81"/>
      <c r="K1204" s="82"/>
      <c r="L1204" s="123"/>
      <c r="M1204" s="3"/>
      <c r="N1204" s="3"/>
      <c r="O1204" s="3"/>
      <c r="P1204" s="125"/>
      <c r="Q1204" s="125"/>
      <c r="R1204" s="127"/>
      <c r="S1204" s="123"/>
      <c r="T1204" s="3"/>
      <c r="W1204" s="86"/>
      <c r="Y1204" s="75"/>
    </row>
    <row r="1205" spans="1:25" x14ac:dyDescent="0.25">
      <c r="A1205" s="75"/>
      <c r="C1205" s="81"/>
      <c r="D1205" s="81"/>
      <c r="I1205" s="81"/>
      <c r="K1205" s="82"/>
      <c r="L1205" s="123"/>
      <c r="M1205" s="3"/>
      <c r="N1205" s="3"/>
      <c r="O1205" s="3"/>
      <c r="P1205" s="125"/>
      <c r="Q1205" s="125"/>
      <c r="R1205" s="127"/>
      <c r="S1205" s="123"/>
      <c r="T1205" s="3"/>
      <c r="W1205" s="86"/>
      <c r="Y1205" s="75"/>
    </row>
    <row r="1206" spans="1:25" x14ac:dyDescent="0.25">
      <c r="A1206" s="75"/>
      <c r="C1206" s="81"/>
      <c r="D1206" s="81"/>
      <c r="I1206" s="81"/>
      <c r="K1206" s="82"/>
      <c r="L1206" s="123"/>
      <c r="M1206" s="3"/>
      <c r="N1206" s="3"/>
      <c r="O1206" s="3"/>
      <c r="P1206" s="125"/>
      <c r="Q1206" s="125"/>
      <c r="R1206" s="127"/>
      <c r="S1206" s="123"/>
      <c r="T1206" s="3"/>
      <c r="W1206" s="86"/>
      <c r="Y1206" s="75"/>
    </row>
    <row r="1207" spans="1:25" x14ac:dyDescent="0.25">
      <c r="A1207" s="75"/>
      <c r="C1207" s="81"/>
      <c r="D1207" s="81"/>
      <c r="I1207" s="81"/>
      <c r="K1207" s="82"/>
      <c r="L1207" s="123"/>
      <c r="M1207" s="3"/>
      <c r="N1207" s="3"/>
      <c r="O1207" s="3"/>
      <c r="P1207" s="125"/>
      <c r="Q1207" s="125"/>
      <c r="R1207" s="127"/>
      <c r="S1207" s="123"/>
      <c r="T1207" s="3"/>
      <c r="W1207" s="86"/>
      <c r="Y1207" s="75"/>
    </row>
    <row r="1208" spans="1:25" x14ac:dyDescent="0.25">
      <c r="A1208" s="75"/>
      <c r="C1208" s="81"/>
      <c r="D1208" s="81"/>
      <c r="I1208" s="81"/>
      <c r="K1208" s="82"/>
      <c r="L1208" s="123"/>
      <c r="M1208" s="3"/>
      <c r="N1208" s="3"/>
      <c r="O1208" s="3"/>
      <c r="P1208" s="125"/>
      <c r="Q1208" s="125"/>
      <c r="R1208" s="127"/>
      <c r="S1208" s="123"/>
      <c r="T1208" s="3"/>
      <c r="W1208" s="86"/>
      <c r="Y1208" s="75"/>
    </row>
    <row r="1209" spans="1:25" x14ac:dyDescent="0.25">
      <c r="A1209" s="75"/>
      <c r="C1209" s="81"/>
      <c r="D1209" s="81"/>
      <c r="I1209" s="81"/>
      <c r="K1209" s="82"/>
      <c r="L1209" s="123"/>
      <c r="M1209" s="3"/>
      <c r="N1209" s="3"/>
      <c r="O1209" s="3"/>
      <c r="P1209" s="125"/>
      <c r="Q1209" s="125"/>
      <c r="R1209" s="127"/>
      <c r="S1209" s="123"/>
      <c r="T1209" s="3"/>
      <c r="W1209" s="86"/>
      <c r="Y1209" s="75"/>
    </row>
    <row r="1210" spans="1:25" x14ac:dyDescent="0.25">
      <c r="A1210" s="75"/>
      <c r="C1210" s="81"/>
      <c r="D1210" s="81"/>
      <c r="I1210" s="81"/>
      <c r="K1210" s="82"/>
      <c r="L1210" s="123"/>
      <c r="M1210" s="3"/>
      <c r="N1210" s="3"/>
      <c r="O1210" s="3"/>
      <c r="P1210" s="125"/>
      <c r="Q1210" s="125"/>
      <c r="R1210" s="127"/>
      <c r="S1210" s="123"/>
      <c r="T1210" s="3"/>
      <c r="W1210" s="86"/>
      <c r="Y1210" s="75"/>
    </row>
    <row r="1211" spans="1:25" x14ac:dyDescent="0.25">
      <c r="A1211" s="75"/>
      <c r="C1211" s="81"/>
      <c r="D1211" s="81"/>
      <c r="I1211" s="81"/>
      <c r="K1211" s="82"/>
      <c r="L1211" s="123"/>
      <c r="M1211" s="3"/>
      <c r="N1211" s="3"/>
      <c r="O1211" s="3"/>
      <c r="P1211" s="125"/>
      <c r="Q1211" s="125"/>
      <c r="R1211" s="127"/>
      <c r="S1211" s="123"/>
      <c r="T1211" s="3"/>
      <c r="W1211" s="86"/>
      <c r="Y1211" s="75"/>
    </row>
    <row r="1212" spans="1:25" x14ac:dyDescent="0.25">
      <c r="A1212" s="75"/>
      <c r="C1212" s="81"/>
      <c r="D1212" s="81"/>
      <c r="I1212" s="81"/>
      <c r="K1212" s="82"/>
      <c r="L1212" s="123"/>
      <c r="M1212" s="3"/>
      <c r="N1212" s="3"/>
      <c r="O1212" s="3"/>
      <c r="P1212" s="125"/>
      <c r="Q1212" s="125"/>
      <c r="R1212" s="127"/>
      <c r="S1212" s="123"/>
      <c r="T1212" s="3"/>
      <c r="W1212" s="86"/>
      <c r="Y1212" s="75"/>
    </row>
    <row r="1213" spans="1:25" x14ac:dyDescent="0.25">
      <c r="A1213" s="75"/>
      <c r="C1213" s="81"/>
      <c r="D1213" s="81"/>
      <c r="I1213" s="81"/>
      <c r="K1213" s="82"/>
      <c r="L1213" s="123"/>
      <c r="M1213" s="3"/>
      <c r="N1213" s="3"/>
      <c r="O1213" s="3"/>
      <c r="P1213" s="125"/>
      <c r="Q1213" s="125"/>
      <c r="R1213" s="127"/>
      <c r="S1213" s="123"/>
      <c r="T1213" s="3"/>
      <c r="W1213" s="86"/>
      <c r="Y1213" s="75"/>
    </row>
    <row r="1214" spans="1:25" x14ac:dyDescent="0.25">
      <c r="A1214" s="75"/>
      <c r="C1214" s="81"/>
      <c r="D1214" s="81"/>
      <c r="I1214" s="81"/>
      <c r="K1214" s="82"/>
      <c r="L1214" s="123"/>
      <c r="M1214" s="3"/>
      <c r="N1214" s="3"/>
      <c r="O1214" s="3"/>
      <c r="P1214" s="125"/>
      <c r="Q1214" s="125"/>
      <c r="R1214" s="127"/>
      <c r="S1214" s="123"/>
      <c r="T1214" s="3"/>
      <c r="W1214" s="86"/>
      <c r="Y1214" s="75"/>
    </row>
    <row r="1215" spans="1:25" x14ac:dyDescent="0.25">
      <c r="A1215" s="75"/>
      <c r="C1215" s="81"/>
      <c r="D1215" s="81"/>
      <c r="I1215" s="81"/>
      <c r="K1215" s="82"/>
      <c r="L1215" s="123"/>
      <c r="M1215" s="3"/>
      <c r="N1215" s="3"/>
      <c r="O1215" s="3"/>
      <c r="P1215" s="125"/>
      <c r="Q1215" s="125"/>
      <c r="R1215" s="127"/>
      <c r="S1215" s="123"/>
      <c r="T1215" s="3"/>
      <c r="W1215" s="86"/>
      <c r="Y1215" s="75"/>
    </row>
    <row r="1216" spans="1:25" x14ac:dyDescent="0.25">
      <c r="A1216" s="75"/>
      <c r="C1216" s="81"/>
      <c r="D1216" s="81"/>
      <c r="I1216" s="81"/>
      <c r="K1216" s="82"/>
      <c r="L1216" s="123"/>
      <c r="M1216" s="3"/>
      <c r="N1216" s="3"/>
      <c r="O1216" s="3"/>
      <c r="P1216" s="125"/>
      <c r="Q1216" s="125"/>
      <c r="R1216" s="127"/>
      <c r="S1216" s="123"/>
      <c r="T1216" s="3"/>
      <c r="W1216" s="86"/>
      <c r="Y1216" s="75"/>
    </row>
    <row r="1217" spans="1:25" x14ac:dyDescent="0.25">
      <c r="A1217" s="75"/>
      <c r="C1217" s="81"/>
      <c r="D1217" s="81"/>
      <c r="I1217" s="81"/>
      <c r="K1217" s="82"/>
      <c r="L1217" s="123"/>
      <c r="M1217" s="3"/>
      <c r="N1217" s="3"/>
      <c r="O1217" s="3"/>
      <c r="P1217" s="125"/>
      <c r="Q1217" s="125"/>
      <c r="R1217" s="127"/>
      <c r="S1217" s="123"/>
      <c r="T1217" s="3"/>
      <c r="W1217" s="86"/>
      <c r="Y1217" s="75"/>
    </row>
    <row r="1218" spans="1:25" x14ac:dyDescent="0.25">
      <c r="A1218" s="75"/>
      <c r="C1218" s="81"/>
      <c r="D1218" s="81"/>
      <c r="I1218" s="81"/>
      <c r="K1218" s="82"/>
      <c r="L1218" s="123"/>
      <c r="M1218" s="3"/>
      <c r="N1218" s="3"/>
      <c r="O1218" s="3"/>
      <c r="P1218" s="125"/>
      <c r="Q1218" s="125"/>
      <c r="R1218" s="127"/>
      <c r="S1218" s="123"/>
      <c r="T1218" s="3"/>
      <c r="W1218" s="86"/>
      <c r="Y1218" s="75"/>
    </row>
    <row r="1219" spans="1:25" x14ac:dyDescent="0.25">
      <c r="A1219" s="75"/>
      <c r="C1219" s="81"/>
      <c r="D1219" s="81"/>
      <c r="I1219" s="81"/>
      <c r="K1219" s="82"/>
      <c r="L1219" s="123"/>
      <c r="M1219" s="3"/>
      <c r="N1219" s="3"/>
      <c r="O1219" s="3"/>
      <c r="P1219" s="125"/>
      <c r="Q1219" s="125"/>
      <c r="R1219" s="127"/>
      <c r="S1219" s="123"/>
      <c r="T1219" s="3"/>
      <c r="W1219" s="86"/>
      <c r="Y1219" s="75"/>
    </row>
    <row r="1220" spans="1:25" x14ac:dyDescent="0.25">
      <c r="A1220" s="75"/>
      <c r="C1220" s="81"/>
      <c r="D1220" s="81"/>
      <c r="I1220" s="81"/>
      <c r="K1220" s="82"/>
      <c r="L1220" s="123"/>
      <c r="M1220" s="3"/>
      <c r="N1220" s="3"/>
      <c r="O1220" s="3"/>
      <c r="P1220" s="125"/>
      <c r="Q1220" s="125"/>
      <c r="R1220" s="127"/>
      <c r="S1220" s="123"/>
      <c r="T1220" s="3"/>
      <c r="W1220" s="86"/>
      <c r="Y1220" s="75"/>
    </row>
    <row r="1221" spans="1:25" x14ac:dyDescent="0.25">
      <c r="A1221" s="75"/>
      <c r="C1221" s="81"/>
      <c r="D1221" s="81"/>
      <c r="I1221" s="81"/>
      <c r="K1221" s="82"/>
      <c r="L1221" s="123"/>
      <c r="M1221" s="3"/>
      <c r="N1221" s="3"/>
      <c r="O1221" s="3"/>
      <c r="P1221" s="125"/>
      <c r="Q1221" s="125"/>
      <c r="R1221" s="127"/>
      <c r="S1221" s="123"/>
      <c r="T1221" s="3"/>
      <c r="W1221" s="86"/>
      <c r="Y1221" s="75"/>
    </row>
    <row r="1222" spans="1:25" x14ac:dyDescent="0.25">
      <c r="A1222" s="75"/>
      <c r="C1222" s="81"/>
      <c r="D1222" s="81"/>
      <c r="I1222" s="81"/>
      <c r="K1222" s="82"/>
      <c r="L1222" s="123"/>
      <c r="M1222" s="3"/>
      <c r="N1222" s="3"/>
      <c r="O1222" s="3"/>
      <c r="P1222" s="125"/>
      <c r="Q1222" s="125"/>
      <c r="R1222" s="127"/>
      <c r="S1222" s="123"/>
      <c r="T1222" s="3"/>
      <c r="W1222" s="86"/>
      <c r="Y1222" s="75"/>
    </row>
    <row r="1223" spans="1:25" x14ac:dyDescent="0.25">
      <c r="A1223" s="75"/>
      <c r="C1223" s="81"/>
      <c r="D1223" s="81"/>
      <c r="I1223" s="81"/>
      <c r="K1223" s="82"/>
      <c r="L1223" s="123"/>
      <c r="M1223" s="3"/>
      <c r="N1223" s="3"/>
      <c r="O1223" s="3"/>
      <c r="P1223" s="125"/>
      <c r="Q1223" s="125"/>
      <c r="R1223" s="127"/>
      <c r="S1223" s="123"/>
      <c r="T1223" s="3"/>
      <c r="W1223" s="86"/>
      <c r="Y1223" s="75"/>
    </row>
    <row r="1224" spans="1:25" x14ac:dyDescent="0.25">
      <c r="A1224" s="75"/>
      <c r="C1224" s="81"/>
      <c r="D1224" s="81"/>
      <c r="I1224" s="81"/>
      <c r="K1224" s="82"/>
      <c r="L1224" s="123"/>
      <c r="M1224" s="3"/>
      <c r="N1224" s="3"/>
      <c r="O1224" s="3"/>
      <c r="P1224" s="125"/>
      <c r="Q1224" s="125"/>
      <c r="R1224" s="127"/>
      <c r="S1224" s="123"/>
      <c r="T1224" s="3"/>
      <c r="W1224" s="86"/>
      <c r="Y1224" s="75"/>
    </row>
    <row r="1225" spans="1:25" x14ac:dyDescent="0.25">
      <c r="A1225" s="75"/>
      <c r="C1225" s="81"/>
      <c r="D1225" s="81"/>
      <c r="I1225" s="81"/>
      <c r="K1225" s="82"/>
      <c r="L1225" s="123"/>
      <c r="M1225" s="3"/>
      <c r="N1225" s="3"/>
      <c r="O1225" s="3"/>
      <c r="P1225" s="125"/>
      <c r="Q1225" s="125"/>
      <c r="R1225" s="127"/>
      <c r="S1225" s="123"/>
      <c r="T1225" s="3"/>
      <c r="W1225" s="86"/>
      <c r="Y1225" s="75"/>
    </row>
    <row r="1226" spans="1:25" x14ac:dyDescent="0.25">
      <c r="A1226" s="75"/>
      <c r="C1226" s="81"/>
      <c r="D1226" s="81"/>
      <c r="I1226" s="81"/>
      <c r="K1226" s="82"/>
      <c r="L1226" s="123"/>
      <c r="M1226" s="3"/>
      <c r="N1226" s="3"/>
      <c r="O1226" s="3"/>
      <c r="P1226" s="125"/>
      <c r="Q1226" s="125"/>
      <c r="R1226" s="127"/>
      <c r="S1226" s="123"/>
      <c r="T1226" s="3"/>
      <c r="W1226" s="86"/>
      <c r="Y1226" s="75"/>
    </row>
    <row r="1227" spans="1:25" x14ac:dyDescent="0.25">
      <c r="A1227" s="75"/>
      <c r="C1227" s="81"/>
      <c r="D1227" s="81"/>
      <c r="I1227" s="81"/>
      <c r="K1227" s="82"/>
      <c r="L1227" s="123"/>
      <c r="M1227" s="3"/>
      <c r="N1227" s="3"/>
      <c r="O1227" s="3"/>
      <c r="P1227" s="125"/>
      <c r="Q1227" s="125"/>
      <c r="R1227" s="127"/>
      <c r="S1227" s="123"/>
      <c r="T1227" s="3"/>
      <c r="W1227" s="86"/>
      <c r="Y1227" s="75"/>
    </row>
    <row r="1228" spans="1:25" x14ac:dyDescent="0.25">
      <c r="A1228" s="75"/>
      <c r="C1228" s="81"/>
      <c r="D1228" s="81"/>
      <c r="I1228" s="81"/>
      <c r="K1228" s="82"/>
      <c r="L1228" s="123"/>
      <c r="M1228" s="3"/>
      <c r="N1228" s="3"/>
      <c r="O1228" s="3"/>
      <c r="P1228" s="125"/>
      <c r="Q1228" s="125"/>
      <c r="R1228" s="127"/>
      <c r="S1228" s="123"/>
      <c r="T1228" s="3"/>
      <c r="W1228" s="86"/>
      <c r="Y1228" s="75"/>
    </row>
    <row r="1229" spans="1:25" x14ac:dyDescent="0.25">
      <c r="A1229" s="75"/>
      <c r="C1229" s="81"/>
      <c r="D1229" s="81"/>
      <c r="I1229" s="81"/>
      <c r="K1229" s="82"/>
      <c r="L1229" s="123"/>
      <c r="M1229" s="3"/>
      <c r="N1229" s="3"/>
      <c r="O1229" s="3"/>
      <c r="P1229" s="125"/>
      <c r="Q1229" s="125"/>
      <c r="R1229" s="127"/>
      <c r="S1229" s="123"/>
      <c r="T1229" s="3"/>
      <c r="W1229" s="86"/>
      <c r="Y1229" s="75"/>
    </row>
    <row r="1230" spans="1:25" x14ac:dyDescent="0.25">
      <c r="A1230" s="75"/>
      <c r="C1230" s="81"/>
      <c r="D1230" s="81"/>
      <c r="I1230" s="81"/>
      <c r="K1230" s="82"/>
      <c r="L1230" s="123"/>
      <c r="M1230" s="3"/>
      <c r="N1230" s="3"/>
      <c r="O1230" s="3"/>
      <c r="P1230" s="125"/>
      <c r="Q1230" s="125"/>
      <c r="R1230" s="127"/>
      <c r="S1230" s="123"/>
      <c r="T1230" s="3"/>
      <c r="W1230" s="86"/>
      <c r="Y1230" s="75"/>
    </row>
    <row r="1231" spans="1:25" x14ac:dyDescent="0.25">
      <c r="A1231" s="75"/>
      <c r="C1231" s="81"/>
      <c r="D1231" s="81"/>
      <c r="I1231" s="81"/>
      <c r="K1231" s="82"/>
      <c r="L1231" s="123"/>
      <c r="M1231" s="3"/>
      <c r="N1231" s="3"/>
      <c r="O1231" s="3"/>
      <c r="P1231" s="125"/>
      <c r="Q1231" s="125"/>
      <c r="R1231" s="127"/>
      <c r="S1231" s="123"/>
      <c r="T1231" s="3"/>
      <c r="W1231" s="86"/>
      <c r="Y1231" s="75"/>
    </row>
    <row r="1232" spans="1:25" x14ac:dyDescent="0.25">
      <c r="A1232" s="75"/>
      <c r="C1232" s="81"/>
      <c r="D1232" s="81"/>
      <c r="I1232" s="81"/>
      <c r="K1232" s="82"/>
      <c r="L1232" s="123"/>
      <c r="M1232" s="3"/>
      <c r="N1232" s="3"/>
      <c r="O1232" s="3"/>
      <c r="P1232" s="125"/>
      <c r="Q1232" s="125"/>
      <c r="R1232" s="127"/>
      <c r="S1232" s="123"/>
      <c r="T1232" s="3"/>
      <c r="W1232" s="86"/>
      <c r="Y1232" s="75"/>
    </row>
    <row r="1233" spans="1:25" x14ac:dyDescent="0.25">
      <c r="A1233" s="75"/>
      <c r="C1233" s="81"/>
      <c r="D1233" s="81"/>
      <c r="I1233" s="81"/>
      <c r="K1233" s="82"/>
      <c r="L1233" s="123"/>
      <c r="M1233" s="3"/>
      <c r="N1233" s="3"/>
      <c r="O1233" s="3"/>
      <c r="P1233" s="125"/>
      <c r="Q1233" s="125"/>
      <c r="R1233" s="127"/>
      <c r="S1233" s="123"/>
      <c r="T1233" s="3"/>
      <c r="W1233" s="86"/>
      <c r="Y1233" s="75"/>
    </row>
    <row r="1234" spans="1:25" x14ac:dyDescent="0.25">
      <c r="A1234" s="75"/>
      <c r="C1234" s="81"/>
      <c r="D1234" s="81"/>
      <c r="I1234" s="81"/>
      <c r="K1234" s="82"/>
      <c r="L1234" s="123"/>
      <c r="M1234" s="3"/>
      <c r="N1234" s="3"/>
      <c r="O1234" s="3"/>
      <c r="P1234" s="125"/>
      <c r="Q1234" s="125"/>
      <c r="R1234" s="127"/>
      <c r="S1234" s="123"/>
      <c r="T1234" s="3"/>
      <c r="W1234" s="86"/>
      <c r="Y1234" s="75"/>
    </row>
    <row r="1235" spans="1:25" x14ac:dyDescent="0.25">
      <c r="A1235" s="75"/>
      <c r="C1235" s="81"/>
      <c r="D1235" s="81"/>
      <c r="I1235" s="81"/>
      <c r="K1235" s="82"/>
      <c r="L1235" s="123"/>
      <c r="M1235" s="3"/>
      <c r="N1235" s="3"/>
      <c r="O1235" s="3"/>
      <c r="P1235" s="125"/>
      <c r="Q1235" s="125"/>
      <c r="R1235" s="127"/>
      <c r="S1235" s="123"/>
      <c r="T1235" s="3"/>
      <c r="W1235" s="86"/>
      <c r="Y1235" s="75"/>
    </row>
    <row r="1236" spans="1:25" x14ac:dyDescent="0.25">
      <c r="A1236" s="75"/>
      <c r="C1236" s="81"/>
      <c r="D1236" s="81"/>
      <c r="I1236" s="81"/>
      <c r="K1236" s="82"/>
      <c r="L1236" s="123"/>
      <c r="M1236" s="3"/>
      <c r="N1236" s="3"/>
      <c r="O1236" s="3"/>
      <c r="P1236" s="125"/>
      <c r="Q1236" s="125"/>
      <c r="R1236" s="127"/>
      <c r="S1236" s="123"/>
      <c r="T1236" s="3"/>
      <c r="W1236" s="86"/>
      <c r="Y1236" s="75"/>
    </row>
    <row r="1237" spans="1:25" x14ac:dyDescent="0.25">
      <c r="A1237" s="75"/>
      <c r="C1237" s="81"/>
      <c r="D1237" s="81"/>
      <c r="I1237" s="81"/>
      <c r="K1237" s="82"/>
      <c r="L1237" s="123"/>
      <c r="M1237" s="3"/>
      <c r="N1237" s="3"/>
      <c r="O1237" s="3"/>
      <c r="P1237" s="125"/>
      <c r="Q1237" s="125"/>
      <c r="R1237" s="127"/>
      <c r="S1237" s="123"/>
      <c r="T1237" s="3"/>
      <c r="W1237" s="86"/>
      <c r="Y1237" s="75"/>
    </row>
    <row r="1238" spans="1:25" x14ac:dyDescent="0.25">
      <c r="A1238" s="75"/>
      <c r="C1238" s="81"/>
      <c r="D1238" s="81"/>
      <c r="I1238" s="81"/>
      <c r="K1238" s="82"/>
      <c r="L1238" s="123"/>
      <c r="M1238" s="3"/>
      <c r="N1238" s="3"/>
      <c r="O1238" s="3"/>
      <c r="P1238" s="125"/>
      <c r="Q1238" s="125"/>
      <c r="R1238" s="127"/>
      <c r="S1238" s="123"/>
      <c r="T1238" s="3"/>
      <c r="W1238" s="86"/>
      <c r="Y1238" s="75"/>
    </row>
    <row r="1239" spans="1:25" x14ac:dyDescent="0.25">
      <c r="A1239" s="75"/>
      <c r="C1239" s="81"/>
      <c r="D1239" s="81"/>
      <c r="I1239" s="81"/>
      <c r="K1239" s="82"/>
      <c r="L1239" s="123"/>
      <c r="M1239" s="3"/>
      <c r="N1239" s="3"/>
      <c r="O1239" s="3"/>
      <c r="P1239" s="125"/>
      <c r="Q1239" s="125"/>
      <c r="R1239" s="127"/>
      <c r="S1239" s="123"/>
      <c r="T1239" s="3"/>
      <c r="W1239" s="86"/>
      <c r="Y1239" s="75"/>
    </row>
    <row r="1240" spans="1:25" x14ac:dyDescent="0.25">
      <c r="A1240" s="75"/>
      <c r="C1240" s="81"/>
      <c r="D1240" s="81"/>
      <c r="I1240" s="81"/>
      <c r="K1240" s="82"/>
      <c r="L1240" s="123"/>
      <c r="M1240" s="3"/>
      <c r="N1240" s="3"/>
      <c r="O1240" s="3"/>
      <c r="P1240" s="125"/>
      <c r="Q1240" s="125"/>
      <c r="R1240" s="127"/>
      <c r="S1240" s="123"/>
      <c r="T1240" s="3"/>
      <c r="W1240" s="86"/>
      <c r="Y1240" s="75"/>
    </row>
    <row r="1241" spans="1:25" x14ac:dyDescent="0.25">
      <c r="A1241" s="75"/>
      <c r="C1241" s="81"/>
      <c r="D1241" s="81"/>
      <c r="I1241" s="81"/>
      <c r="K1241" s="82"/>
      <c r="L1241" s="123"/>
      <c r="M1241" s="3"/>
      <c r="N1241" s="3"/>
      <c r="O1241" s="3"/>
      <c r="P1241" s="125"/>
      <c r="Q1241" s="125"/>
      <c r="R1241" s="127"/>
      <c r="S1241" s="123"/>
      <c r="T1241" s="3"/>
      <c r="W1241" s="86"/>
      <c r="Y1241" s="75"/>
    </row>
    <row r="1242" spans="1:25" x14ac:dyDescent="0.25">
      <c r="A1242" s="75"/>
      <c r="C1242" s="81"/>
      <c r="D1242" s="81"/>
      <c r="I1242" s="81"/>
      <c r="K1242" s="82"/>
      <c r="L1242" s="123"/>
      <c r="M1242" s="3"/>
      <c r="N1242" s="3"/>
      <c r="O1242" s="3"/>
      <c r="P1242" s="125"/>
      <c r="Q1242" s="125"/>
      <c r="R1242" s="127"/>
      <c r="S1242" s="123"/>
      <c r="T1242" s="3"/>
      <c r="W1242" s="86"/>
      <c r="Y1242" s="75"/>
    </row>
    <row r="1243" spans="1:25" x14ac:dyDescent="0.25">
      <c r="A1243" s="75"/>
      <c r="C1243" s="81"/>
      <c r="D1243" s="81"/>
      <c r="I1243" s="81"/>
      <c r="K1243" s="82"/>
      <c r="L1243" s="123"/>
      <c r="M1243" s="3"/>
      <c r="N1243" s="3"/>
      <c r="O1243" s="3"/>
      <c r="P1243" s="125"/>
      <c r="Q1243" s="125"/>
      <c r="R1243" s="127"/>
      <c r="S1243" s="123"/>
      <c r="T1243" s="3"/>
      <c r="W1243" s="86"/>
      <c r="Y1243" s="75"/>
    </row>
    <row r="1244" spans="1:25" x14ac:dyDescent="0.25">
      <c r="A1244" s="75"/>
      <c r="C1244" s="81"/>
      <c r="D1244" s="81"/>
      <c r="I1244" s="81"/>
      <c r="K1244" s="82"/>
      <c r="L1244" s="123"/>
      <c r="M1244" s="3"/>
      <c r="N1244" s="3"/>
      <c r="O1244" s="3"/>
      <c r="P1244" s="125"/>
      <c r="Q1244" s="125"/>
      <c r="R1244" s="127"/>
      <c r="S1244" s="123"/>
      <c r="T1244" s="3"/>
      <c r="W1244" s="86"/>
      <c r="Y1244" s="75"/>
    </row>
    <row r="1245" spans="1:25" x14ac:dyDescent="0.25">
      <c r="A1245" s="75"/>
      <c r="C1245" s="81"/>
      <c r="D1245" s="81"/>
      <c r="I1245" s="81"/>
      <c r="K1245" s="82"/>
      <c r="L1245" s="123"/>
      <c r="M1245" s="3"/>
      <c r="N1245" s="3"/>
      <c r="O1245" s="3"/>
      <c r="P1245" s="125"/>
      <c r="Q1245" s="125"/>
      <c r="R1245" s="127"/>
      <c r="S1245" s="123"/>
      <c r="T1245" s="3"/>
      <c r="W1245" s="86"/>
      <c r="Y1245" s="75"/>
    </row>
    <row r="1246" spans="1:25" x14ac:dyDescent="0.25">
      <c r="A1246" s="75"/>
      <c r="C1246" s="81"/>
      <c r="D1246" s="81"/>
      <c r="I1246" s="81"/>
      <c r="K1246" s="82"/>
      <c r="L1246" s="123"/>
      <c r="M1246" s="3"/>
      <c r="N1246" s="3"/>
      <c r="O1246" s="3"/>
      <c r="P1246" s="125"/>
      <c r="Q1246" s="125"/>
      <c r="R1246" s="127"/>
      <c r="S1246" s="123"/>
      <c r="T1246" s="3"/>
      <c r="W1246" s="86"/>
      <c r="Y1246" s="75"/>
    </row>
    <row r="1247" spans="1:25" x14ac:dyDescent="0.25">
      <c r="A1247" s="75"/>
      <c r="C1247" s="81"/>
      <c r="D1247" s="81"/>
      <c r="I1247" s="81"/>
      <c r="K1247" s="82"/>
      <c r="L1247" s="123"/>
      <c r="M1247" s="3"/>
      <c r="N1247" s="3"/>
      <c r="O1247" s="3"/>
      <c r="P1247" s="125"/>
      <c r="Q1247" s="125"/>
      <c r="R1247" s="127"/>
      <c r="S1247" s="123"/>
      <c r="T1247" s="3"/>
      <c r="W1247" s="86"/>
      <c r="Y1247" s="75"/>
    </row>
    <row r="1248" spans="1:25" x14ac:dyDescent="0.25">
      <c r="A1248" s="75"/>
      <c r="C1248" s="81"/>
      <c r="D1248" s="81"/>
      <c r="I1248" s="81"/>
      <c r="K1248" s="82"/>
      <c r="L1248" s="123"/>
      <c r="M1248" s="3"/>
      <c r="N1248" s="3"/>
      <c r="O1248" s="3"/>
      <c r="P1248" s="125"/>
      <c r="Q1248" s="125"/>
      <c r="R1248" s="127"/>
      <c r="S1248" s="123"/>
      <c r="T1248" s="3"/>
      <c r="W1248" s="86"/>
      <c r="Y1248" s="75"/>
    </row>
    <row r="1249" spans="1:25" x14ac:dyDescent="0.25">
      <c r="A1249" s="75"/>
      <c r="C1249" s="81"/>
      <c r="D1249" s="81"/>
      <c r="I1249" s="81"/>
      <c r="K1249" s="82"/>
      <c r="L1249" s="123"/>
      <c r="M1249" s="3"/>
      <c r="N1249" s="3"/>
      <c r="O1249" s="3"/>
      <c r="P1249" s="125"/>
      <c r="Q1249" s="125"/>
      <c r="R1249" s="127"/>
      <c r="S1249" s="123"/>
      <c r="T1249" s="3"/>
      <c r="W1249" s="86"/>
      <c r="Y1249" s="75"/>
    </row>
    <row r="1250" spans="1:25" x14ac:dyDescent="0.25">
      <c r="A1250" s="75"/>
      <c r="C1250" s="81"/>
      <c r="D1250" s="81"/>
      <c r="I1250" s="81"/>
      <c r="K1250" s="82"/>
      <c r="L1250" s="123"/>
      <c r="M1250" s="3"/>
      <c r="N1250" s="3"/>
      <c r="O1250" s="3"/>
      <c r="P1250" s="125"/>
      <c r="Q1250" s="125"/>
      <c r="R1250" s="127"/>
      <c r="S1250" s="123"/>
      <c r="T1250" s="3"/>
      <c r="W1250" s="86"/>
      <c r="Y1250" s="75"/>
    </row>
    <row r="1251" spans="1:25" x14ac:dyDescent="0.25">
      <c r="A1251" s="75"/>
      <c r="C1251" s="81"/>
      <c r="D1251" s="81"/>
      <c r="I1251" s="81"/>
      <c r="K1251" s="82"/>
      <c r="L1251" s="123"/>
      <c r="M1251" s="3"/>
      <c r="N1251" s="3"/>
      <c r="O1251" s="3"/>
      <c r="P1251" s="125"/>
      <c r="Q1251" s="125"/>
      <c r="R1251" s="127"/>
      <c r="S1251" s="123"/>
      <c r="T1251" s="3"/>
      <c r="W1251" s="86"/>
      <c r="Y1251" s="75"/>
    </row>
    <row r="1252" spans="1:25" x14ac:dyDescent="0.25">
      <c r="A1252" s="75"/>
      <c r="C1252" s="81"/>
      <c r="D1252" s="81"/>
      <c r="I1252" s="81"/>
      <c r="K1252" s="82"/>
      <c r="L1252" s="123"/>
      <c r="M1252" s="3"/>
      <c r="N1252" s="3"/>
      <c r="O1252" s="3"/>
      <c r="P1252" s="125"/>
      <c r="Q1252" s="125"/>
      <c r="R1252" s="127"/>
      <c r="S1252" s="123"/>
      <c r="T1252" s="3"/>
      <c r="W1252" s="86"/>
      <c r="Y1252" s="75"/>
    </row>
    <row r="1253" spans="1:25" x14ac:dyDescent="0.25">
      <c r="A1253" s="75"/>
      <c r="C1253" s="81"/>
      <c r="D1253" s="81"/>
      <c r="I1253" s="81"/>
      <c r="K1253" s="82"/>
      <c r="L1253" s="123"/>
      <c r="M1253" s="3"/>
      <c r="N1253" s="3"/>
      <c r="O1253" s="3"/>
      <c r="P1253" s="125"/>
      <c r="Q1253" s="125"/>
      <c r="R1253" s="127"/>
      <c r="S1253" s="123"/>
      <c r="T1253" s="3"/>
      <c r="W1253" s="86"/>
      <c r="Y1253" s="75"/>
    </row>
    <row r="1254" spans="1:25" x14ac:dyDescent="0.25">
      <c r="A1254" s="75"/>
      <c r="C1254" s="81"/>
      <c r="D1254" s="81"/>
      <c r="I1254" s="81"/>
      <c r="K1254" s="82"/>
      <c r="L1254" s="123"/>
      <c r="M1254" s="3"/>
      <c r="N1254" s="3"/>
      <c r="O1254" s="3"/>
      <c r="P1254" s="125"/>
      <c r="Q1254" s="125"/>
      <c r="R1254" s="127"/>
      <c r="S1254" s="123"/>
      <c r="T1254" s="3"/>
      <c r="W1254" s="86"/>
      <c r="Y1254" s="75"/>
    </row>
    <row r="1255" spans="1:25" x14ac:dyDescent="0.25">
      <c r="A1255" s="75"/>
      <c r="C1255" s="81"/>
      <c r="D1255" s="81"/>
      <c r="I1255" s="81"/>
      <c r="K1255" s="82"/>
      <c r="L1255" s="123"/>
      <c r="M1255" s="3"/>
      <c r="N1255" s="3"/>
      <c r="O1255" s="3"/>
      <c r="P1255" s="125"/>
      <c r="Q1255" s="125"/>
      <c r="R1255" s="127"/>
      <c r="S1255" s="123"/>
      <c r="T1255" s="3"/>
      <c r="W1255" s="86"/>
      <c r="Y1255" s="75"/>
    </row>
    <row r="1256" spans="1:25" x14ac:dyDescent="0.25">
      <c r="A1256" s="75"/>
      <c r="C1256" s="81"/>
      <c r="D1256" s="81"/>
      <c r="I1256" s="81"/>
      <c r="K1256" s="82"/>
      <c r="L1256" s="123"/>
      <c r="M1256" s="3"/>
      <c r="N1256" s="3"/>
      <c r="O1256" s="3"/>
      <c r="P1256" s="125"/>
      <c r="Q1256" s="125"/>
      <c r="R1256" s="127"/>
      <c r="S1256" s="123"/>
      <c r="T1256" s="3"/>
      <c r="W1256" s="86"/>
      <c r="Y1256" s="75"/>
    </row>
    <row r="1257" spans="1:25" x14ac:dyDescent="0.25">
      <c r="A1257" s="75"/>
      <c r="C1257" s="81"/>
      <c r="D1257" s="81"/>
      <c r="I1257" s="81"/>
      <c r="K1257" s="82"/>
      <c r="L1257" s="123"/>
      <c r="M1257" s="3"/>
      <c r="N1257" s="3"/>
      <c r="O1257" s="3"/>
      <c r="P1257" s="125"/>
      <c r="Q1257" s="125"/>
      <c r="R1257" s="127"/>
      <c r="S1257" s="123"/>
      <c r="T1257" s="3"/>
      <c r="W1257" s="86"/>
      <c r="Y1257" s="75"/>
    </row>
    <row r="1258" spans="1:25" x14ac:dyDescent="0.25">
      <c r="A1258" s="75"/>
      <c r="C1258" s="81"/>
      <c r="D1258" s="81"/>
      <c r="I1258" s="81"/>
      <c r="K1258" s="82"/>
      <c r="L1258" s="123"/>
      <c r="M1258" s="3"/>
      <c r="N1258" s="3"/>
      <c r="O1258" s="3"/>
      <c r="P1258" s="125"/>
      <c r="Q1258" s="125"/>
      <c r="R1258" s="127"/>
      <c r="S1258" s="123"/>
      <c r="T1258" s="3"/>
      <c r="W1258" s="86"/>
      <c r="Y1258" s="75"/>
    </row>
    <row r="1259" spans="1:25" x14ac:dyDescent="0.25">
      <c r="A1259" s="75"/>
      <c r="C1259" s="81"/>
      <c r="D1259" s="81"/>
      <c r="I1259" s="81"/>
      <c r="K1259" s="82"/>
      <c r="L1259" s="123"/>
      <c r="M1259" s="3"/>
      <c r="N1259" s="3"/>
      <c r="O1259" s="3"/>
      <c r="P1259" s="125"/>
      <c r="Q1259" s="125"/>
      <c r="R1259" s="127"/>
      <c r="S1259" s="123"/>
      <c r="T1259" s="3"/>
      <c r="W1259" s="86"/>
      <c r="Y1259" s="75"/>
    </row>
    <row r="1260" spans="1:25" x14ac:dyDescent="0.25">
      <c r="A1260" s="75"/>
      <c r="C1260" s="81"/>
      <c r="D1260" s="81"/>
      <c r="I1260" s="81"/>
      <c r="K1260" s="82"/>
      <c r="L1260" s="123"/>
      <c r="M1260" s="3"/>
      <c r="N1260" s="3"/>
      <c r="O1260" s="3"/>
      <c r="P1260" s="125"/>
      <c r="Q1260" s="125"/>
      <c r="R1260" s="127"/>
      <c r="S1260" s="123"/>
      <c r="T1260" s="3"/>
      <c r="W1260" s="86"/>
      <c r="Y1260" s="75"/>
    </row>
    <row r="1261" spans="1:25" x14ac:dyDescent="0.25">
      <c r="A1261" s="75"/>
      <c r="C1261" s="81"/>
      <c r="D1261" s="81"/>
      <c r="I1261" s="81"/>
      <c r="K1261" s="82"/>
      <c r="L1261" s="123"/>
      <c r="M1261" s="3"/>
      <c r="N1261" s="3"/>
      <c r="O1261" s="3"/>
      <c r="P1261" s="125"/>
      <c r="Q1261" s="125"/>
      <c r="R1261" s="127"/>
      <c r="S1261" s="123"/>
      <c r="T1261" s="3"/>
      <c r="W1261" s="86"/>
      <c r="Y1261" s="75"/>
    </row>
    <row r="1262" spans="1:25" x14ac:dyDescent="0.25">
      <c r="A1262" s="75"/>
      <c r="C1262" s="81"/>
      <c r="D1262" s="81"/>
      <c r="I1262" s="81"/>
      <c r="K1262" s="82"/>
      <c r="L1262" s="123"/>
      <c r="M1262" s="3"/>
      <c r="N1262" s="3"/>
      <c r="O1262" s="3"/>
      <c r="P1262" s="125"/>
      <c r="Q1262" s="125"/>
      <c r="R1262" s="127"/>
      <c r="S1262" s="123"/>
      <c r="T1262" s="3"/>
      <c r="W1262" s="86"/>
      <c r="Y1262" s="75"/>
    </row>
    <row r="1263" spans="1:25" x14ac:dyDescent="0.25">
      <c r="A1263" s="75"/>
      <c r="C1263" s="81"/>
      <c r="D1263" s="81"/>
      <c r="I1263" s="81"/>
      <c r="K1263" s="82"/>
      <c r="L1263" s="123"/>
      <c r="M1263" s="3"/>
      <c r="N1263" s="3"/>
      <c r="O1263" s="3"/>
      <c r="P1263" s="125"/>
      <c r="Q1263" s="125"/>
      <c r="R1263" s="127"/>
      <c r="S1263" s="123"/>
      <c r="T1263" s="3"/>
      <c r="W1263" s="86"/>
      <c r="Y1263" s="75"/>
    </row>
    <row r="1264" spans="1:25" x14ac:dyDescent="0.25">
      <c r="A1264" s="75"/>
      <c r="C1264" s="81"/>
      <c r="D1264" s="81"/>
      <c r="I1264" s="81"/>
      <c r="K1264" s="82"/>
      <c r="L1264" s="123"/>
      <c r="M1264" s="3"/>
      <c r="N1264" s="3"/>
      <c r="O1264" s="3"/>
      <c r="P1264" s="125"/>
      <c r="Q1264" s="125"/>
      <c r="R1264" s="127"/>
      <c r="S1264" s="123"/>
      <c r="T1264" s="3"/>
      <c r="W1264" s="86"/>
      <c r="Y1264" s="75"/>
    </row>
    <row r="1265" spans="1:25" x14ac:dyDescent="0.25">
      <c r="A1265" s="75"/>
      <c r="C1265" s="81"/>
      <c r="D1265" s="81"/>
      <c r="I1265" s="81"/>
      <c r="K1265" s="82"/>
      <c r="L1265" s="123"/>
      <c r="M1265" s="3"/>
      <c r="N1265" s="3"/>
      <c r="O1265" s="3"/>
      <c r="P1265" s="125"/>
      <c r="Q1265" s="125"/>
      <c r="R1265" s="127"/>
      <c r="S1265" s="123"/>
      <c r="T1265" s="3"/>
      <c r="W1265" s="86"/>
      <c r="Y1265" s="75"/>
    </row>
    <row r="1266" spans="1:25" x14ac:dyDescent="0.25">
      <c r="A1266" s="75"/>
      <c r="C1266" s="81"/>
      <c r="D1266" s="81"/>
      <c r="I1266" s="81"/>
      <c r="K1266" s="82"/>
      <c r="L1266" s="123"/>
      <c r="M1266" s="3"/>
      <c r="N1266" s="3"/>
      <c r="O1266" s="3"/>
      <c r="P1266" s="125"/>
      <c r="Q1266" s="125"/>
      <c r="R1266" s="127"/>
      <c r="S1266" s="123"/>
      <c r="T1266" s="3"/>
      <c r="W1266" s="86"/>
      <c r="Y1266" s="75"/>
    </row>
    <row r="1267" spans="1:25" x14ac:dyDescent="0.25">
      <c r="A1267" s="75"/>
      <c r="C1267" s="81"/>
      <c r="D1267" s="81"/>
      <c r="I1267" s="81"/>
      <c r="K1267" s="82"/>
      <c r="L1267" s="123"/>
      <c r="M1267" s="3"/>
      <c r="N1267" s="3"/>
      <c r="O1267" s="3"/>
      <c r="P1267" s="125"/>
      <c r="Q1267" s="125"/>
      <c r="R1267" s="127"/>
      <c r="S1267" s="123"/>
      <c r="T1267" s="3"/>
      <c r="W1267" s="86"/>
      <c r="Y1267" s="75"/>
    </row>
    <row r="1268" spans="1:25" x14ac:dyDescent="0.25">
      <c r="A1268" s="75"/>
      <c r="C1268" s="81"/>
      <c r="D1268" s="81"/>
      <c r="I1268" s="81"/>
      <c r="K1268" s="82"/>
      <c r="L1268" s="123"/>
      <c r="M1268" s="3"/>
      <c r="N1268" s="3"/>
      <c r="O1268" s="3"/>
      <c r="P1268" s="125"/>
      <c r="Q1268" s="125"/>
      <c r="R1268" s="127"/>
      <c r="S1268" s="123"/>
      <c r="T1268" s="3"/>
      <c r="W1268" s="86"/>
      <c r="Y1268" s="75"/>
    </row>
    <row r="1269" spans="1:25" x14ac:dyDescent="0.25">
      <c r="A1269" s="75"/>
      <c r="C1269" s="81"/>
      <c r="D1269" s="81"/>
      <c r="I1269" s="81"/>
      <c r="K1269" s="82"/>
      <c r="L1269" s="123"/>
      <c r="M1269" s="3"/>
      <c r="N1269" s="3"/>
      <c r="O1269" s="3"/>
      <c r="P1269" s="125"/>
      <c r="Q1269" s="125"/>
      <c r="R1269" s="127"/>
      <c r="S1269" s="123"/>
      <c r="T1269" s="3"/>
      <c r="W1269" s="86"/>
      <c r="Y1269" s="75"/>
    </row>
    <row r="1270" spans="1:25" x14ac:dyDescent="0.25">
      <c r="A1270" s="75"/>
      <c r="C1270" s="81"/>
      <c r="D1270" s="81"/>
      <c r="I1270" s="81"/>
      <c r="K1270" s="82"/>
      <c r="L1270" s="123"/>
      <c r="M1270" s="3"/>
      <c r="N1270" s="3"/>
      <c r="O1270" s="3"/>
      <c r="P1270" s="125"/>
      <c r="Q1270" s="125"/>
      <c r="R1270" s="127"/>
      <c r="S1270" s="123"/>
      <c r="T1270" s="3"/>
      <c r="W1270" s="86"/>
      <c r="Y1270" s="75"/>
    </row>
    <row r="1271" spans="1:25" x14ac:dyDescent="0.25">
      <c r="A1271" s="75"/>
      <c r="C1271" s="81"/>
      <c r="D1271" s="81"/>
      <c r="I1271" s="81"/>
      <c r="K1271" s="82"/>
      <c r="L1271" s="123"/>
      <c r="M1271" s="3"/>
      <c r="N1271" s="3"/>
      <c r="O1271" s="3"/>
      <c r="P1271" s="125"/>
      <c r="Q1271" s="125"/>
      <c r="R1271" s="127"/>
      <c r="S1271" s="123"/>
      <c r="T1271" s="3"/>
      <c r="W1271" s="86"/>
      <c r="Y1271" s="75"/>
    </row>
    <row r="1272" spans="1:25" x14ac:dyDescent="0.25">
      <c r="A1272" s="75"/>
      <c r="C1272" s="81"/>
      <c r="D1272" s="81"/>
      <c r="I1272" s="81"/>
      <c r="K1272" s="82"/>
      <c r="L1272" s="123"/>
      <c r="M1272" s="3"/>
      <c r="N1272" s="3"/>
      <c r="O1272" s="3"/>
      <c r="P1272" s="125"/>
      <c r="Q1272" s="125"/>
      <c r="R1272" s="127"/>
      <c r="S1272" s="123"/>
      <c r="T1272" s="3"/>
      <c r="W1272" s="86"/>
      <c r="Y1272" s="75"/>
    </row>
    <row r="1273" spans="1:25" x14ac:dyDescent="0.25">
      <c r="A1273" s="75"/>
      <c r="C1273" s="81"/>
      <c r="D1273" s="81"/>
      <c r="I1273" s="81"/>
      <c r="K1273" s="82"/>
      <c r="L1273" s="123"/>
      <c r="M1273" s="3"/>
      <c r="N1273" s="3"/>
      <c r="O1273" s="3"/>
      <c r="P1273" s="125"/>
      <c r="Q1273" s="125"/>
      <c r="R1273" s="127"/>
      <c r="S1273" s="123"/>
      <c r="T1273" s="3"/>
      <c r="W1273" s="86"/>
      <c r="Y1273" s="75"/>
    </row>
    <row r="1274" spans="1:25" x14ac:dyDescent="0.25">
      <c r="A1274" s="75"/>
      <c r="C1274" s="81"/>
      <c r="D1274" s="81"/>
      <c r="I1274" s="81"/>
      <c r="K1274" s="82"/>
      <c r="L1274" s="123"/>
      <c r="M1274" s="3"/>
      <c r="N1274" s="3"/>
      <c r="O1274" s="3"/>
      <c r="P1274" s="125"/>
      <c r="Q1274" s="125"/>
      <c r="R1274" s="127"/>
      <c r="S1274" s="123"/>
      <c r="T1274" s="3"/>
      <c r="W1274" s="86"/>
      <c r="Y1274" s="75"/>
    </row>
    <row r="1275" spans="1:25" x14ac:dyDescent="0.25">
      <c r="A1275" s="75"/>
      <c r="C1275" s="81"/>
      <c r="D1275" s="81"/>
      <c r="I1275" s="81"/>
      <c r="K1275" s="82"/>
      <c r="L1275" s="123"/>
      <c r="M1275" s="3"/>
      <c r="N1275" s="3"/>
      <c r="O1275" s="3"/>
      <c r="P1275" s="125"/>
      <c r="Q1275" s="125"/>
      <c r="R1275" s="127"/>
      <c r="S1275" s="123"/>
      <c r="T1275" s="3"/>
      <c r="W1275" s="86"/>
      <c r="Y1275" s="75"/>
    </row>
    <row r="1276" spans="1:25" x14ac:dyDescent="0.25">
      <c r="A1276" s="75"/>
      <c r="C1276" s="81"/>
      <c r="D1276" s="81"/>
      <c r="I1276" s="81"/>
      <c r="K1276" s="82"/>
      <c r="L1276" s="123"/>
      <c r="M1276" s="3"/>
      <c r="N1276" s="3"/>
      <c r="O1276" s="3"/>
      <c r="P1276" s="125"/>
      <c r="Q1276" s="125"/>
      <c r="R1276" s="127"/>
      <c r="S1276" s="123"/>
      <c r="T1276" s="3"/>
      <c r="W1276" s="86"/>
      <c r="Y1276" s="75"/>
    </row>
    <row r="1277" spans="1:25" x14ac:dyDescent="0.25">
      <c r="A1277" s="75"/>
      <c r="C1277" s="81"/>
      <c r="D1277" s="81"/>
      <c r="I1277" s="81"/>
      <c r="K1277" s="82"/>
      <c r="L1277" s="123"/>
      <c r="M1277" s="3"/>
      <c r="N1277" s="3"/>
      <c r="O1277" s="3"/>
      <c r="P1277" s="125"/>
      <c r="Q1277" s="125"/>
      <c r="R1277" s="127"/>
      <c r="S1277" s="123"/>
      <c r="T1277" s="3"/>
      <c r="W1277" s="86"/>
      <c r="Y1277" s="75"/>
    </row>
    <row r="1278" spans="1:25" x14ac:dyDescent="0.25">
      <c r="A1278" s="75"/>
      <c r="C1278" s="81"/>
      <c r="D1278" s="81"/>
      <c r="I1278" s="81"/>
      <c r="K1278" s="82"/>
      <c r="L1278" s="123"/>
      <c r="M1278" s="3"/>
      <c r="N1278" s="3"/>
      <c r="O1278" s="3"/>
      <c r="P1278" s="125"/>
      <c r="Q1278" s="125"/>
      <c r="R1278" s="127"/>
      <c r="S1278" s="123"/>
      <c r="T1278" s="3"/>
      <c r="W1278" s="86"/>
      <c r="Y1278" s="75"/>
    </row>
    <row r="1279" spans="1:25" x14ac:dyDescent="0.25">
      <c r="A1279" s="75"/>
      <c r="C1279" s="81"/>
      <c r="D1279" s="81"/>
      <c r="I1279" s="81"/>
      <c r="K1279" s="82"/>
      <c r="L1279" s="123"/>
      <c r="M1279" s="3"/>
      <c r="N1279" s="3"/>
      <c r="O1279" s="3"/>
      <c r="P1279" s="125"/>
      <c r="Q1279" s="125"/>
      <c r="R1279" s="127"/>
      <c r="S1279" s="123"/>
      <c r="T1279" s="3"/>
      <c r="W1279" s="86"/>
      <c r="Y1279" s="75"/>
    </row>
    <row r="1280" spans="1:25" x14ac:dyDescent="0.25">
      <c r="A1280" s="75"/>
      <c r="C1280" s="81"/>
      <c r="D1280" s="81"/>
      <c r="I1280" s="81"/>
      <c r="K1280" s="82"/>
      <c r="L1280" s="123"/>
      <c r="M1280" s="3"/>
      <c r="N1280" s="3"/>
      <c r="O1280" s="3"/>
      <c r="P1280" s="125"/>
      <c r="Q1280" s="125"/>
      <c r="R1280" s="127"/>
      <c r="S1280" s="123"/>
      <c r="T1280" s="3"/>
      <c r="W1280" s="86"/>
      <c r="Y1280" s="75"/>
    </row>
    <row r="1281" spans="1:25" x14ac:dyDescent="0.25">
      <c r="A1281" s="75"/>
      <c r="C1281" s="81"/>
      <c r="D1281" s="81"/>
      <c r="I1281" s="81"/>
      <c r="K1281" s="82"/>
      <c r="L1281" s="123"/>
      <c r="M1281" s="3"/>
      <c r="N1281" s="3"/>
      <c r="O1281" s="3"/>
      <c r="P1281" s="125"/>
      <c r="Q1281" s="125"/>
      <c r="R1281" s="127"/>
      <c r="S1281" s="123"/>
      <c r="T1281" s="3"/>
      <c r="W1281" s="86"/>
      <c r="Y1281" s="75"/>
    </row>
    <row r="1282" spans="1:25" x14ac:dyDescent="0.25">
      <c r="A1282" s="75"/>
      <c r="C1282" s="81"/>
      <c r="D1282" s="81"/>
      <c r="I1282" s="81"/>
      <c r="K1282" s="82"/>
      <c r="L1282" s="123"/>
      <c r="M1282" s="3"/>
      <c r="N1282" s="3"/>
      <c r="O1282" s="3"/>
      <c r="P1282" s="125"/>
      <c r="Q1282" s="125"/>
      <c r="R1282" s="127"/>
      <c r="S1282" s="123"/>
      <c r="T1282" s="3"/>
      <c r="W1282" s="86"/>
      <c r="Y1282" s="75"/>
    </row>
    <row r="1283" spans="1:25" x14ac:dyDescent="0.25">
      <c r="A1283" s="75"/>
      <c r="C1283" s="81"/>
      <c r="D1283" s="81"/>
      <c r="I1283" s="81"/>
      <c r="K1283" s="82"/>
      <c r="L1283" s="123"/>
      <c r="M1283" s="3"/>
      <c r="N1283" s="3"/>
      <c r="O1283" s="3"/>
      <c r="P1283" s="125"/>
      <c r="Q1283" s="125"/>
      <c r="R1283" s="127"/>
      <c r="S1283" s="123"/>
      <c r="T1283" s="3"/>
      <c r="W1283" s="86"/>
      <c r="Y1283" s="75"/>
    </row>
    <row r="1284" spans="1:25" x14ac:dyDescent="0.25">
      <c r="A1284" s="75"/>
      <c r="C1284" s="81"/>
      <c r="D1284" s="81"/>
      <c r="I1284" s="81"/>
      <c r="K1284" s="82"/>
      <c r="L1284" s="123"/>
      <c r="M1284" s="3"/>
      <c r="N1284" s="3"/>
      <c r="O1284" s="3"/>
      <c r="P1284" s="125"/>
      <c r="Q1284" s="125"/>
      <c r="R1284" s="127"/>
      <c r="S1284" s="123"/>
      <c r="T1284" s="3"/>
      <c r="W1284" s="86"/>
      <c r="Y1284" s="75"/>
    </row>
    <row r="1285" spans="1:25" x14ac:dyDescent="0.25">
      <c r="A1285" s="75"/>
      <c r="C1285" s="81"/>
      <c r="D1285" s="81"/>
      <c r="I1285" s="81"/>
      <c r="K1285" s="82"/>
      <c r="L1285" s="123"/>
      <c r="M1285" s="3"/>
      <c r="N1285" s="3"/>
      <c r="O1285" s="3"/>
      <c r="P1285" s="125"/>
      <c r="Q1285" s="125"/>
      <c r="R1285" s="127"/>
      <c r="S1285" s="123"/>
      <c r="T1285" s="3"/>
      <c r="W1285" s="86"/>
      <c r="Y1285" s="75"/>
    </row>
    <row r="1286" spans="1:25" x14ac:dyDescent="0.25">
      <c r="A1286" s="75"/>
      <c r="C1286" s="81"/>
      <c r="D1286" s="81"/>
      <c r="I1286" s="81"/>
      <c r="K1286" s="82"/>
      <c r="L1286" s="123"/>
      <c r="M1286" s="3"/>
      <c r="N1286" s="3"/>
      <c r="O1286" s="3"/>
      <c r="P1286" s="125"/>
      <c r="Q1286" s="125"/>
      <c r="R1286" s="127"/>
      <c r="S1286" s="123"/>
      <c r="T1286" s="3"/>
      <c r="W1286" s="86"/>
      <c r="Y1286" s="75"/>
    </row>
    <row r="1287" spans="1:25" x14ac:dyDescent="0.25">
      <c r="A1287" s="75"/>
      <c r="C1287" s="81"/>
      <c r="D1287" s="81"/>
      <c r="I1287" s="81"/>
      <c r="K1287" s="82"/>
      <c r="L1287" s="123"/>
      <c r="M1287" s="3"/>
      <c r="N1287" s="3"/>
      <c r="O1287" s="3"/>
      <c r="P1287" s="125"/>
      <c r="Q1287" s="125"/>
      <c r="R1287" s="127"/>
      <c r="S1287" s="123"/>
      <c r="T1287" s="3"/>
      <c r="W1287" s="86"/>
      <c r="Y1287" s="75"/>
    </row>
    <row r="1288" spans="1:25" x14ac:dyDescent="0.25">
      <c r="A1288" s="75"/>
      <c r="C1288" s="81"/>
      <c r="D1288" s="81"/>
      <c r="I1288" s="81"/>
      <c r="K1288" s="82"/>
      <c r="L1288" s="123"/>
      <c r="M1288" s="3"/>
      <c r="N1288" s="3"/>
      <c r="O1288" s="3"/>
      <c r="P1288" s="125"/>
      <c r="Q1288" s="125"/>
      <c r="R1288" s="127"/>
      <c r="S1288" s="123"/>
      <c r="T1288" s="3"/>
      <c r="W1288" s="86"/>
      <c r="Y1288" s="75"/>
    </row>
    <row r="1289" spans="1:25" x14ac:dyDescent="0.25">
      <c r="A1289" s="75"/>
      <c r="C1289" s="81"/>
      <c r="D1289" s="81"/>
      <c r="I1289" s="81"/>
      <c r="K1289" s="82"/>
      <c r="L1289" s="123"/>
      <c r="M1289" s="3"/>
      <c r="N1289" s="3"/>
      <c r="O1289" s="3"/>
      <c r="P1289" s="125"/>
      <c r="Q1289" s="125"/>
      <c r="R1289" s="127"/>
      <c r="S1289" s="123"/>
      <c r="T1289" s="3"/>
      <c r="W1289" s="86"/>
      <c r="Y1289" s="75"/>
    </row>
    <row r="1290" spans="1:25" x14ac:dyDescent="0.25">
      <c r="A1290" s="75"/>
      <c r="C1290" s="81"/>
      <c r="D1290" s="81"/>
      <c r="I1290" s="81"/>
      <c r="K1290" s="82"/>
      <c r="L1290" s="123"/>
      <c r="M1290" s="3"/>
      <c r="N1290" s="3"/>
      <c r="O1290" s="3"/>
      <c r="P1290" s="125"/>
      <c r="Q1290" s="125"/>
      <c r="R1290" s="127"/>
      <c r="S1290" s="123"/>
      <c r="T1290" s="3"/>
      <c r="W1290" s="86"/>
      <c r="Y1290" s="75"/>
    </row>
    <row r="1291" spans="1:25" x14ac:dyDescent="0.25">
      <c r="A1291" s="75"/>
      <c r="C1291" s="81"/>
      <c r="D1291" s="81"/>
      <c r="I1291" s="81"/>
      <c r="K1291" s="82"/>
      <c r="L1291" s="123"/>
      <c r="M1291" s="3"/>
      <c r="N1291" s="3"/>
      <c r="O1291" s="3"/>
      <c r="P1291" s="125"/>
      <c r="Q1291" s="125"/>
      <c r="R1291" s="127"/>
      <c r="S1291" s="123"/>
      <c r="T1291" s="3"/>
      <c r="W1291" s="86"/>
      <c r="Y1291" s="75"/>
    </row>
    <row r="1292" spans="1:25" x14ac:dyDescent="0.25">
      <c r="A1292" s="75"/>
      <c r="C1292" s="81"/>
      <c r="D1292" s="81"/>
      <c r="I1292" s="81"/>
      <c r="K1292" s="82"/>
      <c r="L1292" s="123"/>
      <c r="M1292" s="3"/>
      <c r="N1292" s="3"/>
      <c r="O1292" s="3"/>
      <c r="P1292" s="125"/>
      <c r="Q1292" s="125"/>
      <c r="R1292" s="127"/>
      <c r="S1292" s="123"/>
      <c r="T1292" s="3"/>
      <c r="W1292" s="86"/>
      <c r="Y1292" s="75"/>
    </row>
    <row r="1293" spans="1:25" x14ac:dyDescent="0.25">
      <c r="A1293" s="75"/>
      <c r="C1293" s="81"/>
      <c r="D1293" s="81"/>
      <c r="I1293" s="81"/>
      <c r="K1293" s="82"/>
      <c r="L1293" s="123"/>
      <c r="M1293" s="3"/>
      <c r="N1293" s="3"/>
      <c r="O1293" s="3"/>
      <c r="P1293" s="125"/>
      <c r="Q1293" s="125"/>
      <c r="R1293" s="127"/>
      <c r="S1293" s="123"/>
      <c r="T1293" s="3"/>
      <c r="W1293" s="86"/>
      <c r="Y1293" s="75"/>
    </row>
    <row r="1294" spans="1:25" x14ac:dyDescent="0.25">
      <c r="A1294" s="75"/>
      <c r="C1294" s="81"/>
      <c r="D1294" s="81"/>
      <c r="I1294" s="81"/>
      <c r="K1294" s="82"/>
      <c r="L1294" s="123"/>
      <c r="M1294" s="3"/>
      <c r="N1294" s="3"/>
      <c r="O1294" s="3"/>
      <c r="P1294" s="125"/>
      <c r="Q1294" s="125"/>
      <c r="R1294" s="127"/>
      <c r="S1294" s="123"/>
      <c r="T1294" s="3"/>
      <c r="W1294" s="86"/>
      <c r="Y1294" s="75"/>
    </row>
    <row r="1295" spans="1:25" x14ac:dyDescent="0.25">
      <c r="A1295" s="75"/>
      <c r="C1295" s="81"/>
      <c r="D1295" s="81"/>
      <c r="I1295" s="81"/>
      <c r="K1295" s="82"/>
      <c r="L1295" s="123"/>
      <c r="M1295" s="3"/>
      <c r="N1295" s="3"/>
      <c r="O1295" s="3"/>
      <c r="P1295" s="125"/>
      <c r="Q1295" s="125"/>
      <c r="R1295" s="127"/>
      <c r="S1295" s="123"/>
      <c r="T1295" s="3"/>
      <c r="W1295" s="86"/>
      <c r="Y1295" s="75"/>
    </row>
    <row r="1296" spans="1:25" x14ac:dyDescent="0.25">
      <c r="A1296" s="75"/>
      <c r="C1296" s="81"/>
      <c r="D1296" s="81"/>
      <c r="I1296" s="81"/>
      <c r="K1296" s="82"/>
      <c r="L1296" s="123"/>
      <c r="M1296" s="3"/>
      <c r="N1296" s="3"/>
      <c r="O1296" s="3"/>
      <c r="P1296" s="125"/>
      <c r="Q1296" s="125"/>
      <c r="R1296" s="127"/>
      <c r="S1296" s="123"/>
      <c r="T1296" s="3"/>
      <c r="W1296" s="86"/>
      <c r="Y1296" s="75"/>
    </row>
    <row r="1297" spans="1:25" x14ac:dyDescent="0.25">
      <c r="A1297" s="75"/>
      <c r="C1297" s="81"/>
      <c r="D1297" s="81"/>
      <c r="I1297" s="81"/>
      <c r="K1297" s="82"/>
      <c r="L1297" s="123"/>
      <c r="M1297" s="3"/>
      <c r="N1297" s="3"/>
      <c r="O1297" s="3"/>
      <c r="P1297" s="125"/>
      <c r="Q1297" s="125"/>
      <c r="R1297" s="127"/>
      <c r="S1297" s="123"/>
      <c r="T1297" s="3"/>
      <c r="W1297" s="86"/>
      <c r="Y1297" s="75"/>
    </row>
    <row r="1298" spans="1:25" x14ac:dyDescent="0.25">
      <c r="A1298" s="75"/>
      <c r="C1298" s="81"/>
      <c r="D1298" s="81"/>
      <c r="I1298" s="81"/>
      <c r="K1298" s="82"/>
      <c r="L1298" s="123"/>
      <c r="M1298" s="3"/>
      <c r="N1298" s="3"/>
      <c r="O1298" s="3"/>
      <c r="P1298" s="125"/>
      <c r="Q1298" s="125"/>
      <c r="R1298" s="127"/>
      <c r="S1298" s="123"/>
      <c r="T1298" s="3"/>
      <c r="W1298" s="86"/>
      <c r="Y1298" s="75"/>
    </row>
    <row r="1299" spans="1:25" x14ac:dyDescent="0.25">
      <c r="A1299" s="75"/>
      <c r="C1299" s="81"/>
      <c r="D1299" s="81"/>
      <c r="I1299" s="81"/>
      <c r="K1299" s="82"/>
      <c r="L1299" s="123"/>
      <c r="M1299" s="3"/>
      <c r="N1299" s="3"/>
      <c r="O1299" s="3"/>
      <c r="P1299" s="125"/>
      <c r="Q1299" s="125"/>
      <c r="R1299" s="127"/>
      <c r="S1299" s="123"/>
      <c r="T1299" s="3"/>
      <c r="W1299" s="86"/>
      <c r="Y1299" s="75"/>
    </row>
    <row r="1300" spans="1:25" x14ac:dyDescent="0.25">
      <c r="A1300" s="75"/>
      <c r="C1300" s="81"/>
      <c r="D1300" s="81"/>
      <c r="I1300" s="81"/>
      <c r="K1300" s="82"/>
      <c r="L1300" s="123"/>
      <c r="M1300" s="3"/>
      <c r="N1300" s="3"/>
      <c r="O1300" s="3"/>
      <c r="P1300" s="125"/>
      <c r="Q1300" s="125"/>
      <c r="R1300" s="127"/>
      <c r="S1300" s="123"/>
      <c r="T1300" s="3"/>
      <c r="W1300" s="86"/>
      <c r="Y1300" s="75"/>
    </row>
    <row r="1301" spans="1:25" x14ac:dyDescent="0.25">
      <c r="A1301" s="75"/>
      <c r="C1301" s="81"/>
      <c r="D1301" s="81"/>
      <c r="I1301" s="81"/>
      <c r="K1301" s="82"/>
      <c r="L1301" s="123"/>
      <c r="M1301" s="3"/>
      <c r="N1301" s="3"/>
      <c r="O1301" s="3"/>
      <c r="P1301" s="125"/>
      <c r="Q1301" s="125"/>
      <c r="R1301" s="127"/>
      <c r="S1301" s="123"/>
      <c r="T1301" s="3"/>
      <c r="W1301" s="86"/>
      <c r="Y1301" s="75"/>
    </row>
    <row r="1302" spans="1:25" x14ac:dyDescent="0.25">
      <c r="A1302" s="75"/>
      <c r="C1302" s="81"/>
      <c r="D1302" s="81"/>
      <c r="I1302" s="81"/>
      <c r="K1302" s="82"/>
      <c r="L1302" s="123"/>
      <c r="M1302" s="3"/>
      <c r="N1302" s="3"/>
      <c r="O1302" s="3"/>
      <c r="P1302" s="125"/>
      <c r="Q1302" s="125"/>
      <c r="R1302" s="127"/>
      <c r="S1302" s="123"/>
      <c r="T1302" s="3"/>
      <c r="W1302" s="86"/>
      <c r="Y1302" s="75"/>
    </row>
    <row r="1303" spans="1:25" x14ac:dyDescent="0.25">
      <c r="A1303" s="75"/>
      <c r="C1303" s="81"/>
      <c r="D1303" s="81"/>
      <c r="I1303" s="81"/>
      <c r="K1303" s="82"/>
      <c r="L1303" s="123"/>
      <c r="M1303" s="3"/>
      <c r="N1303" s="3"/>
      <c r="O1303" s="3"/>
      <c r="P1303" s="125"/>
      <c r="Q1303" s="125"/>
      <c r="R1303" s="127"/>
      <c r="S1303" s="123"/>
      <c r="T1303" s="3"/>
      <c r="W1303" s="86"/>
      <c r="Y1303" s="75"/>
    </row>
    <row r="1304" spans="1:25" x14ac:dyDescent="0.25">
      <c r="A1304" s="75"/>
      <c r="C1304" s="81"/>
      <c r="D1304" s="81"/>
      <c r="I1304" s="81"/>
      <c r="K1304" s="82"/>
      <c r="L1304" s="123"/>
      <c r="M1304" s="3"/>
      <c r="N1304" s="3"/>
      <c r="O1304" s="3"/>
      <c r="P1304" s="125"/>
      <c r="Q1304" s="125"/>
      <c r="R1304" s="127"/>
      <c r="S1304" s="123"/>
      <c r="T1304" s="3"/>
      <c r="W1304" s="86"/>
      <c r="Y1304" s="75"/>
    </row>
    <row r="1305" spans="1:25" x14ac:dyDescent="0.25">
      <c r="A1305" s="75"/>
      <c r="C1305" s="81"/>
      <c r="D1305" s="81"/>
      <c r="I1305" s="81"/>
      <c r="K1305" s="82"/>
      <c r="L1305" s="123"/>
      <c r="M1305" s="3"/>
      <c r="N1305" s="3"/>
      <c r="O1305" s="3"/>
      <c r="P1305" s="125"/>
      <c r="Q1305" s="125"/>
      <c r="R1305" s="127"/>
      <c r="S1305" s="123"/>
      <c r="T1305" s="3"/>
      <c r="W1305" s="86"/>
      <c r="Y1305" s="75"/>
    </row>
    <row r="1306" spans="1:25" x14ac:dyDescent="0.25">
      <c r="A1306" s="75"/>
      <c r="C1306" s="81"/>
      <c r="D1306" s="81"/>
      <c r="I1306" s="81"/>
      <c r="K1306" s="82"/>
      <c r="L1306" s="123"/>
      <c r="M1306" s="3"/>
      <c r="N1306" s="3"/>
      <c r="O1306" s="3"/>
      <c r="P1306" s="125"/>
      <c r="Q1306" s="125"/>
      <c r="R1306" s="127"/>
      <c r="S1306" s="123"/>
      <c r="T1306" s="3"/>
      <c r="W1306" s="86"/>
      <c r="Y1306" s="75"/>
    </row>
    <row r="1307" spans="1:25" x14ac:dyDescent="0.25">
      <c r="A1307" s="75"/>
      <c r="C1307" s="81"/>
      <c r="D1307" s="81"/>
      <c r="I1307" s="81"/>
      <c r="K1307" s="82"/>
      <c r="L1307" s="123"/>
      <c r="M1307" s="3"/>
      <c r="N1307" s="3"/>
      <c r="O1307" s="3"/>
      <c r="P1307" s="125"/>
      <c r="Q1307" s="125"/>
      <c r="R1307" s="127"/>
      <c r="S1307" s="123"/>
      <c r="T1307" s="3"/>
      <c r="W1307" s="86"/>
      <c r="Y1307" s="75"/>
    </row>
    <row r="1308" spans="1:25" x14ac:dyDescent="0.25">
      <c r="A1308" s="75"/>
      <c r="C1308" s="81"/>
      <c r="D1308" s="81"/>
      <c r="I1308" s="81"/>
      <c r="K1308" s="82"/>
      <c r="L1308" s="123"/>
      <c r="M1308" s="3"/>
      <c r="N1308" s="3"/>
      <c r="O1308" s="3"/>
      <c r="P1308" s="125"/>
      <c r="Q1308" s="125"/>
      <c r="R1308" s="127"/>
      <c r="S1308" s="123"/>
      <c r="T1308" s="3"/>
      <c r="W1308" s="86"/>
      <c r="Y1308" s="75"/>
    </row>
    <row r="1309" spans="1:25" x14ac:dyDescent="0.25">
      <c r="A1309" s="75"/>
      <c r="C1309" s="81"/>
      <c r="D1309" s="81"/>
      <c r="I1309" s="81"/>
      <c r="K1309" s="82"/>
      <c r="L1309" s="123"/>
      <c r="M1309" s="3"/>
      <c r="N1309" s="3"/>
      <c r="O1309" s="3"/>
      <c r="P1309" s="125"/>
      <c r="Q1309" s="125"/>
      <c r="R1309" s="127"/>
      <c r="S1309" s="123"/>
      <c r="T1309" s="3"/>
      <c r="W1309" s="86"/>
      <c r="Y1309" s="75"/>
    </row>
    <row r="1310" spans="1:25" x14ac:dyDescent="0.25">
      <c r="A1310" s="75"/>
      <c r="C1310" s="81"/>
      <c r="D1310" s="81"/>
      <c r="I1310" s="81"/>
      <c r="K1310" s="82"/>
      <c r="L1310" s="123"/>
      <c r="M1310" s="3"/>
      <c r="N1310" s="3"/>
      <c r="O1310" s="3"/>
      <c r="P1310" s="125"/>
      <c r="Q1310" s="125"/>
      <c r="R1310" s="127"/>
      <c r="S1310" s="123"/>
      <c r="T1310" s="3"/>
      <c r="W1310" s="86"/>
      <c r="Y1310" s="75"/>
    </row>
    <row r="1311" spans="1:25" x14ac:dyDescent="0.25">
      <c r="A1311" s="75"/>
      <c r="C1311" s="81"/>
      <c r="D1311" s="81"/>
      <c r="I1311" s="81"/>
      <c r="K1311" s="82"/>
      <c r="L1311" s="123"/>
      <c r="M1311" s="3"/>
      <c r="N1311" s="3"/>
      <c r="O1311" s="3"/>
      <c r="P1311" s="125"/>
      <c r="Q1311" s="125"/>
      <c r="R1311" s="127"/>
      <c r="S1311" s="123"/>
      <c r="T1311" s="3"/>
      <c r="W1311" s="86"/>
      <c r="Y1311" s="75"/>
    </row>
    <row r="1312" spans="1:25" x14ac:dyDescent="0.25">
      <c r="A1312" s="75"/>
      <c r="C1312" s="81"/>
      <c r="D1312" s="81"/>
      <c r="I1312" s="81"/>
      <c r="K1312" s="82"/>
      <c r="L1312" s="123"/>
      <c r="M1312" s="3"/>
      <c r="N1312" s="3"/>
      <c r="O1312" s="3"/>
      <c r="P1312" s="125"/>
      <c r="Q1312" s="125"/>
      <c r="R1312" s="127"/>
      <c r="S1312" s="123"/>
      <c r="T1312" s="3"/>
      <c r="W1312" s="86"/>
      <c r="Y1312" s="75"/>
    </row>
    <row r="1313" spans="1:25" x14ac:dyDescent="0.25">
      <c r="A1313" s="75"/>
      <c r="C1313" s="81"/>
      <c r="D1313" s="81"/>
      <c r="I1313" s="81"/>
      <c r="K1313" s="82"/>
      <c r="L1313" s="123"/>
      <c r="M1313" s="3"/>
      <c r="N1313" s="3"/>
      <c r="O1313" s="3"/>
      <c r="P1313" s="125"/>
      <c r="Q1313" s="125"/>
      <c r="R1313" s="127"/>
      <c r="S1313" s="123"/>
      <c r="T1313" s="3"/>
      <c r="W1313" s="86"/>
      <c r="Y1313" s="75"/>
    </row>
    <row r="1314" spans="1:25" x14ac:dyDescent="0.25">
      <c r="A1314" s="75"/>
      <c r="C1314" s="81"/>
      <c r="D1314" s="81"/>
      <c r="I1314" s="81"/>
      <c r="K1314" s="82"/>
      <c r="L1314" s="123"/>
      <c r="M1314" s="3"/>
      <c r="N1314" s="3"/>
      <c r="O1314" s="3"/>
      <c r="P1314" s="125"/>
      <c r="Q1314" s="125"/>
      <c r="R1314" s="127"/>
      <c r="S1314" s="123"/>
      <c r="T1314" s="3"/>
      <c r="W1314" s="86"/>
      <c r="Y1314" s="75"/>
    </row>
    <row r="1315" spans="1:25" x14ac:dyDescent="0.25">
      <c r="A1315" s="75"/>
      <c r="C1315" s="81"/>
      <c r="D1315" s="81"/>
      <c r="I1315" s="81"/>
      <c r="K1315" s="82"/>
      <c r="L1315" s="123"/>
      <c r="M1315" s="3"/>
      <c r="N1315" s="3"/>
      <c r="O1315" s="3"/>
      <c r="P1315" s="125"/>
      <c r="Q1315" s="125"/>
      <c r="R1315" s="127"/>
      <c r="S1315" s="123"/>
      <c r="T1315" s="3"/>
      <c r="W1315" s="86"/>
      <c r="Y1315" s="75"/>
    </row>
    <row r="1316" spans="1:25" x14ac:dyDescent="0.25">
      <c r="A1316" s="75"/>
      <c r="C1316" s="81"/>
      <c r="D1316" s="81"/>
      <c r="I1316" s="81"/>
      <c r="K1316" s="82"/>
      <c r="L1316" s="123"/>
      <c r="M1316" s="3"/>
      <c r="N1316" s="3"/>
      <c r="O1316" s="3"/>
      <c r="P1316" s="125"/>
      <c r="Q1316" s="125"/>
      <c r="R1316" s="127"/>
      <c r="S1316" s="123"/>
      <c r="T1316" s="3"/>
      <c r="W1316" s="86"/>
      <c r="Y1316" s="75"/>
    </row>
    <row r="1317" spans="1:25" x14ac:dyDescent="0.25">
      <c r="A1317" s="75"/>
      <c r="C1317" s="81"/>
      <c r="D1317" s="81"/>
      <c r="I1317" s="81"/>
      <c r="K1317" s="82"/>
      <c r="L1317" s="123"/>
      <c r="M1317" s="3"/>
      <c r="N1317" s="3"/>
      <c r="O1317" s="3"/>
      <c r="P1317" s="125"/>
      <c r="Q1317" s="125"/>
      <c r="R1317" s="127"/>
      <c r="S1317" s="123"/>
      <c r="T1317" s="3"/>
      <c r="W1317" s="86"/>
      <c r="Y1317" s="75"/>
    </row>
    <row r="1318" spans="1:25" x14ac:dyDescent="0.25">
      <c r="A1318" s="75"/>
      <c r="C1318" s="81"/>
      <c r="D1318" s="81"/>
      <c r="I1318" s="81"/>
      <c r="K1318" s="82"/>
      <c r="L1318" s="123"/>
      <c r="M1318" s="3"/>
      <c r="N1318" s="3"/>
      <c r="O1318" s="3"/>
      <c r="P1318" s="125"/>
      <c r="Q1318" s="125"/>
      <c r="R1318" s="127"/>
      <c r="S1318" s="123"/>
      <c r="T1318" s="3"/>
      <c r="W1318" s="86"/>
      <c r="Y1318" s="75"/>
    </row>
    <row r="1319" spans="1:25" x14ac:dyDescent="0.25">
      <c r="A1319" s="75"/>
      <c r="C1319" s="81"/>
      <c r="D1319" s="81"/>
      <c r="I1319" s="81"/>
      <c r="K1319" s="82"/>
      <c r="L1319" s="123"/>
      <c r="M1319" s="3"/>
      <c r="N1319" s="3"/>
      <c r="O1319" s="3"/>
      <c r="P1319" s="125"/>
      <c r="Q1319" s="125"/>
      <c r="R1319" s="127"/>
      <c r="S1319" s="123"/>
      <c r="T1319" s="3"/>
      <c r="W1319" s="86"/>
      <c r="Y1319" s="75"/>
    </row>
    <row r="1320" spans="1:25" x14ac:dyDescent="0.25">
      <c r="A1320" s="75"/>
      <c r="C1320" s="81"/>
      <c r="D1320" s="81"/>
      <c r="I1320" s="81"/>
      <c r="K1320" s="82"/>
      <c r="L1320" s="123"/>
      <c r="M1320" s="3"/>
      <c r="N1320" s="3"/>
      <c r="O1320" s="3"/>
      <c r="P1320" s="125"/>
      <c r="Q1320" s="125"/>
      <c r="R1320" s="127"/>
      <c r="S1320" s="123"/>
      <c r="T1320" s="3"/>
      <c r="W1320" s="86"/>
      <c r="Y1320" s="75"/>
    </row>
    <row r="1321" spans="1:25" x14ac:dyDescent="0.25">
      <c r="A1321" s="75"/>
      <c r="C1321" s="81"/>
      <c r="D1321" s="81"/>
      <c r="I1321" s="81"/>
      <c r="K1321" s="82"/>
      <c r="L1321" s="123"/>
      <c r="M1321" s="3"/>
      <c r="N1321" s="3"/>
      <c r="O1321" s="3"/>
      <c r="P1321" s="125"/>
      <c r="Q1321" s="125"/>
      <c r="R1321" s="127"/>
      <c r="S1321" s="123"/>
      <c r="T1321" s="3"/>
      <c r="W1321" s="86"/>
      <c r="Y1321" s="75"/>
    </row>
    <row r="1322" spans="1:25" x14ac:dyDescent="0.25">
      <c r="A1322" s="75"/>
      <c r="C1322" s="81"/>
      <c r="D1322" s="81"/>
      <c r="I1322" s="81"/>
      <c r="K1322" s="82"/>
      <c r="L1322" s="123"/>
      <c r="M1322" s="3"/>
      <c r="N1322" s="3"/>
      <c r="O1322" s="3"/>
      <c r="P1322" s="125"/>
      <c r="Q1322" s="125"/>
      <c r="R1322" s="127"/>
      <c r="S1322" s="123"/>
      <c r="T1322" s="3"/>
      <c r="W1322" s="86"/>
      <c r="Y1322" s="75"/>
    </row>
    <row r="1323" spans="1:25" x14ac:dyDescent="0.25">
      <c r="A1323" s="75"/>
      <c r="C1323" s="81"/>
      <c r="D1323" s="81"/>
      <c r="I1323" s="81"/>
      <c r="K1323" s="82"/>
      <c r="L1323" s="123"/>
      <c r="M1323" s="3"/>
      <c r="N1323" s="3"/>
      <c r="O1323" s="3"/>
      <c r="P1323" s="125"/>
      <c r="Q1323" s="125"/>
      <c r="R1323" s="127"/>
      <c r="S1323" s="123"/>
      <c r="T1323" s="3"/>
      <c r="W1323" s="86"/>
      <c r="Y1323" s="75"/>
    </row>
    <row r="1324" spans="1:25" x14ac:dyDescent="0.25">
      <c r="A1324" s="75"/>
      <c r="C1324" s="81"/>
      <c r="D1324" s="81"/>
      <c r="I1324" s="81"/>
      <c r="K1324" s="82"/>
      <c r="L1324" s="123"/>
      <c r="M1324" s="3"/>
      <c r="N1324" s="3"/>
      <c r="O1324" s="3"/>
      <c r="P1324" s="125"/>
      <c r="Q1324" s="125"/>
      <c r="R1324" s="127"/>
      <c r="S1324" s="123"/>
      <c r="T1324" s="3"/>
      <c r="W1324" s="86"/>
      <c r="Y1324" s="75"/>
    </row>
    <row r="1325" spans="1:25" x14ac:dyDescent="0.25">
      <c r="A1325" s="75"/>
      <c r="C1325" s="81"/>
      <c r="D1325" s="81"/>
      <c r="I1325" s="81"/>
      <c r="K1325" s="82"/>
      <c r="L1325" s="123"/>
      <c r="M1325" s="3"/>
      <c r="N1325" s="3"/>
      <c r="O1325" s="3"/>
      <c r="P1325" s="125"/>
      <c r="Q1325" s="125"/>
      <c r="R1325" s="127"/>
      <c r="S1325" s="123"/>
      <c r="T1325" s="3"/>
      <c r="W1325" s="86"/>
      <c r="Y1325" s="75"/>
    </row>
    <row r="1326" spans="1:25" x14ac:dyDescent="0.25">
      <c r="A1326" s="75"/>
      <c r="C1326" s="81"/>
      <c r="D1326" s="81"/>
      <c r="I1326" s="81"/>
      <c r="K1326" s="82"/>
      <c r="L1326" s="123"/>
      <c r="M1326" s="3"/>
      <c r="N1326" s="3"/>
      <c r="O1326" s="3"/>
      <c r="P1326" s="125"/>
      <c r="Q1326" s="125"/>
      <c r="R1326" s="127"/>
      <c r="S1326" s="123"/>
      <c r="T1326" s="3"/>
      <c r="W1326" s="86"/>
      <c r="Y1326" s="75"/>
    </row>
    <row r="1327" spans="1:25" x14ac:dyDescent="0.25">
      <c r="A1327" s="75"/>
      <c r="C1327" s="81"/>
      <c r="D1327" s="81"/>
      <c r="I1327" s="81"/>
      <c r="K1327" s="82"/>
      <c r="L1327" s="123"/>
      <c r="M1327" s="3"/>
      <c r="N1327" s="3"/>
      <c r="O1327" s="3"/>
      <c r="P1327" s="125"/>
      <c r="Q1327" s="125"/>
      <c r="R1327" s="127"/>
      <c r="S1327" s="123"/>
      <c r="T1327" s="3"/>
      <c r="W1327" s="86"/>
      <c r="Y1327" s="75"/>
    </row>
    <row r="1328" spans="1:25" x14ac:dyDescent="0.25">
      <c r="A1328" s="75"/>
      <c r="C1328" s="81"/>
      <c r="D1328" s="81"/>
      <c r="I1328" s="81"/>
      <c r="K1328" s="82"/>
      <c r="L1328" s="123"/>
      <c r="M1328" s="3"/>
      <c r="N1328" s="3"/>
      <c r="O1328" s="3"/>
      <c r="P1328" s="125"/>
      <c r="Q1328" s="125"/>
      <c r="R1328" s="127"/>
      <c r="S1328" s="123"/>
      <c r="T1328" s="3"/>
      <c r="W1328" s="86"/>
      <c r="Y1328" s="75"/>
    </row>
    <row r="1329" spans="1:25" x14ac:dyDescent="0.25">
      <c r="A1329" s="75"/>
      <c r="C1329" s="81"/>
      <c r="D1329" s="81"/>
      <c r="I1329" s="81"/>
      <c r="K1329" s="82"/>
      <c r="L1329" s="123"/>
      <c r="M1329" s="3"/>
      <c r="N1329" s="3"/>
      <c r="O1329" s="3"/>
      <c r="P1329" s="125"/>
      <c r="Q1329" s="125"/>
      <c r="R1329" s="127"/>
      <c r="S1329" s="123"/>
      <c r="T1329" s="3"/>
      <c r="W1329" s="86"/>
      <c r="Y1329" s="75"/>
    </row>
    <row r="1330" spans="1:25" x14ac:dyDescent="0.25">
      <c r="A1330" s="75"/>
      <c r="C1330" s="81"/>
      <c r="D1330" s="81"/>
      <c r="I1330" s="81"/>
      <c r="K1330" s="82"/>
      <c r="L1330" s="123"/>
      <c r="M1330" s="3"/>
      <c r="N1330" s="3"/>
      <c r="O1330" s="3"/>
      <c r="P1330" s="125"/>
      <c r="Q1330" s="125"/>
      <c r="R1330" s="127"/>
      <c r="S1330" s="123"/>
      <c r="T1330" s="3"/>
      <c r="W1330" s="86"/>
      <c r="Y1330" s="75"/>
    </row>
    <row r="1331" spans="1:25" x14ac:dyDescent="0.25">
      <c r="A1331" s="75"/>
      <c r="C1331" s="81"/>
      <c r="D1331" s="81"/>
      <c r="I1331" s="81"/>
      <c r="K1331" s="82"/>
      <c r="L1331" s="123"/>
      <c r="M1331" s="3"/>
      <c r="N1331" s="3"/>
      <c r="O1331" s="3"/>
      <c r="P1331" s="125"/>
      <c r="Q1331" s="125"/>
      <c r="R1331" s="127"/>
      <c r="S1331" s="123"/>
      <c r="T1331" s="3"/>
      <c r="W1331" s="86"/>
      <c r="Y1331" s="75"/>
    </row>
    <row r="1332" spans="1:25" x14ac:dyDescent="0.25">
      <c r="A1332" s="75"/>
      <c r="C1332" s="81"/>
      <c r="D1332" s="81"/>
      <c r="I1332" s="81"/>
      <c r="K1332" s="82"/>
      <c r="L1332" s="123"/>
      <c r="M1332" s="3"/>
      <c r="N1332" s="3"/>
      <c r="O1332" s="3"/>
      <c r="P1332" s="125"/>
      <c r="Q1332" s="125"/>
      <c r="R1332" s="127"/>
      <c r="S1332" s="123"/>
      <c r="T1332" s="3"/>
      <c r="W1332" s="86"/>
      <c r="Y1332" s="75"/>
    </row>
    <row r="1333" spans="1:25" x14ac:dyDescent="0.25">
      <c r="A1333" s="75"/>
      <c r="C1333" s="81"/>
      <c r="D1333" s="81"/>
      <c r="I1333" s="81"/>
      <c r="K1333" s="82"/>
      <c r="L1333" s="123"/>
      <c r="M1333" s="3"/>
      <c r="N1333" s="3"/>
      <c r="O1333" s="3"/>
      <c r="P1333" s="125"/>
      <c r="Q1333" s="125"/>
      <c r="R1333" s="127"/>
      <c r="S1333" s="123"/>
      <c r="T1333" s="3"/>
      <c r="W1333" s="86"/>
      <c r="Y1333" s="75"/>
    </row>
    <row r="1334" spans="1:25" x14ac:dyDescent="0.25">
      <c r="A1334" s="75"/>
      <c r="C1334" s="81"/>
      <c r="D1334" s="81"/>
      <c r="I1334" s="81"/>
      <c r="K1334" s="82"/>
      <c r="L1334" s="123"/>
      <c r="M1334" s="3"/>
      <c r="N1334" s="3"/>
      <c r="O1334" s="3"/>
      <c r="P1334" s="125"/>
      <c r="Q1334" s="125"/>
      <c r="R1334" s="127"/>
      <c r="S1334" s="123"/>
      <c r="T1334" s="3"/>
      <c r="W1334" s="86"/>
      <c r="Y1334" s="75"/>
    </row>
    <row r="1335" spans="1:25" x14ac:dyDescent="0.25">
      <c r="A1335" s="75"/>
      <c r="C1335" s="81"/>
      <c r="D1335" s="81"/>
      <c r="I1335" s="81"/>
      <c r="K1335" s="82"/>
      <c r="L1335" s="123"/>
      <c r="M1335" s="3"/>
      <c r="N1335" s="3"/>
      <c r="O1335" s="3"/>
      <c r="P1335" s="125"/>
      <c r="Q1335" s="125"/>
      <c r="R1335" s="127"/>
      <c r="S1335" s="123"/>
      <c r="T1335" s="3"/>
      <c r="W1335" s="86"/>
      <c r="Y1335" s="75"/>
    </row>
    <row r="1336" spans="1:25" x14ac:dyDescent="0.25">
      <c r="A1336" s="75"/>
      <c r="C1336" s="81"/>
      <c r="D1336" s="81"/>
      <c r="I1336" s="81"/>
      <c r="K1336" s="82"/>
      <c r="L1336" s="123"/>
      <c r="M1336" s="3"/>
      <c r="N1336" s="3"/>
      <c r="O1336" s="3"/>
      <c r="P1336" s="125"/>
      <c r="Q1336" s="125"/>
      <c r="R1336" s="127"/>
      <c r="S1336" s="123"/>
      <c r="T1336" s="3"/>
      <c r="W1336" s="86"/>
      <c r="Y1336" s="75"/>
    </row>
    <row r="1337" spans="1:25" x14ac:dyDescent="0.25">
      <c r="A1337" s="75"/>
      <c r="C1337" s="81"/>
      <c r="D1337" s="81"/>
      <c r="I1337" s="81"/>
      <c r="K1337" s="82"/>
      <c r="L1337" s="123"/>
      <c r="M1337" s="3"/>
      <c r="N1337" s="3"/>
      <c r="O1337" s="3"/>
      <c r="P1337" s="125"/>
      <c r="Q1337" s="125"/>
      <c r="R1337" s="127"/>
      <c r="S1337" s="123"/>
      <c r="T1337" s="3"/>
      <c r="W1337" s="86"/>
      <c r="Y1337" s="75"/>
    </row>
    <row r="1338" spans="1:25" x14ac:dyDescent="0.25">
      <c r="A1338" s="75"/>
      <c r="C1338" s="81"/>
      <c r="D1338" s="81"/>
      <c r="I1338" s="81"/>
      <c r="K1338" s="82"/>
      <c r="L1338" s="123"/>
      <c r="M1338" s="3"/>
      <c r="N1338" s="3"/>
      <c r="O1338" s="3"/>
      <c r="P1338" s="125"/>
      <c r="Q1338" s="125"/>
      <c r="R1338" s="127"/>
      <c r="S1338" s="123"/>
      <c r="T1338" s="3"/>
      <c r="W1338" s="86"/>
      <c r="Y1338" s="75"/>
    </row>
    <row r="1339" spans="1:25" x14ac:dyDescent="0.25">
      <c r="A1339" s="75"/>
      <c r="C1339" s="81"/>
      <c r="D1339" s="81"/>
      <c r="I1339" s="81"/>
      <c r="K1339" s="82"/>
      <c r="L1339" s="123"/>
      <c r="M1339" s="3"/>
      <c r="N1339" s="3"/>
      <c r="O1339" s="3"/>
      <c r="P1339" s="125"/>
      <c r="Q1339" s="125"/>
      <c r="R1339" s="127"/>
      <c r="S1339" s="123"/>
      <c r="T1339" s="3"/>
      <c r="W1339" s="86"/>
      <c r="Y1339" s="75"/>
    </row>
    <row r="1340" spans="1:25" x14ac:dyDescent="0.25">
      <c r="A1340" s="75"/>
      <c r="C1340" s="81"/>
      <c r="D1340" s="81"/>
      <c r="I1340" s="81"/>
      <c r="K1340" s="82"/>
      <c r="L1340" s="123"/>
      <c r="M1340" s="3"/>
      <c r="N1340" s="3"/>
      <c r="O1340" s="3"/>
      <c r="P1340" s="125"/>
      <c r="Q1340" s="125"/>
      <c r="R1340" s="127"/>
      <c r="S1340" s="123"/>
      <c r="T1340" s="3"/>
      <c r="W1340" s="86"/>
      <c r="Y1340" s="75"/>
    </row>
    <row r="1341" spans="1:25" x14ac:dyDescent="0.25">
      <c r="A1341" s="75"/>
      <c r="C1341" s="81"/>
      <c r="D1341" s="81"/>
      <c r="I1341" s="81"/>
      <c r="K1341" s="82"/>
      <c r="L1341" s="123"/>
      <c r="M1341" s="3"/>
      <c r="N1341" s="3"/>
      <c r="O1341" s="3"/>
      <c r="P1341" s="125"/>
      <c r="Q1341" s="125"/>
      <c r="R1341" s="127"/>
      <c r="S1341" s="123"/>
      <c r="T1341" s="3"/>
      <c r="W1341" s="86"/>
      <c r="Y1341" s="75"/>
    </row>
    <row r="1342" spans="1:25" x14ac:dyDescent="0.25">
      <c r="A1342" s="75"/>
      <c r="C1342" s="81"/>
      <c r="D1342" s="81"/>
      <c r="I1342" s="81"/>
      <c r="K1342" s="82"/>
      <c r="L1342" s="123"/>
      <c r="M1342" s="3"/>
      <c r="N1342" s="3"/>
      <c r="O1342" s="3"/>
      <c r="P1342" s="125"/>
      <c r="Q1342" s="125"/>
      <c r="R1342" s="127"/>
      <c r="S1342" s="123"/>
      <c r="T1342" s="3"/>
      <c r="W1342" s="86"/>
      <c r="Y1342" s="75"/>
    </row>
    <row r="1343" spans="1:25" x14ac:dyDescent="0.25">
      <c r="A1343" s="75"/>
      <c r="C1343" s="81"/>
      <c r="D1343" s="81"/>
      <c r="I1343" s="81"/>
      <c r="K1343" s="82"/>
      <c r="L1343" s="123"/>
      <c r="M1343" s="3"/>
      <c r="N1343" s="3"/>
      <c r="O1343" s="3"/>
      <c r="P1343" s="125"/>
      <c r="Q1343" s="125"/>
      <c r="R1343" s="127"/>
      <c r="S1343" s="123"/>
      <c r="T1343" s="3"/>
      <c r="W1343" s="86"/>
      <c r="Y1343" s="75"/>
    </row>
    <row r="1344" spans="1:25" x14ac:dyDescent="0.25">
      <c r="A1344" s="75"/>
      <c r="C1344" s="81"/>
      <c r="D1344" s="81"/>
      <c r="I1344" s="81"/>
      <c r="K1344" s="82"/>
      <c r="L1344" s="123"/>
      <c r="M1344" s="3"/>
      <c r="N1344" s="3"/>
      <c r="O1344" s="3"/>
      <c r="P1344" s="125"/>
      <c r="Q1344" s="125"/>
      <c r="R1344" s="127"/>
      <c r="S1344" s="123"/>
      <c r="T1344" s="3"/>
      <c r="W1344" s="86"/>
      <c r="Y1344" s="75"/>
    </row>
    <row r="1345" spans="1:25" x14ac:dyDescent="0.25">
      <c r="A1345" s="75"/>
      <c r="C1345" s="81"/>
      <c r="D1345" s="81"/>
      <c r="I1345" s="81"/>
      <c r="K1345" s="82"/>
      <c r="L1345" s="123"/>
      <c r="M1345" s="3"/>
      <c r="N1345" s="3"/>
      <c r="O1345" s="3"/>
      <c r="P1345" s="125"/>
      <c r="Q1345" s="125"/>
      <c r="R1345" s="127"/>
      <c r="S1345" s="123"/>
      <c r="T1345" s="3"/>
      <c r="W1345" s="86"/>
      <c r="Y1345" s="75"/>
    </row>
    <row r="1346" spans="1:25" x14ac:dyDescent="0.25">
      <c r="A1346" s="75"/>
      <c r="C1346" s="81"/>
      <c r="D1346" s="81"/>
      <c r="I1346" s="81"/>
      <c r="K1346" s="82"/>
      <c r="L1346" s="123"/>
      <c r="M1346" s="3"/>
      <c r="N1346" s="3"/>
      <c r="O1346" s="3"/>
      <c r="P1346" s="125"/>
      <c r="Q1346" s="125"/>
      <c r="R1346" s="127"/>
      <c r="S1346" s="123"/>
      <c r="T1346" s="3"/>
      <c r="W1346" s="86"/>
      <c r="Y1346" s="75"/>
    </row>
    <row r="1347" spans="1:25" x14ac:dyDescent="0.25">
      <c r="A1347" s="75"/>
      <c r="C1347" s="81"/>
      <c r="D1347" s="81"/>
      <c r="I1347" s="81"/>
      <c r="K1347" s="82"/>
      <c r="L1347" s="123"/>
      <c r="M1347" s="3"/>
      <c r="N1347" s="3"/>
      <c r="O1347" s="3"/>
      <c r="P1347" s="125"/>
      <c r="Q1347" s="125"/>
      <c r="R1347" s="127"/>
      <c r="S1347" s="123"/>
      <c r="T1347" s="3"/>
      <c r="W1347" s="86"/>
      <c r="Y1347" s="75"/>
    </row>
    <row r="1348" spans="1:25" x14ac:dyDescent="0.25">
      <c r="A1348" s="75"/>
      <c r="C1348" s="81"/>
      <c r="D1348" s="81"/>
      <c r="I1348" s="81"/>
      <c r="K1348" s="82"/>
      <c r="L1348" s="123"/>
      <c r="M1348" s="3"/>
      <c r="N1348" s="3"/>
      <c r="O1348" s="3"/>
      <c r="P1348" s="125"/>
      <c r="Q1348" s="125"/>
      <c r="R1348" s="127"/>
      <c r="S1348" s="123"/>
      <c r="T1348" s="3"/>
      <c r="W1348" s="86"/>
      <c r="Y1348" s="75"/>
    </row>
    <row r="1349" spans="1:25" x14ac:dyDescent="0.25">
      <c r="A1349" s="75"/>
      <c r="C1349" s="81"/>
      <c r="D1349" s="81"/>
      <c r="I1349" s="81"/>
      <c r="K1349" s="82"/>
      <c r="L1349" s="123"/>
      <c r="M1349" s="3"/>
      <c r="N1349" s="3"/>
      <c r="O1349" s="3"/>
      <c r="P1349" s="125"/>
      <c r="Q1349" s="125"/>
      <c r="R1349" s="127"/>
      <c r="S1349" s="123"/>
      <c r="T1349" s="3"/>
      <c r="W1349" s="86"/>
      <c r="Y1349" s="75"/>
    </row>
    <row r="1350" spans="1:25" x14ac:dyDescent="0.25">
      <c r="A1350" s="75"/>
      <c r="C1350" s="81"/>
      <c r="D1350" s="81"/>
      <c r="I1350" s="81"/>
      <c r="K1350" s="82"/>
      <c r="L1350" s="123"/>
      <c r="M1350" s="3"/>
      <c r="N1350" s="3"/>
      <c r="O1350" s="3"/>
      <c r="P1350" s="125"/>
      <c r="Q1350" s="125"/>
      <c r="R1350" s="127"/>
      <c r="S1350" s="123"/>
      <c r="T1350" s="3"/>
      <c r="W1350" s="86"/>
      <c r="Y1350" s="75"/>
    </row>
    <row r="1351" spans="1:25" x14ac:dyDescent="0.25">
      <c r="A1351" s="75"/>
      <c r="C1351" s="81"/>
      <c r="D1351" s="81"/>
      <c r="I1351" s="81"/>
      <c r="K1351" s="82"/>
      <c r="L1351" s="123"/>
      <c r="M1351" s="3"/>
      <c r="N1351" s="3"/>
      <c r="O1351" s="3"/>
      <c r="P1351" s="125"/>
      <c r="Q1351" s="125"/>
      <c r="R1351" s="127"/>
      <c r="S1351" s="123"/>
      <c r="T1351" s="3"/>
      <c r="W1351" s="86"/>
      <c r="Y1351" s="75"/>
    </row>
    <row r="1352" spans="1:25" x14ac:dyDescent="0.25">
      <c r="A1352" s="75"/>
      <c r="C1352" s="81"/>
      <c r="D1352" s="81"/>
      <c r="I1352" s="81"/>
      <c r="K1352" s="82"/>
      <c r="L1352" s="123"/>
      <c r="M1352" s="3"/>
      <c r="N1352" s="3"/>
      <c r="O1352" s="3"/>
      <c r="P1352" s="125"/>
      <c r="Q1352" s="125"/>
      <c r="R1352" s="127"/>
      <c r="S1352" s="123"/>
      <c r="T1352" s="3"/>
      <c r="W1352" s="86"/>
      <c r="Y1352" s="75"/>
    </row>
    <row r="1353" spans="1:25" x14ac:dyDescent="0.25">
      <c r="A1353" s="75"/>
      <c r="C1353" s="81"/>
      <c r="D1353" s="81"/>
      <c r="I1353" s="81"/>
      <c r="K1353" s="82"/>
      <c r="L1353" s="123"/>
      <c r="M1353" s="3"/>
      <c r="N1353" s="3"/>
      <c r="O1353" s="3"/>
      <c r="P1353" s="125"/>
      <c r="Q1353" s="125"/>
      <c r="R1353" s="127"/>
      <c r="S1353" s="123"/>
      <c r="T1353" s="3"/>
      <c r="W1353" s="86"/>
      <c r="Y1353" s="75"/>
    </row>
    <row r="1354" spans="1:25" x14ac:dyDescent="0.25">
      <c r="A1354" s="75"/>
      <c r="C1354" s="81"/>
      <c r="D1354" s="81"/>
      <c r="I1354" s="81"/>
      <c r="K1354" s="82"/>
      <c r="L1354" s="123"/>
      <c r="M1354" s="3"/>
      <c r="N1354" s="3"/>
      <c r="O1354" s="3"/>
      <c r="P1354" s="125"/>
      <c r="Q1354" s="125"/>
      <c r="R1354" s="127"/>
      <c r="S1354" s="123"/>
      <c r="T1354" s="3"/>
      <c r="W1354" s="86"/>
      <c r="Y1354" s="75"/>
    </row>
    <row r="1355" spans="1:25" x14ac:dyDescent="0.25">
      <c r="A1355" s="75"/>
      <c r="C1355" s="81"/>
      <c r="D1355" s="81"/>
      <c r="I1355" s="81"/>
      <c r="K1355" s="82"/>
      <c r="L1355" s="123"/>
      <c r="M1355" s="3"/>
      <c r="N1355" s="3"/>
      <c r="O1355" s="3"/>
      <c r="P1355" s="125"/>
      <c r="Q1355" s="125"/>
      <c r="R1355" s="127"/>
      <c r="S1355" s="123"/>
      <c r="T1355" s="3"/>
      <c r="W1355" s="86"/>
      <c r="Y1355" s="75"/>
    </row>
    <row r="1356" spans="1:25" x14ac:dyDescent="0.25">
      <c r="A1356" s="75"/>
      <c r="C1356" s="81"/>
      <c r="D1356" s="81"/>
      <c r="I1356" s="81"/>
      <c r="K1356" s="82"/>
      <c r="L1356" s="123"/>
      <c r="M1356" s="3"/>
      <c r="N1356" s="3"/>
      <c r="O1356" s="3"/>
      <c r="P1356" s="125"/>
      <c r="Q1356" s="125"/>
      <c r="R1356" s="127"/>
      <c r="S1356" s="123"/>
      <c r="T1356" s="3"/>
      <c r="W1356" s="86"/>
      <c r="Y1356" s="75"/>
    </row>
    <row r="1357" spans="1:25" x14ac:dyDescent="0.25">
      <c r="A1357" s="75"/>
      <c r="C1357" s="81"/>
      <c r="D1357" s="81"/>
      <c r="I1357" s="81"/>
      <c r="K1357" s="82"/>
      <c r="L1357" s="123"/>
      <c r="M1357" s="3"/>
      <c r="N1357" s="3"/>
      <c r="O1357" s="3"/>
      <c r="P1357" s="125"/>
      <c r="Q1357" s="125"/>
      <c r="R1357" s="127"/>
      <c r="S1357" s="123"/>
      <c r="T1357" s="3"/>
      <c r="W1357" s="86"/>
      <c r="Y1357" s="75"/>
    </row>
    <row r="1358" spans="1:25" x14ac:dyDescent="0.25">
      <c r="A1358" s="75"/>
      <c r="C1358" s="81"/>
      <c r="D1358" s="81"/>
      <c r="I1358" s="81"/>
      <c r="K1358" s="82"/>
      <c r="L1358" s="123"/>
      <c r="M1358" s="3"/>
      <c r="N1358" s="3"/>
      <c r="O1358" s="3"/>
      <c r="P1358" s="125"/>
      <c r="Q1358" s="125"/>
      <c r="R1358" s="127"/>
      <c r="S1358" s="123"/>
      <c r="T1358" s="3"/>
      <c r="W1358" s="86"/>
      <c r="Y1358" s="75"/>
    </row>
    <row r="1359" spans="1:25" x14ac:dyDescent="0.25">
      <c r="A1359" s="75"/>
      <c r="C1359" s="81"/>
      <c r="D1359" s="81"/>
      <c r="I1359" s="81"/>
      <c r="K1359" s="82"/>
      <c r="L1359" s="123"/>
      <c r="M1359" s="3"/>
      <c r="N1359" s="3"/>
      <c r="O1359" s="3"/>
      <c r="P1359" s="125"/>
      <c r="Q1359" s="125"/>
      <c r="R1359" s="127"/>
      <c r="S1359" s="123"/>
      <c r="T1359" s="3"/>
      <c r="W1359" s="86"/>
      <c r="Y1359" s="75"/>
    </row>
    <row r="1360" spans="1:25" x14ac:dyDescent="0.25">
      <c r="A1360" s="75"/>
      <c r="C1360" s="81"/>
      <c r="D1360" s="81"/>
      <c r="I1360" s="81"/>
      <c r="K1360" s="82"/>
      <c r="L1360" s="123"/>
      <c r="M1360" s="3"/>
      <c r="N1360" s="3"/>
      <c r="O1360" s="3"/>
      <c r="P1360" s="125"/>
      <c r="Q1360" s="125"/>
      <c r="R1360" s="127"/>
      <c r="S1360" s="123"/>
      <c r="T1360" s="3"/>
      <c r="W1360" s="86"/>
      <c r="Y1360" s="75"/>
    </row>
    <row r="1361" spans="1:25" x14ac:dyDescent="0.25">
      <c r="A1361" s="75"/>
      <c r="C1361" s="81"/>
      <c r="D1361" s="81"/>
      <c r="I1361" s="81"/>
      <c r="K1361" s="82"/>
      <c r="L1361" s="123"/>
      <c r="M1361" s="3"/>
      <c r="N1361" s="3"/>
      <c r="O1361" s="3"/>
      <c r="P1361" s="125"/>
      <c r="Q1361" s="125"/>
      <c r="R1361" s="127"/>
      <c r="S1361" s="123"/>
      <c r="T1361" s="3"/>
      <c r="W1361" s="86"/>
      <c r="Y1361" s="75"/>
    </row>
    <row r="1362" spans="1:25" x14ac:dyDescent="0.25">
      <c r="A1362" s="75"/>
      <c r="C1362" s="81"/>
      <c r="D1362" s="81"/>
      <c r="I1362" s="81"/>
      <c r="K1362" s="82"/>
      <c r="L1362" s="123"/>
      <c r="M1362" s="3"/>
      <c r="N1362" s="3"/>
      <c r="O1362" s="3"/>
      <c r="P1362" s="125"/>
      <c r="Q1362" s="125"/>
      <c r="R1362" s="127"/>
      <c r="S1362" s="123"/>
      <c r="T1362" s="3"/>
      <c r="W1362" s="86"/>
      <c r="Y1362" s="75"/>
    </row>
    <row r="1363" spans="1:25" x14ac:dyDescent="0.25">
      <c r="A1363" s="75"/>
      <c r="C1363" s="81"/>
      <c r="D1363" s="81"/>
      <c r="I1363" s="81"/>
      <c r="K1363" s="82"/>
      <c r="L1363" s="123"/>
      <c r="M1363" s="3"/>
      <c r="N1363" s="3"/>
      <c r="O1363" s="3"/>
      <c r="P1363" s="125"/>
      <c r="Q1363" s="125"/>
      <c r="R1363" s="127"/>
      <c r="S1363" s="123"/>
      <c r="T1363" s="3"/>
      <c r="W1363" s="86"/>
      <c r="Y1363" s="75"/>
    </row>
    <row r="1364" spans="1:25" x14ac:dyDescent="0.25">
      <c r="A1364" s="75"/>
      <c r="C1364" s="81"/>
      <c r="D1364" s="81"/>
      <c r="I1364" s="81"/>
      <c r="K1364" s="82"/>
      <c r="L1364" s="123"/>
      <c r="M1364" s="3"/>
      <c r="N1364" s="3"/>
      <c r="O1364" s="3"/>
      <c r="P1364" s="125"/>
      <c r="Q1364" s="125"/>
      <c r="R1364" s="127"/>
      <c r="S1364" s="123"/>
      <c r="T1364" s="3"/>
      <c r="W1364" s="86"/>
      <c r="Y1364" s="75"/>
    </row>
    <row r="1365" spans="1:25" x14ac:dyDescent="0.25">
      <c r="A1365" s="75"/>
      <c r="C1365" s="81"/>
      <c r="D1365" s="81"/>
      <c r="I1365" s="81"/>
      <c r="K1365" s="82"/>
      <c r="L1365" s="123"/>
      <c r="M1365" s="3"/>
      <c r="N1365" s="3"/>
      <c r="O1365" s="3"/>
      <c r="P1365" s="125"/>
      <c r="Q1365" s="125"/>
      <c r="R1365" s="127"/>
      <c r="S1365" s="123"/>
      <c r="T1365" s="3"/>
      <c r="W1365" s="86"/>
      <c r="Y1365" s="75"/>
    </row>
    <row r="1366" spans="1:25" x14ac:dyDescent="0.25">
      <c r="A1366" s="75"/>
      <c r="C1366" s="81"/>
      <c r="D1366" s="81"/>
      <c r="I1366" s="81"/>
      <c r="K1366" s="82"/>
      <c r="L1366" s="123"/>
      <c r="M1366" s="3"/>
      <c r="N1366" s="3"/>
      <c r="O1366" s="3"/>
      <c r="P1366" s="125"/>
      <c r="Q1366" s="125"/>
      <c r="R1366" s="127"/>
      <c r="S1366" s="123"/>
      <c r="T1366" s="3"/>
      <c r="W1366" s="86"/>
      <c r="Y1366" s="75"/>
    </row>
    <row r="1367" spans="1:25" x14ac:dyDescent="0.25">
      <c r="A1367" s="75"/>
      <c r="C1367" s="81"/>
      <c r="D1367" s="81"/>
      <c r="I1367" s="81"/>
      <c r="K1367" s="82"/>
      <c r="L1367" s="123"/>
      <c r="M1367" s="3"/>
      <c r="N1367" s="3"/>
      <c r="O1367" s="3"/>
      <c r="P1367" s="125"/>
      <c r="Q1367" s="125"/>
      <c r="R1367" s="127"/>
      <c r="S1367" s="123"/>
      <c r="T1367" s="3"/>
      <c r="W1367" s="86"/>
      <c r="Y1367" s="75"/>
    </row>
    <row r="1368" spans="1:25" x14ac:dyDescent="0.25">
      <c r="A1368" s="75"/>
      <c r="C1368" s="81"/>
      <c r="D1368" s="81"/>
      <c r="I1368" s="81"/>
      <c r="K1368" s="82"/>
      <c r="L1368" s="123"/>
      <c r="M1368" s="3"/>
      <c r="N1368" s="3"/>
      <c r="O1368" s="3"/>
      <c r="P1368" s="125"/>
      <c r="Q1368" s="125"/>
      <c r="R1368" s="127"/>
      <c r="S1368" s="123"/>
      <c r="T1368" s="3"/>
      <c r="W1368" s="86"/>
      <c r="Y1368" s="75"/>
    </row>
    <row r="1369" spans="1:25" x14ac:dyDescent="0.25">
      <c r="A1369" s="75"/>
      <c r="C1369" s="81"/>
      <c r="D1369" s="81"/>
      <c r="I1369" s="81"/>
      <c r="K1369" s="82"/>
      <c r="L1369" s="123"/>
      <c r="M1369" s="3"/>
      <c r="N1369" s="3"/>
      <c r="O1369" s="3"/>
      <c r="P1369" s="125"/>
      <c r="Q1369" s="125"/>
      <c r="R1369" s="127"/>
      <c r="S1369" s="123"/>
      <c r="T1369" s="3"/>
      <c r="W1369" s="86"/>
      <c r="Y1369" s="75"/>
    </row>
    <row r="1370" spans="1:25" x14ac:dyDescent="0.25">
      <c r="A1370" s="75"/>
      <c r="C1370" s="81"/>
      <c r="D1370" s="81"/>
      <c r="I1370" s="81"/>
      <c r="K1370" s="82"/>
      <c r="L1370" s="123"/>
      <c r="M1370" s="3"/>
      <c r="N1370" s="3"/>
      <c r="O1370" s="3"/>
      <c r="P1370" s="125"/>
      <c r="Q1370" s="125"/>
      <c r="R1370" s="127"/>
      <c r="S1370" s="123"/>
      <c r="T1370" s="3"/>
      <c r="W1370" s="86"/>
      <c r="Y1370" s="75"/>
    </row>
    <row r="1371" spans="1:25" x14ac:dyDescent="0.25">
      <c r="A1371" s="75"/>
      <c r="C1371" s="81"/>
      <c r="D1371" s="81"/>
      <c r="I1371" s="81"/>
      <c r="K1371" s="82"/>
      <c r="L1371" s="123"/>
      <c r="M1371" s="3"/>
      <c r="N1371" s="3"/>
      <c r="O1371" s="3"/>
      <c r="P1371" s="125"/>
      <c r="Q1371" s="125"/>
      <c r="R1371" s="127"/>
      <c r="S1371" s="123"/>
      <c r="T1371" s="3"/>
      <c r="W1371" s="86"/>
      <c r="Y1371" s="75"/>
    </row>
    <row r="1372" spans="1:25" x14ac:dyDescent="0.25">
      <c r="A1372" s="75"/>
      <c r="C1372" s="81"/>
      <c r="D1372" s="81"/>
      <c r="I1372" s="81"/>
      <c r="K1372" s="82"/>
      <c r="L1372" s="123"/>
      <c r="M1372" s="3"/>
      <c r="N1372" s="3"/>
      <c r="O1372" s="3"/>
      <c r="P1372" s="125"/>
      <c r="Q1372" s="125"/>
      <c r="R1372" s="127"/>
      <c r="S1372" s="123"/>
      <c r="T1372" s="3"/>
      <c r="W1372" s="86"/>
      <c r="Y1372" s="75"/>
    </row>
    <row r="1373" spans="1:25" x14ac:dyDescent="0.25">
      <c r="A1373" s="75"/>
      <c r="C1373" s="81"/>
      <c r="D1373" s="81"/>
      <c r="I1373" s="81"/>
      <c r="K1373" s="82"/>
      <c r="L1373" s="123"/>
      <c r="M1373" s="3"/>
      <c r="N1373" s="3"/>
      <c r="O1373" s="3"/>
      <c r="P1373" s="125"/>
      <c r="Q1373" s="125"/>
      <c r="R1373" s="127"/>
      <c r="S1373" s="123"/>
      <c r="T1373" s="3"/>
      <c r="W1373" s="86"/>
      <c r="Y1373" s="75"/>
    </row>
    <row r="1374" spans="1:25" x14ac:dyDescent="0.25">
      <c r="A1374" s="75"/>
      <c r="C1374" s="81"/>
      <c r="D1374" s="81"/>
      <c r="I1374" s="81"/>
      <c r="K1374" s="82"/>
      <c r="L1374" s="123"/>
      <c r="M1374" s="3"/>
      <c r="N1374" s="3"/>
      <c r="O1374" s="3"/>
      <c r="P1374" s="125"/>
      <c r="Q1374" s="125"/>
      <c r="R1374" s="127"/>
      <c r="S1374" s="123"/>
      <c r="T1374" s="3"/>
      <c r="W1374" s="86"/>
      <c r="Y1374" s="75"/>
    </row>
    <row r="1375" spans="1:25" x14ac:dyDescent="0.25">
      <c r="A1375" s="75"/>
      <c r="C1375" s="81"/>
      <c r="D1375" s="81"/>
      <c r="I1375" s="81"/>
      <c r="K1375" s="82"/>
      <c r="L1375" s="123"/>
      <c r="M1375" s="3"/>
      <c r="N1375" s="3"/>
      <c r="O1375" s="3"/>
      <c r="P1375" s="125"/>
      <c r="Q1375" s="125"/>
      <c r="R1375" s="127"/>
      <c r="S1375" s="123"/>
      <c r="T1375" s="3"/>
      <c r="W1375" s="86"/>
      <c r="Y1375" s="75"/>
    </row>
    <row r="1376" spans="1:25" x14ac:dyDescent="0.25">
      <c r="A1376" s="75"/>
      <c r="C1376" s="81"/>
      <c r="D1376" s="81"/>
      <c r="I1376" s="81"/>
      <c r="K1376" s="82"/>
      <c r="L1376" s="123"/>
      <c r="M1376" s="3"/>
      <c r="N1376" s="3"/>
      <c r="O1376" s="3"/>
      <c r="P1376" s="125"/>
      <c r="Q1376" s="125"/>
      <c r="R1376" s="127"/>
      <c r="S1376" s="123"/>
      <c r="T1376" s="3"/>
      <c r="W1376" s="86"/>
      <c r="Y1376" s="75"/>
    </row>
    <row r="1377" spans="1:25" x14ac:dyDescent="0.25">
      <c r="A1377" s="75"/>
      <c r="C1377" s="81"/>
      <c r="D1377" s="81"/>
      <c r="I1377" s="81"/>
      <c r="K1377" s="82"/>
      <c r="L1377" s="123"/>
      <c r="M1377" s="3"/>
      <c r="N1377" s="3"/>
      <c r="O1377" s="3"/>
      <c r="P1377" s="125"/>
      <c r="Q1377" s="125"/>
      <c r="R1377" s="127"/>
      <c r="S1377" s="123"/>
      <c r="T1377" s="3"/>
      <c r="W1377" s="86"/>
      <c r="Y1377" s="75"/>
    </row>
    <row r="1378" spans="1:25" x14ac:dyDescent="0.25">
      <c r="A1378" s="75"/>
      <c r="C1378" s="81"/>
      <c r="D1378" s="81"/>
      <c r="I1378" s="81"/>
      <c r="K1378" s="82"/>
      <c r="L1378" s="123"/>
      <c r="M1378" s="3"/>
      <c r="N1378" s="3"/>
      <c r="O1378" s="3"/>
      <c r="P1378" s="125"/>
      <c r="Q1378" s="125"/>
      <c r="R1378" s="127"/>
      <c r="S1378" s="123"/>
      <c r="T1378" s="3"/>
      <c r="W1378" s="86"/>
      <c r="Y1378" s="75"/>
    </row>
    <row r="1379" spans="1:25" x14ac:dyDescent="0.25">
      <c r="A1379" s="75"/>
      <c r="C1379" s="81"/>
      <c r="D1379" s="81"/>
      <c r="I1379" s="81"/>
      <c r="K1379" s="82"/>
      <c r="L1379" s="123"/>
      <c r="M1379" s="3"/>
      <c r="N1379" s="3"/>
      <c r="O1379" s="3"/>
      <c r="P1379" s="125"/>
      <c r="Q1379" s="125"/>
      <c r="R1379" s="127"/>
      <c r="S1379" s="123"/>
      <c r="T1379" s="3"/>
      <c r="W1379" s="86"/>
      <c r="Y1379" s="75"/>
    </row>
    <row r="1380" spans="1:25" x14ac:dyDescent="0.25">
      <c r="A1380" s="75"/>
      <c r="C1380" s="81"/>
      <c r="D1380" s="81"/>
      <c r="I1380" s="81"/>
      <c r="K1380" s="82"/>
      <c r="L1380" s="123"/>
      <c r="M1380" s="3"/>
      <c r="N1380" s="3"/>
      <c r="O1380" s="3"/>
      <c r="P1380" s="125"/>
      <c r="Q1380" s="125"/>
      <c r="R1380" s="127"/>
      <c r="S1380" s="123"/>
      <c r="T1380" s="3"/>
      <c r="W1380" s="86"/>
      <c r="Y1380" s="75"/>
    </row>
    <row r="1381" spans="1:25" x14ac:dyDescent="0.25">
      <c r="A1381" s="75"/>
      <c r="C1381" s="81"/>
      <c r="D1381" s="81"/>
      <c r="I1381" s="81"/>
      <c r="K1381" s="82"/>
      <c r="L1381" s="123"/>
      <c r="M1381" s="3"/>
      <c r="N1381" s="3"/>
      <c r="O1381" s="3"/>
      <c r="P1381" s="125"/>
      <c r="Q1381" s="125"/>
      <c r="R1381" s="127"/>
      <c r="S1381" s="123"/>
      <c r="T1381" s="3"/>
      <c r="W1381" s="86"/>
      <c r="Y1381" s="75"/>
    </row>
    <row r="1382" spans="1:25" x14ac:dyDescent="0.25">
      <c r="A1382" s="75"/>
      <c r="C1382" s="81"/>
      <c r="D1382" s="81"/>
      <c r="I1382" s="81"/>
      <c r="K1382" s="82"/>
      <c r="L1382" s="123"/>
      <c r="M1382" s="3"/>
      <c r="N1382" s="3"/>
      <c r="O1382" s="3"/>
      <c r="P1382" s="125"/>
      <c r="Q1382" s="125"/>
      <c r="R1382" s="127"/>
      <c r="S1382" s="123"/>
      <c r="T1382" s="3"/>
      <c r="W1382" s="86"/>
      <c r="Y1382" s="75"/>
    </row>
    <row r="1383" spans="1:25" x14ac:dyDescent="0.25">
      <c r="A1383" s="75"/>
      <c r="C1383" s="81"/>
      <c r="D1383" s="81"/>
      <c r="I1383" s="81"/>
      <c r="K1383" s="82"/>
      <c r="L1383" s="123"/>
      <c r="M1383" s="3"/>
      <c r="N1383" s="3"/>
      <c r="O1383" s="3"/>
      <c r="P1383" s="125"/>
      <c r="Q1383" s="125"/>
      <c r="R1383" s="127"/>
      <c r="S1383" s="123"/>
      <c r="T1383" s="3"/>
      <c r="W1383" s="86"/>
      <c r="Y1383" s="75"/>
    </row>
    <row r="1384" spans="1:25" x14ac:dyDescent="0.25">
      <c r="A1384" s="75"/>
      <c r="C1384" s="81"/>
      <c r="D1384" s="81"/>
      <c r="I1384" s="81"/>
      <c r="K1384" s="82"/>
      <c r="L1384" s="123"/>
      <c r="M1384" s="3"/>
      <c r="N1384" s="3"/>
      <c r="O1384" s="3"/>
      <c r="P1384" s="125"/>
      <c r="Q1384" s="125"/>
      <c r="R1384" s="127"/>
      <c r="S1384" s="123"/>
      <c r="T1384" s="3"/>
      <c r="W1384" s="86"/>
      <c r="Y1384" s="75"/>
    </row>
    <row r="1385" spans="1:25" x14ac:dyDescent="0.25">
      <c r="A1385" s="75"/>
      <c r="C1385" s="81"/>
      <c r="D1385" s="81"/>
      <c r="I1385" s="81"/>
      <c r="K1385" s="82"/>
      <c r="L1385" s="123"/>
      <c r="M1385" s="3"/>
      <c r="N1385" s="3"/>
      <c r="O1385" s="3"/>
      <c r="P1385" s="125"/>
      <c r="Q1385" s="125"/>
      <c r="R1385" s="127"/>
      <c r="S1385" s="123"/>
      <c r="T1385" s="3"/>
      <c r="W1385" s="86"/>
      <c r="Y1385" s="75"/>
    </row>
    <row r="1386" spans="1:25" x14ac:dyDescent="0.25">
      <c r="A1386" s="75"/>
      <c r="C1386" s="81"/>
      <c r="D1386" s="81"/>
      <c r="I1386" s="81"/>
      <c r="K1386" s="82"/>
      <c r="L1386" s="123"/>
      <c r="M1386" s="3"/>
      <c r="N1386" s="3"/>
      <c r="O1386" s="3"/>
      <c r="P1386" s="125"/>
      <c r="Q1386" s="125"/>
      <c r="R1386" s="127"/>
      <c r="S1386" s="123"/>
      <c r="T1386" s="3"/>
      <c r="W1386" s="86"/>
      <c r="Y1386" s="75"/>
    </row>
    <row r="1387" spans="1:25" x14ac:dyDescent="0.25">
      <c r="A1387" s="75"/>
      <c r="C1387" s="81"/>
      <c r="D1387" s="81"/>
      <c r="I1387" s="81"/>
      <c r="K1387" s="82"/>
      <c r="L1387" s="123"/>
      <c r="M1387" s="3"/>
      <c r="N1387" s="3"/>
      <c r="O1387" s="3"/>
      <c r="P1387" s="125"/>
      <c r="Q1387" s="125"/>
      <c r="R1387" s="127"/>
      <c r="S1387" s="123"/>
      <c r="T1387" s="3"/>
      <c r="W1387" s="86"/>
      <c r="Y1387" s="75"/>
    </row>
    <row r="1388" spans="1:25" x14ac:dyDescent="0.25">
      <c r="A1388" s="75"/>
      <c r="C1388" s="81"/>
      <c r="D1388" s="81"/>
      <c r="I1388" s="81"/>
      <c r="K1388" s="82"/>
      <c r="L1388" s="123"/>
      <c r="M1388" s="3"/>
      <c r="N1388" s="3"/>
      <c r="O1388" s="3"/>
      <c r="P1388" s="125"/>
      <c r="Q1388" s="125"/>
      <c r="R1388" s="127"/>
      <c r="S1388" s="123"/>
      <c r="T1388" s="3"/>
      <c r="W1388" s="86"/>
      <c r="Y1388" s="75"/>
    </row>
    <row r="1389" spans="1:25" x14ac:dyDescent="0.25">
      <c r="A1389" s="75"/>
      <c r="C1389" s="81"/>
      <c r="D1389" s="81"/>
      <c r="I1389" s="81"/>
      <c r="K1389" s="82"/>
      <c r="L1389" s="123"/>
      <c r="M1389" s="3"/>
      <c r="N1389" s="3"/>
      <c r="O1389" s="3"/>
      <c r="P1389" s="125"/>
      <c r="Q1389" s="125"/>
      <c r="R1389" s="127"/>
      <c r="S1389" s="123"/>
      <c r="T1389" s="3"/>
      <c r="W1389" s="86"/>
      <c r="Y1389" s="75"/>
    </row>
    <row r="1390" spans="1:25" x14ac:dyDescent="0.25">
      <c r="A1390" s="75"/>
      <c r="C1390" s="81"/>
      <c r="D1390" s="81"/>
      <c r="I1390" s="81"/>
      <c r="K1390" s="82"/>
      <c r="L1390" s="123"/>
      <c r="M1390" s="3"/>
      <c r="N1390" s="3"/>
      <c r="O1390" s="3"/>
      <c r="P1390" s="125"/>
      <c r="Q1390" s="125"/>
      <c r="R1390" s="127"/>
      <c r="S1390" s="123"/>
      <c r="T1390" s="3"/>
      <c r="W1390" s="86"/>
      <c r="Y1390" s="75"/>
    </row>
    <row r="1391" spans="1:25" x14ac:dyDescent="0.25">
      <c r="A1391" s="75"/>
      <c r="C1391" s="81"/>
      <c r="D1391" s="81"/>
      <c r="I1391" s="81"/>
      <c r="K1391" s="82"/>
      <c r="L1391" s="123"/>
      <c r="M1391" s="3"/>
      <c r="N1391" s="3"/>
      <c r="O1391" s="3"/>
      <c r="P1391" s="125"/>
      <c r="Q1391" s="125"/>
      <c r="R1391" s="127"/>
      <c r="S1391" s="123"/>
      <c r="T1391" s="3"/>
      <c r="W1391" s="86"/>
      <c r="Y1391" s="75"/>
    </row>
    <row r="1392" spans="1:25" x14ac:dyDescent="0.25">
      <c r="A1392" s="75"/>
      <c r="C1392" s="81"/>
      <c r="D1392" s="81"/>
      <c r="I1392" s="81"/>
      <c r="K1392" s="82"/>
      <c r="L1392" s="123"/>
      <c r="M1392" s="3"/>
      <c r="N1392" s="3"/>
      <c r="O1392" s="3"/>
      <c r="P1392" s="125"/>
      <c r="Q1392" s="125"/>
      <c r="R1392" s="127"/>
      <c r="S1392" s="123"/>
      <c r="T1392" s="3"/>
      <c r="W1392" s="86"/>
      <c r="Y1392" s="75"/>
    </row>
    <row r="1393" spans="1:25" x14ac:dyDescent="0.25">
      <c r="A1393" s="75"/>
      <c r="C1393" s="81"/>
      <c r="D1393" s="81"/>
      <c r="I1393" s="81"/>
      <c r="K1393" s="82"/>
      <c r="L1393" s="123"/>
      <c r="M1393" s="3"/>
      <c r="N1393" s="3"/>
      <c r="O1393" s="3"/>
      <c r="P1393" s="125"/>
      <c r="Q1393" s="125"/>
      <c r="R1393" s="127"/>
      <c r="S1393" s="123"/>
      <c r="T1393" s="3"/>
      <c r="W1393" s="86"/>
      <c r="Y1393" s="75"/>
    </row>
    <row r="1394" spans="1:25" x14ac:dyDescent="0.25">
      <c r="A1394" s="75"/>
      <c r="C1394" s="81"/>
      <c r="D1394" s="81"/>
      <c r="I1394" s="81"/>
      <c r="K1394" s="82"/>
      <c r="L1394" s="123"/>
      <c r="M1394" s="3"/>
      <c r="N1394" s="3"/>
      <c r="O1394" s="3"/>
      <c r="P1394" s="125"/>
      <c r="Q1394" s="125"/>
      <c r="R1394" s="127"/>
      <c r="S1394" s="123"/>
      <c r="T1394" s="3"/>
      <c r="W1394" s="86"/>
      <c r="Y1394" s="75"/>
    </row>
    <row r="1395" spans="1:25" x14ac:dyDescent="0.25">
      <c r="A1395" s="75"/>
      <c r="C1395" s="81"/>
      <c r="D1395" s="81"/>
      <c r="I1395" s="81"/>
      <c r="K1395" s="82"/>
      <c r="L1395" s="123"/>
      <c r="M1395" s="3"/>
      <c r="N1395" s="3"/>
      <c r="O1395" s="3"/>
      <c r="P1395" s="125"/>
      <c r="Q1395" s="125"/>
      <c r="R1395" s="127"/>
      <c r="S1395" s="123"/>
      <c r="T1395" s="3"/>
      <c r="W1395" s="86"/>
      <c r="Y1395" s="75"/>
    </row>
    <row r="1396" spans="1:25" x14ac:dyDescent="0.25">
      <c r="A1396" s="75"/>
      <c r="C1396" s="81"/>
      <c r="D1396" s="81"/>
      <c r="I1396" s="81"/>
      <c r="K1396" s="82"/>
      <c r="L1396" s="123"/>
      <c r="M1396" s="3"/>
      <c r="N1396" s="3"/>
      <c r="O1396" s="3"/>
      <c r="P1396" s="125"/>
      <c r="Q1396" s="125"/>
      <c r="R1396" s="127"/>
      <c r="S1396" s="123"/>
      <c r="T1396" s="3"/>
      <c r="W1396" s="86"/>
      <c r="Y1396" s="75"/>
    </row>
    <row r="1397" spans="1:25" x14ac:dyDescent="0.25">
      <c r="A1397" s="75"/>
      <c r="C1397" s="81"/>
      <c r="D1397" s="81"/>
      <c r="I1397" s="81"/>
      <c r="K1397" s="82"/>
      <c r="L1397" s="123"/>
      <c r="M1397" s="3"/>
      <c r="N1397" s="3"/>
      <c r="O1397" s="3"/>
      <c r="P1397" s="125"/>
      <c r="Q1397" s="125"/>
      <c r="R1397" s="127"/>
      <c r="S1397" s="123"/>
      <c r="T1397" s="3"/>
      <c r="W1397" s="86"/>
      <c r="Y1397" s="75"/>
    </row>
    <row r="1398" spans="1:25" x14ac:dyDescent="0.25">
      <c r="A1398" s="75"/>
      <c r="C1398" s="81"/>
      <c r="D1398" s="81"/>
      <c r="I1398" s="81"/>
      <c r="K1398" s="82"/>
      <c r="L1398" s="123"/>
      <c r="M1398" s="3"/>
      <c r="N1398" s="3"/>
      <c r="O1398" s="3"/>
      <c r="P1398" s="125"/>
      <c r="Q1398" s="125"/>
      <c r="R1398" s="127"/>
      <c r="S1398" s="123"/>
      <c r="T1398" s="3"/>
      <c r="W1398" s="86"/>
      <c r="Y1398" s="75"/>
    </row>
    <row r="1399" spans="1:25" x14ac:dyDescent="0.25">
      <c r="A1399" s="75"/>
      <c r="C1399" s="81"/>
      <c r="D1399" s="81"/>
      <c r="I1399" s="81"/>
      <c r="K1399" s="82"/>
      <c r="L1399" s="123"/>
      <c r="M1399" s="3"/>
      <c r="N1399" s="3"/>
      <c r="O1399" s="3"/>
      <c r="P1399" s="125"/>
      <c r="Q1399" s="125"/>
      <c r="R1399" s="127"/>
      <c r="S1399" s="123"/>
      <c r="T1399" s="3"/>
      <c r="W1399" s="86"/>
      <c r="Y1399" s="75"/>
    </row>
    <row r="1400" spans="1:25" x14ac:dyDescent="0.25">
      <c r="A1400" s="75"/>
      <c r="C1400" s="81"/>
      <c r="D1400" s="81"/>
      <c r="I1400" s="81"/>
      <c r="K1400" s="82"/>
      <c r="L1400" s="123"/>
      <c r="M1400" s="3"/>
      <c r="N1400" s="3"/>
      <c r="O1400" s="3"/>
      <c r="P1400" s="125"/>
      <c r="Q1400" s="125"/>
      <c r="R1400" s="127"/>
      <c r="S1400" s="123"/>
      <c r="T1400" s="3"/>
      <c r="W1400" s="86"/>
      <c r="Y1400" s="75"/>
    </row>
    <row r="1401" spans="1:25" x14ac:dyDescent="0.25">
      <c r="A1401" s="75"/>
      <c r="C1401" s="81"/>
      <c r="D1401" s="81"/>
      <c r="I1401" s="81"/>
      <c r="K1401" s="82"/>
      <c r="L1401" s="123"/>
      <c r="M1401" s="3"/>
      <c r="N1401" s="3"/>
      <c r="O1401" s="3"/>
      <c r="P1401" s="125"/>
      <c r="Q1401" s="125"/>
      <c r="R1401" s="127"/>
      <c r="S1401" s="123"/>
      <c r="T1401" s="3"/>
      <c r="W1401" s="86"/>
      <c r="Y1401" s="75"/>
    </row>
    <row r="1402" spans="1:25" x14ac:dyDescent="0.25">
      <c r="A1402" s="75"/>
      <c r="C1402" s="81"/>
      <c r="D1402" s="81"/>
      <c r="I1402" s="81"/>
      <c r="K1402" s="82"/>
      <c r="L1402" s="123"/>
      <c r="M1402" s="3"/>
      <c r="N1402" s="3"/>
      <c r="O1402" s="3"/>
      <c r="P1402" s="125"/>
      <c r="Q1402" s="125"/>
      <c r="R1402" s="127"/>
      <c r="S1402" s="123"/>
      <c r="T1402" s="3"/>
      <c r="W1402" s="86"/>
      <c r="Y1402" s="75"/>
    </row>
    <row r="1403" spans="1:25" x14ac:dyDescent="0.25">
      <c r="A1403" s="75"/>
      <c r="C1403" s="81"/>
      <c r="D1403" s="81"/>
      <c r="I1403" s="81"/>
      <c r="K1403" s="82"/>
      <c r="L1403" s="123"/>
      <c r="M1403" s="3"/>
      <c r="N1403" s="3"/>
      <c r="O1403" s="3"/>
      <c r="P1403" s="125"/>
      <c r="Q1403" s="125"/>
      <c r="R1403" s="127"/>
      <c r="S1403" s="123"/>
      <c r="T1403" s="3"/>
      <c r="W1403" s="86"/>
      <c r="Y1403" s="75"/>
    </row>
    <row r="1404" spans="1:25" x14ac:dyDescent="0.25">
      <c r="A1404" s="75"/>
      <c r="C1404" s="81"/>
      <c r="D1404" s="81"/>
      <c r="I1404" s="81"/>
      <c r="K1404" s="82"/>
      <c r="L1404" s="123"/>
      <c r="M1404" s="3"/>
      <c r="N1404" s="3"/>
      <c r="O1404" s="3"/>
      <c r="P1404" s="125"/>
      <c r="Q1404" s="125"/>
      <c r="R1404" s="127"/>
      <c r="S1404" s="123"/>
      <c r="T1404" s="3"/>
      <c r="W1404" s="86"/>
      <c r="Y1404" s="75"/>
    </row>
    <row r="1405" spans="1:25" x14ac:dyDescent="0.25">
      <c r="A1405" s="75"/>
      <c r="C1405" s="81"/>
      <c r="D1405" s="81"/>
      <c r="I1405" s="81"/>
      <c r="K1405" s="82"/>
      <c r="L1405" s="123"/>
      <c r="M1405" s="3"/>
      <c r="N1405" s="3"/>
      <c r="O1405" s="3"/>
      <c r="P1405" s="125"/>
      <c r="Q1405" s="125"/>
      <c r="R1405" s="127"/>
      <c r="S1405" s="123"/>
      <c r="T1405" s="3"/>
      <c r="W1405" s="86"/>
      <c r="Y1405" s="75"/>
    </row>
    <row r="1406" spans="1:25" x14ac:dyDescent="0.25">
      <c r="A1406" s="75"/>
      <c r="C1406" s="81"/>
      <c r="D1406" s="81"/>
      <c r="I1406" s="81"/>
      <c r="K1406" s="82"/>
      <c r="L1406" s="123"/>
      <c r="M1406" s="3"/>
      <c r="N1406" s="3"/>
      <c r="O1406" s="3"/>
      <c r="P1406" s="125"/>
      <c r="Q1406" s="125"/>
      <c r="R1406" s="127"/>
      <c r="S1406" s="123"/>
      <c r="T1406" s="3"/>
      <c r="W1406" s="86"/>
      <c r="Y1406" s="75"/>
    </row>
    <row r="1407" spans="1:25" x14ac:dyDescent="0.25">
      <c r="A1407" s="75"/>
      <c r="C1407" s="81"/>
      <c r="D1407" s="81"/>
      <c r="I1407" s="81"/>
      <c r="K1407" s="82"/>
      <c r="L1407" s="123"/>
      <c r="M1407" s="3"/>
      <c r="N1407" s="3"/>
      <c r="O1407" s="3"/>
      <c r="P1407" s="125"/>
      <c r="Q1407" s="125"/>
      <c r="R1407" s="127"/>
      <c r="S1407" s="123"/>
      <c r="T1407" s="3"/>
      <c r="W1407" s="86"/>
      <c r="Y1407" s="75"/>
    </row>
    <row r="1408" spans="1:25" x14ac:dyDescent="0.25">
      <c r="A1408" s="75"/>
      <c r="C1408" s="81"/>
      <c r="D1408" s="81"/>
      <c r="I1408" s="81"/>
      <c r="K1408" s="82"/>
      <c r="L1408" s="123"/>
      <c r="M1408" s="3"/>
      <c r="N1408" s="3"/>
      <c r="O1408" s="3"/>
      <c r="P1408" s="125"/>
      <c r="Q1408" s="125"/>
      <c r="R1408" s="127"/>
      <c r="S1408" s="123"/>
      <c r="T1408" s="3"/>
      <c r="W1408" s="86"/>
      <c r="Y1408" s="75"/>
    </row>
    <row r="1409" spans="1:25" x14ac:dyDescent="0.25">
      <c r="A1409" s="75"/>
      <c r="C1409" s="81"/>
      <c r="D1409" s="81"/>
      <c r="I1409" s="81"/>
      <c r="K1409" s="82"/>
      <c r="L1409" s="123"/>
      <c r="M1409" s="3"/>
      <c r="N1409" s="3"/>
      <c r="O1409" s="3"/>
      <c r="P1409" s="125"/>
      <c r="Q1409" s="125"/>
      <c r="R1409" s="127"/>
      <c r="S1409" s="123"/>
      <c r="T1409" s="3"/>
      <c r="W1409" s="86"/>
      <c r="Y1409" s="75"/>
    </row>
    <row r="1410" spans="1:25" x14ac:dyDescent="0.25">
      <c r="A1410" s="75"/>
      <c r="C1410" s="81"/>
      <c r="D1410" s="81"/>
      <c r="I1410" s="81"/>
      <c r="K1410" s="82"/>
      <c r="L1410" s="123"/>
      <c r="M1410" s="3"/>
      <c r="N1410" s="3"/>
      <c r="O1410" s="3"/>
      <c r="P1410" s="125"/>
      <c r="Q1410" s="125"/>
      <c r="R1410" s="127"/>
      <c r="S1410" s="123"/>
      <c r="T1410" s="3"/>
      <c r="W1410" s="86"/>
      <c r="Y1410" s="75"/>
    </row>
    <row r="1411" spans="1:25" x14ac:dyDescent="0.25">
      <c r="A1411" s="75"/>
      <c r="C1411" s="81"/>
      <c r="D1411" s="81"/>
      <c r="I1411" s="81"/>
      <c r="K1411" s="82"/>
      <c r="L1411" s="123"/>
      <c r="M1411" s="3"/>
      <c r="N1411" s="3"/>
      <c r="O1411" s="3"/>
      <c r="P1411" s="125"/>
      <c r="Q1411" s="125"/>
      <c r="R1411" s="127"/>
      <c r="S1411" s="123"/>
      <c r="T1411" s="3"/>
      <c r="W1411" s="86"/>
      <c r="Y1411" s="75"/>
    </row>
    <row r="1412" spans="1:25" x14ac:dyDescent="0.25">
      <c r="A1412" s="75"/>
      <c r="C1412" s="81"/>
      <c r="D1412" s="81"/>
      <c r="I1412" s="81"/>
      <c r="K1412" s="82"/>
      <c r="L1412" s="123"/>
      <c r="M1412" s="3"/>
      <c r="N1412" s="3"/>
      <c r="O1412" s="3"/>
      <c r="P1412" s="125"/>
      <c r="Q1412" s="125"/>
      <c r="R1412" s="127"/>
      <c r="S1412" s="123"/>
      <c r="T1412" s="3"/>
      <c r="W1412" s="86"/>
      <c r="Y1412" s="75"/>
    </row>
    <row r="1413" spans="1:25" x14ac:dyDescent="0.25">
      <c r="A1413" s="75"/>
      <c r="C1413" s="81"/>
      <c r="D1413" s="81"/>
      <c r="I1413" s="81"/>
      <c r="K1413" s="82"/>
      <c r="L1413" s="123"/>
      <c r="M1413" s="3"/>
      <c r="N1413" s="3"/>
      <c r="O1413" s="3"/>
      <c r="P1413" s="125"/>
      <c r="Q1413" s="125"/>
      <c r="R1413" s="127"/>
      <c r="S1413" s="123"/>
      <c r="T1413" s="3"/>
      <c r="W1413" s="86"/>
      <c r="Y1413" s="75"/>
    </row>
    <row r="1414" spans="1:25" x14ac:dyDescent="0.25">
      <c r="A1414" s="75"/>
      <c r="C1414" s="81"/>
      <c r="D1414" s="81"/>
      <c r="I1414" s="81"/>
      <c r="K1414" s="82"/>
      <c r="L1414" s="123"/>
      <c r="M1414" s="3"/>
      <c r="N1414" s="3"/>
      <c r="O1414" s="3"/>
      <c r="P1414" s="125"/>
      <c r="Q1414" s="125"/>
      <c r="R1414" s="127"/>
      <c r="S1414" s="123"/>
      <c r="T1414" s="3"/>
      <c r="W1414" s="86"/>
      <c r="Y1414" s="75"/>
    </row>
    <row r="1415" spans="1:25" x14ac:dyDescent="0.25">
      <c r="A1415" s="75"/>
      <c r="C1415" s="81"/>
      <c r="D1415" s="81"/>
      <c r="I1415" s="81"/>
      <c r="K1415" s="82"/>
      <c r="L1415" s="123"/>
      <c r="M1415" s="3"/>
      <c r="N1415" s="3"/>
      <c r="O1415" s="3"/>
      <c r="P1415" s="125"/>
      <c r="Q1415" s="125"/>
      <c r="R1415" s="127"/>
      <c r="S1415" s="123"/>
      <c r="T1415" s="3"/>
      <c r="W1415" s="86"/>
      <c r="Y1415" s="75"/>
    </row>
    <row r="1416" spans="1:25" x14ac:dyDescent="0.25">
      <c r="A1416" s="75"/>
      <c r="C1416" s="81"/>
      <c r="D1416" s="81"/>
      <c r="I1416" s="81"/>
      <c r="K1416" s="82"/>
      <c r="L1416" s="123"/>
      <c r="M1416" s="3"/>
      <c r="N1416" s="3"/>
      <c r="O1416" s="3"/>
      <c r="P1416" s="125"/>
      <c r="Q1416" s="125"/>
      <c r="R1416" s="127"/>
      <c r="S1416" s="123"/>
      <c r="T1416" s="3"/>
      <c r="W1416" s="86"/>
      <c r="Y1416" s="75"/>
    </row>
    <row r="1417" spans="1:25" x14ac:dyDescent="0.25">
      <c r="A1417" s="75"/>
      <c r="C1417" s="81"/>
      <c r="D1417" s="81"/>
      <c r="I1417" s="81"/>
      <c r="K1417" s="82"/>
      <c r="L1417" s="123"/>
      <c r="M1417" s="3"/>
      <c r="N1417" s="3"/>
      <c r="O1417" s="3"/>
      <c r="P1417" s="125"/>
      <c r="Q1417" s="125"/>
      <c r="R1417" s="127"/>
      <c r="S1417" s="123"/>
      <c r="T1417" s="3"/>
      <c r="W1417" s="86"/>
      <c r="Y1417" s="75"/>
    </row>
    <row r="1418" spans="1:25" x14ac:dyDescent="0.25">
      <c r="A1418" s="75"/>
      <c r="C1418" s="81"/>
      <c r="D1418" s="81"/>
      <c r="I1418" s="81"/>
      <c r="K1418" s="82"/>
      <c r="L1418" s="123"/>
      <c r="M1418" s="3"/>
      <c r="N1418" s="3"/>
      <c r="O1418" s="3"/>
      <c r="P1418" s="125"/>
      <c r="Q1418" s="125"/>
      <c r="R1418" s="127"/>
      <c r="S1418" s="123"/>
      <c r="T1418" s="3"/>
      <c r="W1418" s="86"/>
      <c r="Y1418" s="75"/>
    </row>
    <row r="1419" spans="1:25" x14ac:dyDescent="0.25">
      <c r="A1419" s="75"/>
      <c r="C1419" s="81"/>
      <c r="D1419" s="81"/>
      <c r="I1419" s="81"/>
      <c r="K1419" s="82"/>
      <c r="L1419" s="123"/>
      <c r="M1419" s="3"/>
      <c r="N1419" s="3"/>
      <c r="O1419" s="3"/>
      <c r="P1419" s="125"/>
      <c r="Q1419" s="125"/>
      <c r="R1419" s="127"/>
      <c r="S1419" s="123"/>
      <c r="T1419" s="3"/>
      <c r="W1419" s="86"/>
      <c r="Y1419" s="75"/>
    </row>
    <row r="1420" spans="1:25" x14ac:dyDescent="0.25">
      <c r="A1420" s="75"/>
      <c r="C1420" s="81"/>
      <c r="D1420" s="81"/>
      <c r="I1420" s="81"/>
      <c r="K1420" s="82"/>
      <c r="L1420" s="123"/>
      <c r="M1420" s="3"/>
      <c r="N1420" s="3"/>
      <c r="O1420" s="3"/>
      <c r="P1420" s="125"/>
      <c r="Q1420" s="125"/>
      <c r="R1420" s="127"/>
      <c r="S1420" s="123"/>
      <c r="T1420" s="3"/>
      <c r="W1420" s="86"/>
      <c r="Y1420" s="75"/>
    </row>
    <row r="1421" spans="1:25" x14ac:dyDescent="0.25">
      <c r="A1421" s="75"/>
      <c r="C1421" s="81"/>
      <c r="D1421" s="81"/>
      <c r="I1421" s="81"/>
      <c r="K1421" s="82"/>
      <c r="L1421" s="123"/>
      <c r="M1421" s="3"/>
      <c r="N1421" s="3"/>
      <c r="O1421" s="3"/>
      <c r="P1421" s="125"/>
      <c r="Q1421" s="125"/>
      <c r="R1421" s="127"/>
      <c r="S1421" s="123"/>
      <c r="T1421" s="3"/>
      <c r="W1421" s="86"/>
      <c r="Y1421" s="75"/>
    </row>
    <row r="1422" spans="1:25" x14ac:dyDescent="0.25">
      <c r="A1422" s="75"/>
      <c r="C1422" s="81"/>
      <c r="D1422" s="81"/>
      <c r="I1422" s="81"/>
      <c r="K1422" s="82"/>
      <c r="L1422" s="123"/>
      <c r="M1422" s="3"/>
      <c r="N1422" s="3"/>
      <c r="O1422" s="3"/>
      <c r="P1422" s="125"/>
      <c r="Q1422" s="125"/>
      <c r="R1422" s="127"/>
      <c r="S1422" s="123"/>
      <c r="T1422" s="3"/>
      <c r="W1422" s="86"/>
      <c r="Y1422" s="75"/>
    </row>
    <row r="1423" spans="1:25" x14ac:dyDescent="0.25">
      <c r="A1423" s="75"/>
      <c r="C1423" s="81"/>
      <c r="D1423" s="81"/>
      <c r="I1423" s="81"/>
      <c r="K1423" s="82"/>
      <c r="L1423" s="123"/>
      <c r="M1423" s="3"/>
      <c r="N1423" s="3"/>
      <c r="O1423" s="3"/>
      <c r="P1423" s="125"/>
      <c r="Q1423" s="125"/>
      <c r="R1423" s="127"/>
      <c r="S1423" s="123"/>
      <c r="T1423" s="3"/>
      <c r="W1423" s="86"/>
      <c r="Y1423" s="75"/>
    </row>
    <row r="1424" spans="1:25" x14ac:dyDescent="0.25">
      <c r="A1424" s="75"/>
      <c r="C1424" s="81"/>
      <c r="D1424" s="81"/>
      <c r="I1424" s="81"/>
      <c r="K1424" s="82"/>
      <c r="L1424" s="123"/>
      <c r="M1424" s="3"/>
      <c r="N1424" s="3"/>
      <c r="O1424" s="3"/>
      <c r="P1424" s="125"/>
      <c r="Q1424" s="125"/>
      <c r="R1424" s="127"/>
      <c r="S1424" s="123"/>
      <c r="T1424" s="3"/>
      <c r="W1424" s="86"/>
      <c r="Y1424" s="75"/>
    </row>
    <row r="1425" spans="1:25" x14ac:dyDescent="0.25">
      <c r="A1425" s="75"/>
      <c r="C1425" s="81"/>
      <c r="D1425" s="81"/>
      <c r="I1425" s="81"/>
      <c r="K1425" s="82"/>
      <c r="L1425" s="123"/>
      <c r="M1425" s="3"/>
      <c r="N1425" s="3"/>
      <c r="O1425" s="3"/>
      <c r="P1425" s="125"/>
      <c r="Q1425" s="125"/>
      <c r="R1425" s="127"/>
      <c r="S1425" s="123"/>
      <c r="T1425" s="3"/>
      <c r="W1425" s="86"/>
      <c r="Y1425" s="75"/>
    </row>
    <row r="1426" spans="1:25" x14ac:dyDescent="0.25">
      <c r="A1426" s="75"/>
      <c r="C1426" s="81"/>
      <c r="D1426" s="81"/>
      <c r="I1426" s="81"/>
      <c r="K1426" s="82"/>
      <c r="L1426" s="123"/>
      <c r="M1426" s="3"/>
      <c r="N1426" s="3"/>
      <c r="O1426" s="3"/>
      <c r="P1426" s="125"/>
      <c r="Q1426" s="125"/>
      <c r="R1426" s="127"/>
      <c r="S1426" s="123"/>
      <c r="T1426" s="3"/>
      <c r="W1426" s="86"/>
      <c r="Y1426" s="75"/>
    </row>
    <row r="1427" spans="1:25" x14ac:dyDescent="0.25">
      <c r="A1427" s="75"/>
      <c r="C1427" s="81"/>
      <c r="D1427" s="81"/>
      <c r="I1427" s="81"/>
      <c r="K1427" s="82"/>
      <c r="L1427" s="123"/>
      <c r="M1427" s="3"/>
      <c r="N1427" s="3"/>
      <c r="O1427" s="3"/>
      <c r="P1427" s="125"/>
      <c r="Q1427" s="125"/>
      <c r="R1427" s="127"/>
      <c r="S1427" s="123"/>
      <c r="T1427" s="3"/>
      <c r="W1427" s="86"/>
      <c r="Y1427" s="75"/>
    </row>
    <row r="1428" spans="1:25" x14ac:dyDescent="0.25">
      <c r="A1428" s="75"/>
      <c r="C1428" s="81"/>
      <c r="D1428" s="81"/>
      <c r="I1428" s="81"/>
      <c r="K1428" s="82"/>
      <c r="L1428" s="123"/>
      <c r="M1428" s="3"/>
      <c r="N1428" s="3"/>
      <c r="O1428" s="3"/>
      <c r="P1428" s="125"/>
      <c r="Q1428" s="125"/>
      <c r="R1428" s="127"/>
      <c r="S1428" s="123"/>
      <c r="T1428" s="3"/>
      <c r="W1428" s="86"/>
      <c r="Y1428" s="75"/>
    </row>
    <row r="1429" spans="1:25" x14ac:dyDescent="0.25">
      <c r="A1429" s="75"/>
      <c r="C1429" s="81"/>
      <c r="D1429" s="81"/>
      <c r="I1429" s="81"/>
      <c r="K1429" s="82"/>
      <c r="L1429" s="123"/>
      <c r="M1429" s="3"/>
      <c r="N1429" s="3"/>
      <c r="O1429" s="3"/>
      <c r="P1429" s="125"/>
      <c r="Q1429" s="125"/>
      <c r="R1429" s="127"/>
      <c r="S1429" s="123"/>
      <c r="T1429" s="3"/>
      <c r="W1429" s="86"/>
      <c r="Y1429" s="75"/>
    </row>
    <row r="1430" spans="1:25" x14ac:dyDescent="0.25">
      <c r="A1430" s="75"/>
      <c r="C1430" s="81"/>
      <c r="D1430" s="81"/>
      <c r="I1430" s="81"/>
      <c r="K1430" s="82"/>
      <c r="L1430" s="123"/>
      <c r="M1430" s="3"/>
      <c r="N1430" s="3"/>
      <c r="O1430" s="3"/>
      <c r="P1430" s="125"/>
      <c r="Q1430" s="125"/>
      <c r="R1430" s="127"/>
      <c r="S1430" s="123"/>
      <c r="T1430" s="3"/>
      <c r="W1430" s="86"/>
      <c r="Y1430" s="75"/>
    </row>
    <row r="1431" spans="1:25" x14ac:dyDescent="0.25">
      <c r="A1431" s="75"/>
      <c r="C1431" s="81"/>
      <c r="D1431" s="81"/>
      <c r="I1431" s="81"/>
      <c r="K1431" s="82"/>
      <c r="L1431" s="123"/>
      <c r="M1431" s="3"/>
      <c r="N1431" s="3"/>
      <c r="O1431" s="3"/>
      <c r="P1431" s="125"/>
      <c r="Q1431" s="125"/>
      <c r="R1431" s="127"/>
      <c r="S1431" s="123"/>
      <c r="T1431" s="3"/>
      <c r="W1431" s="86"/>
      <c r="Y1431" s="75"/>
    </row>
    <row r="1432" spans="1:25" x14ac:dyDescent="0.25">
      <c r="A1432" s="75"/>
      <c r="C1432" s="81"/>
      <c r="D1432" s="81"/>
      <c r="I1432" s="81"/>
      <c r="K1432" s="82"/>
      <c r="L1432" s="123"/>
      <c r="M1432" s="3"/>
      <c r="N1432" s="3"/>
      <c r="O1432" s="3"/>
      <c r="P1432" s="125"/>
      <c r="Q1432" s="125"/>
      <c r="R1432" s="127"/>
      <c r="S1432" s="123"/>
      <c r="T1432" s="3"/>
      <c r="W1432" s="86"/>
      <c r="Y1432" s="75"/>
    </row>
    <row r="1433" spans="1:25" x14ac:dyDescent="0.25">
      <c r="A1433" s="75"/>
      <c r="C1433" s="81"/>
      <c r="D1433" s="81"/>
      <c r="I1433" s="81"/>
      <c r="K1433" s="82"/>
      <c r="L1433" s="123"/>
      <c r="M1433" s="3"/>
      <c r="N1433" s="3"/>
      <c r="O1433" s="3"/>
      <c r="P1433" s="125"/>
      <c r="Q1433" s="125"/>
      <c r="R1433" s="127"/>
      <c r="S1433" s="123"/>
      <c r="T1433" s="3"/>
      <c r="W1433" s="86"/>
      <c r="Y1433" s="75"/>
    </row>
    <row r="1434" spans="1:25" x14ac:dyDescent="0.25">
      <c r="A1434" s="75"/>
      <c r="C1434" s="81"/>
      <c r="D1434" s="81"/>
      <c r="I1434" s="81"/>
      <c r="K1434" s="82"/>
      <c r="L1434" s="123"/>
      <c r="M1434" s="3"/>
      <c r="N1434" s="3"/>
      <c r="O1434" s="3"/>
      <c r="P1434" s="125"/>
      <c r="Q1434" s="125"/>
      <c r="R1434" s="127"/>
      <c r="S1434" s="123"/>
      <c r="T1434" s="3"/>
      <c r="W1434" s="86"/>
      <c r="Y1434" s="75"/>
    </row>
    <row r="1435" spans="1:25" x14ac:dyDescent="0.25">
      <c r="A1435" s="75"/>
      <c r="C1435" s="81"/>
      <c r="D1435" s="81"/>
      <c r="I1435" s="81"/>
      <c r="K1435" s="82"/>
      <c r="L1435" s="123"/>
      <c r="M1435" s="3"/>
      <c r="N1435" s="3"/>
      <c r="O1435" s="3"/>
      <c r="P1435" s="125"/>
      <c r="Q1435" s="125"/>
      <c r="R1435" s="127"/>
      <c r="S1435" s="123"/>
      <c r="T1435" s="3"/>
      <c r="W1435" s="86"/>
      <c r="Y1435" s="75"/>
    </row>
    <row r="1436" spans="1:25" x14ac:dyDescent="0.25">
      <c r="A1436" s="75"/>
      <c r="C1436" s="81"/>
      <c r="D1436" s="81"/>
      <c r="I1436" s="81"/>
      <c r="K1436" s="82"/>
      <c r="L1436" s="123"/>
      <c r="M1436" s="3"/>
      <c r="N1436" s="3"/>
      <c r="O1436" s="3"/>
      <c r="P1436" s="125"/>
      <c r="Q1436" s="125"/>
      <c r="R1436" s="127"/>
      <c r="S1436" s="123"/>
      <c r="T1436" s="3"/>
      <c r="W1436" s="86"/>
      <c r="Y1436" s="75"/>
    </row>
    <row r="1437" spans="1:25" x14ac:dyDescent="0.25">
      <c r="A1437" s="75"/>
      <c r="C1437" s="81"/>
      <c r="D1437" s="81"/>
      <c r="I1437" s="81"/>
      <c r="K1437" s="82"/>
      <c r="L1437" s="123"/>
      <c r="M1437" s="3"/>
      <c r="N1437" s="3"/>
      <c r="O1437" s="3"/>
      <c r="P1437" s="125"/>
      <c r="Q1437" s="125"/>
      <c r="R1437" s="127"/>
      <c r="S1437" s="123"/>
      <c r="T1437" s="3"/>
      <c r="W1437" s="86"/>
      <c r="Y1437" s="75"/>
    </row>
    <row r="1438" spans="1:25" x14ac:dyDescent="0.25">
      <c r="A1438" s="75"/>
      <c r="C1438" s="81"/>
      <c r="D1438" s="81"/>
      <c r="I1438" s="81"/>
      <c r="K1438" s="82"/>
      <c r="L1438" s="123"/>
      <c r="M1438" s="3"/>
      <c r="N1438" s="3"/>
      <c r="O1438" s="3"/>
      <c r="P1438" s="125"/>
      <c r="Q1438" s="125"/>
      <c r="R1438" s="127"/>
      <c r="S1438" s="123"/>
      <c r="T1438" s="3"/>
      <c r="W1438" s="86"/>
      <c r="Y1438" s="75"/>
    </row>
    <row r="1439" spans="1:25" x14ac:dyDescent="0.25">
      <c r="A1439" s="75"/>
      <c r="C1439" s="81"/>
      <c r="D1439" s="81"/>
      <c r="I1439" s="81"/>
      <c r="K1439" s="82"/>
      <c r="L1439" s="123"/>
      <c r="M1439" s="3"/>
      <c r="N1439" s="3"/>
      <c r="O1439" s="3"/>
      <c r="P1439" s="125"/>
      <c r="Q1439" s="125"/>
      <c r="R1439" s="127"/>
      <c r="S1439" s="123"/>
      <c r="T1439" s="3"/>
      <c r="W1439" s="86"/>
      <c r="Y1439" s="75"/>
    </row>
    <row r="1440" spans="1:25" x14ac:dyDescent="0.25">
      <c r="A1440" s="75"/>
      <c r="C1440" s="81"/>
      <c r="D1440" s="81"/>
      <c r="I1440" s="81"/>
      <c r="K1440" s="82"/>
      <c r="L1440" s="123"/>
      <c r="M1440" s="3"/>
      <c r="N1440" s="3"/>
      <c r="O1440" s="3"/>
      <c r="P1440" s="125"/>
      <c r="Q1440" s="125"/>
      <c r="R1440" s="127"/>
      <c r="S1440" s="123"/>
      <c r="T1440" s="3"/>
      <c r="W1440" s="86"/>
      <c r="Y1440" s="75"/>
    </row>
    <row r="1441" spans="1:25" x14ac:dyDescent="0.25">
      <c r="A1441" s="75"/>
      <c r="C1441" s="81"/>
      <c r="D1441" s="81"/>
      <c r="I1441" s="81"/>
      <c r="K1441" s="82"/>
      <c r="L1441" s="123"/>
      <c r="M1441" s="3"/>
      <c r="N1441" s="3"/>
      <c r="O1441" s="3"/>
      <c r="P1441" s="125"/>
      <c r="Q1441" s="125"/>
      <c r="R1441" s="127"/>
      <c r="S1441" s="123"/>
      <c r="T1441" s="3"/>
      <c r="W1441" s="86"/>
      <c r="Y1441" s="75"/>
    </row>
    <row r="1442" spans="1:25" x14ac:dyDescent="0.25">
      <c r="A1442" s="75"/>
      <c r="C1442" s="81"/>
      <c r="D1442" s="81"/>
      <c r="I1442" s="81"/>
      <c r="K1442" s="82"/>
      <c r="L1442" s="123"/>
      <c r="M1442" s="3"/>
      <c r="N1442" s="3"/>
      <c r="O1442" s="3"/>
      <c r="P1442" s="125"/>
      <c r="Q1442" s="125"/>
      <c r="R1442" s="127"/>
      <c r="S1442" s="123"/>
      <c r="T1442" s="3"/>
      <c r="W1442" s="86"/>
      <c r="Y1442" s="75"/>
    </row>
    <row r="1443" spans="1:25" x14ac:dyDescent="0.25">
      <c r="A1443" s="75"/>
      <c r="C1443" s="81"/>
      <c r="D1443" s="81"/>
      <c r="I1443" s="81"/>
      <c r="K1443" s="82"/>
      <c r="L1443" s="123"/>
      <c r="M1443" s="3"/>
      <c r="N1443" s="3"/>
      <c r="O1443" s="3"/>
      <c r="P1443" s="125"/>
      <c r="Q1443" s="125"/>
      <c r="R1443" s="127"/>
      <c r="S1443" s="123"/>
      <c r="T1443" s="3"/>
      <c r="W1443" s="86"/>
      <c r="Y1443" s="75"/>
    </row>
    <row r="1444" spans="1:25" x14ac:dyDescent="0.25">
      <c r="A1444" s="75"/>
      <c r="C1444" s="81"/>
      <c r="D1444" s="81"/>
      <c r="I1444" s="81"/>
      <c r="K1444" s="82"/>
      <c r="L1444" s="123"/>
      <c r="M1444" s="3"/>
      <c r="N1444" s="3"/>
      <c r="O1444" s="3"/>
      <c r="P1444" s="125"/>
      <c r="Q1444" s="125"/>
      <c r="R1444" s="127"/>
      <c r="S1444" s="123"/>
      <c r="T1444" s="3"/>
      <c r="W1444" s="86"/>
      <c r="Y1444" s="75"/>
    </row>
    <row r="1445" spans="1:25" x14ac:dyDescent="0.25">
      <c r="A1445" s="75"/>
      <c r="C1445" s="81"/>
      <c r="D1445" s="81"/>
      <c r="I1445" s="81"/>
      <c r="K1445" s="82"/>
      <c r="L1445" s="123"/>
      <c r="M1445" s="3"/>
      <c r="N1445" s="3"/>
      <c r="O1445" s="3"/>
      <c r="P1445" s="125"/>
      <c r="Q1445" s="125"/>
      <c r="R1445" s="127"/>
      <c r="S1445" s="123"/>
      <c r="T1445" s="3"/>
      <c r="W1445" s="86"/>
      <c r="Y1445" s="75"/>
    </row>
    <row r="1446" spans="1:25" x14ac:dyDescent="0.25">
      <c r="A1446" s="75"/>
      <c r="C1446" s="81"/>
      <c r="D1446" s="81"/>
      <c r="I1446" s="81"/>
      <c r="K1446" s="82"/>
      <c r="L1446" s="123"/>
      <c r="M1446" s="3"/>
      <c r="N1446" s="3"/>
      <c r="O1446" s="3"/>
      <c r="P1446" s="125"/>
      <c r="Q1446" s="125"/>
      <c r="R1446" s="127"/>
      <c r="S1446" s="123"/>
      <c r="T1446" s="3"/>
      <c r="W1446" s="86"/>
      <c r="Y1446" s="75"/>
    </row>
    <row r="1447" spans="1:25" x14ac:dyDescent="0.25">
      <c r="A1447" s="75"/>
      <c r="C1447" s="81"/>
      <c r="D1447" s="81"/>
      <c r="I1447" s="81"/>
      <c r="K1447" s="82"/>
      <c r="L1447" s="123"/>
      <c r="M1447" s="3"/>
      <c r="N1447" s="3"/>
      <c r="O1447" s="3"/>
      <c r="P1447" s="125"/>
      <c r="Q1447" s="125"/>
      <c r="R1447" s="127"/>
      <c r="S1447" s="123"/>
      <c r="T1447" s="3"/>
      <c r="W1447" s="86"/>
      <c r="Y1447" s="75"/>
    </row>
    <row r="1448" spans="1:25" x14ac:dyDescent="0.25">
      <c r="A1448" s="75"/>
      <c r="C1448" s="81"/>
      <c r="D1448" s="81"/>
      <c r="I1448" s="81"/>
      <c r="K1448" s="82"/>
      <c r="L1448" s="123"/>
      <c r="M1448" s="3"/>
      <c r="N1448" s="3"/>
      <c r="O1448" s="3"/>
      <c r="P1448" s="125"/>
      <c r="Q1448" s="125"/>
      <c r="R1448" s="127"/>
      <c r="S1448" s="123"/>
      <c r="T1448" s="3"/>
      <c r="W1448" s="86"/>
      <c r="Y1448" s="75"/>
    </row>
    <row r="1449" spans="1:25" x14ac:dyDescent="0.25">
      <c r="A1449" s="75"/>
      <c r="C1449" s="81"/>
      <c r="D1449" s="81"/>
      <c r="I1449" s="81"/>
      <c r="K1449" s="82"/>
      <c r="L1449" s="123"/>
      <c r="M1449" s="3"/>
      <c r="N1449" s="3"/>
      <c r="O1449" s="3"/>
      <c r="P1449" s="125"/>
      <c r="Q1449" s="125"/>
      <c r="R1449" s="127"/>
      <c r="S1449" s="123"/>
      <c r="T1449" s="3"/>
      <c r="W1449" s="86"/>
      <c r="Y1449" s="75"/>
    </row>
    <row r="1450" spans="1:25" x14ac:dyDescent="0.25">
      <c r="A1450" s="75"/>
      <c r="C1450" s="81"/>
      <c r="D1450" s="81"/>
      <c r="I1450" s="81"/>
      <c r="K1450" s="82"/>
      <c r="L1450" s="123"/>
      <c r="M1450" s="3"/>
      <c r="N1450" s="3"/>
      <c r="O1450" s="3"/>
      <c r="P1450" s="125"/>
      <c r="Q1450" s="125"/>
      <c r="R1450" s="127"/>
      <c r="S1450" s="123"/>
      <c r="T1450" s="3"/>
      <c r="W1450" s="86"/>
      <c r="Y1450" s="75"/>
    </row>
    <row r="1451" spans="1:25" x14ac:dyDescent="0.25">
      <c r="A1451" s="75"/>
      <c r="C1451" s="81"/>
      <c r="D1451" s="81"/>
      <c r="I1451" s="81"/>
      <c r="K1451" s="82"/>
      <c r="L1451" s="123"/>
      <c r="M1451" s="3"/>
      <c r="N1451" s="3"/>
      <c r="O1451" s="3"/>
      <c r="P1451" s="125"/>
      <c r="Q1451" s="125"/>
      <c r="R1451" s="127"/>
      <c r="S1451" s="123"/>
      <c r="T1451" s="3"/>
      <c r="W1451" s="86"/>
      <c r="Y1451" s="75"/>
    </row>
    <row r="1452" spans="1:25" x14ac:dyDescent="0.25">
      <c r="A1452" s="75"/>
      <c r="C1452" s="81"/>
      <c r="D1452" s="81"/>
      <c r="I1452" s="81"/>
      <c r="K1452" s="82"/>
      <c r="L1452" s="123"/>
      <c r="M1452" s="3"/>
      <c r="N1452" s="3"/>
      <c r="O1452" s="3"/>
      <c r="P1452" s="125"/>
      <c r="Q1452" s="125"/>
      <c r="R1452" s="127"/>
      <c r="S1452" s="123"/>
      <c r="T1452" s="3"/>
      <c r="W1452" s="86"/>
      <c r="Y1452" s="75"/>
    </row>
    <row r="1453" spans="1:25" x14ac:dyDescent="0.25">
      <c r="A1453" s="75"/>
      <c r="C1453" s="81"/>
      <c r="D1453" s="81"/>
      <c r="I1453" s="81"/>
      <c r="K1453" s="82"/>
      <c r="L1453" s="123"/>
      <c r="M1453" s="3"/>
      <c r="N1453" s="3"/>
      <c r="O1453" s="3"/>
      <c r="P1453" s="125"/>
      <c r="Q1453" s="125"/>
      <c r="R1453" s="127"/>
      <c r="S1453" s="123"/>
      <c r="T1453" s="3"/>
      <c r="W1453" s="86"/>
      <c r="Y1453" s="75"/>
    </row>
    <row r="1454" spans="1:25" x14ac:dyDescent="0.25">
      <c r="A1454" s="75"/>
      <c r="C1454" s="81"/>
      <c r="D1454" s="81"/>
      <c r="I1454" s="81"/>
      <c r="K1454" s="82"/>
      <c r="L1454" s="123"/>
      <c r="M1454" s="3"/>
      <c r="N1454" s="3"/>
      <c r="O1454" s="3"/>
      <c r="P1454" s="125"/>
      <c r="Q1454" s="125"/>
      <c r="R1454" s="127"/>
      <c r="S1454" s="123"/>
      <c r="T1454" s="3"/>
      <c r="W1454" s="86"/>
      <c r="Y1454" s="75"/>
    </row>
    <row r="1455" spans="1:25" x14ac:dyDescent="0.25">
      <c r="A1455" s="75"/>
      <c r="C1455" s="81"/>
      <c r="D1455" s="81"/>
      <c r="I1455" s="81"/>
      <c r="K1455" s="82"/>
      <c r="L1455" s="123"/>
      <c r="M1455" s="3"/>
      <c r="N1455" s="3"/>
      <c r="O1455" s="3"/>
      <c r="P1455" s="125"/>
      <c r="Q1455" s="125"/>
      <c r="R1455" s="127"/>
      <c r="S1455" s="123"/>
      <c r="T1455" s="3"/>
      <c r="W1455" s="86"/>
      <c r="Y1455" s="75"/>
    </row>
    <row r="1456" spans="1:25" x14ac:dyDescent="0.25">
      <c r="A1456" s="75"/>
      <c r="C1456" s="81"/>
      <c r="D1456" s="81"/>
      <c r="I1456" s="81"/>
      <c r="K1456" s="82"/>
      <c r="L1456" s="123"/>
      <c r="M1456" s="3"/>
      <c r="N1456" s="3"/>
      <c r="O1456" s="3"/>
      <c r="P1456" s="125"/>
      <c r="Q1456" s="125"/>
      <c r="R1456" s="127"/>
      <c r="S1456" s="123"/>
      <c r="T1456" s="3"/>
      <c r="W1456" s="86"/>
      <c r="Y1456" s="75"/>
    </row>
    <row r="1457" spans="1:25" x14ac:dyDescent="0.25">
      <c r="A1457" s="75"/>
      <c r="C1457" s="81"/>
      <c r="D1457" s="81"/>
      <c r="I1457" s="81"/>
      <c r="K1457" s="82"/>
      <c r="L1457" s="123"/>
      <c r="M1457" s="3"/>
      <c r="N1457" s="3"/>
      <c r="O1457" s="3"/>
      <c r="P1457" s="125"/>
      <c r="Q1457" s="125"/>
      <c r="R1457" s="127"/>
      <c r="S1457" s="123"/>
      <c r="T1457" s="3"/>
      <c r="W1457" s="86"/>
      <c r="Y1457" s="75"/>
    </row>
    <row r="1458" spans="1:25" x14ac:dyDescent="0.25">
      <c r="A1458" s="75"/>
      <c r="C1458" s="81"/>
      <c r="D1458" s="81"/>
      <c r="I1458" s="81"/>
      <c r="K1458" s="82"/>
      <c r="L1458" s="123"/>
      <c r="M1458" s="3"/>
      <c r="N1458" s="3"/>
      <c r="O1458" s="3"/>
      <c r="P1458" s="125"/>
      <c r="Q1458" s="125"/>
      <c r="R1458" s="127"/>
      <c r="S1458" s="123"/>
      <c r="T1458" s="3"/>
      <c r="W1458" s="86"/>
      <c r="Y1458" s="75"/>
    </row>
    <row r="1459" spans="1:25" x14ac:dyDescent="0.25">
      <c r="A1459" s="75"/>
      <c r="C1459" s="81"/>
      <c r="D1459" s="81"/>
      <c r="I1459" s="81"/>
      <c r="K1459" s="82"/>
      <c r="L1459" s="123"/>
      <c r="M1459" s="3"/>
      <c r="N1459" s="3"/>
      <c r="O1459" s="3"/>
      <c r="P1459" s="125"/>
      <c r="Q1459" s="125"/>
      <c r="R1459" s="127"/>
      <c r="S1459" s="123"/>
      <c r="T1459" s="3"/>
      <c r="W1459" s="86"/>
      <c r="Y1459" s="75"/>
    </row>
    <row r="1460" spans="1:25" x14ac:dyDescent="0.25">
      <c r="A1460" s="75"/>
      <c r="C1460" s="81"/>
      <c r="D1460" s="81"/>
      <c r="I1460" s="81"/>
      <c r="K1460" s="82"/>
      <c r="L1460" s="123"/>
      <c r="M1460" s="3"/>
      <c r="N1460" s="3"/>
      <c r="O1460" s="3"/>
      <c r="P1460" s="125"/>
      <c r="Q1460" s="125"/>
      <c r="R1460" s="127"/>
      <c r="S1460" s="123"/>
      <c r="T1460" s="3"/>
      <c r="W1460" s="86"/>
      <c r="Y1460" s="75"/>
    </row>
    <row r="1461" spans="1:25" x14ac:dyDescent="0.25">
      <c r="A1461" s="75"/>
      <c r="C1461" s="81"/>
      <c r="D1461" s="81"/>
      <c r="I1461" s="81"/>
      <c r="K1461" s="82"/>
      <c r="L1461" s="123"/>
      <c r="M1461" s="3"/>
      <c r="N1461" s="3"/>
      <c r="O1461" s="3"/>
      <c r="P1461" s="125"/>
      <c r="Q1461" s="125"/>
      <c r="R1461" s="127"/>
      <c r="S1461" s="123"/>
      <c r="T1461" s="3"/>
      <c r="W1461" s="86"/>
      <c r="Y1461" s="75"/>
    </row>
    <row r="1462" spans="1:25" x14ac:dyDescent="0.25">
      <c r="A1462" s="75"/>
      <c r="C1462" s="81"/>
      <c r="D1462" s="81"/>
      <c r="I1462" s="81"/>
      <c r="K1462" s="82"/>
      <c r="L1462" s="123"/>
      <c r="M1462" s="3"/>
      <c r="N1462" s="3"/>
      <c r="O1462" s="3"/>
      <c r="P1462" s="125"/>
      <c r="Q1462" s="125"/>
      <c r="R1462" s="127"/>
      <c r="S1462" s="123"/>
      <c r="T1462" s="3"/>
      <c r="W1462" s="86"/>
      <c r="Y1462" s="75"/>
    </row>
    <row r="1463" spans="1:25" x14ac:dyDescent="0.25">
      <c r="A1463" s="75"/>
      <c r="C1463" s="81"/>
      <c r="D1463" s="81"/>
      <c r="I1463" s="81"/>
      <c r="K1463" s="82"/>
      <c r="L1463" s="123"/>
      <c r="M1463" s="3"/>
      <c r="N1463" s="3"/>
      <c r="O1463" s="3"/>
      <c r="P1463" s="125"/>
      <c r="Q1463" s="125"/>
      <c r="R1463" s="127"/>
      <c r="S1463" s="123"/>
      <c r="T1463" s="3"/>
      <c r="W1463" s="86"/>
      <c r="Y1463" s="75"/>
    </row>
    <row r="1464" spans="1:25" x14ac:dyDescent="0.25">
      <c r="A1464" s="75"/>
      <c r="C1464" s="81"/>
      <c r="D1464" s="81"/>
      <c r="I1464" s="81"/>
      <c r="K1464" s="82"/>
      <c r="L1464" s="123"/>
      <c r="M1464" s="3"/>
      <c r="N1464" s="3"/>
      <c r="O1464" s="3"/>
      <c r="P1464" s="125"/>
      <c r="Q1464" s="125"/>
      <c r="R1464" s="127"/>
      <c r="S1464" s="123"/>
      <c r="T1464" s="3"/>
      <c r="W1464" s="86"/>
      <c r="Y1464" s="75"/>
    </row>
    <row r="1465" spans="1:25" x14ac:dyDescent="0.25">
      <c r="A1465" s="75"/>
      <c r="C1465" s="81"/>
      <c r="D1465" s="81"/>
      <c r="I1465" s="81"/>
      <c r="K1465" s="82"/>
      <c r="L1465" s="123"/>
      <c r="M1465" s="3"/>
      <c r="N1465" s="3"/>
      <c r="O1465" s="3"/>
      <c r="P1465" s="125"/>
      <c r="Q1465" s="125"/>
      <c r="R1465" s="127"/>
      <c r="S1465" s="123"/>
      <c r="T1465" s="3"/>
      <c r="W1465" s="86"/>
      <c r="Y1465" s="75"/>
    </row>
    <row r="1466" spans="1:25" x14ac:dyDescent="0.25">
      <c r="A1466" s="75"/>
      <c r="C1466" s="81"/>
      <c r="D1466" s="81"/>
      <c r="I1466" s="81"/>
      <c r="K1466" s="82"/>
      <c r="L1466" s="123"/>
      <c r="M1466" s="3"/>
      <c r="N1466" s="3"/>
      <c r="O1466" s="3"/>
      <c r="P1466" s="125"/>
      <c r="Q1466" s="125"/>
      <c r="R1466" s="127"/>
      <c r="S1466" s="123"/>
      <c r="T1466" s="3"/>
      <c r="W1466" s="86"/>
      <c r="Y1466" s="75"/>
    </row>
    <row r="1467" spans="1:25" x14ac:dyDescent="0.25">
      <c r="A1467" s="75"/>
      <c r="C1467" s="81"/>
      <c r="D1467" s="81"/>
      <c r="I1467" s="81"/>
      <c r="K1467" s="82"/>
      <c r="L1467" s="123"/>
      <c r="M1467" s="3"/>
      <c r="N1467" s="3"/>
      <c r="O1467" s="3"/>
      <c r="P1467" s="125"/>
      <c r="Q1467" s="125"/>
      <c r="R1467" s="127"/>
      <c r="S1467" s="123"/>
      <c r="T1467" s="3"/>
      <c r="W1467" s="86"/>
      <c r="Y1467" s="75"/>
    </row>
    <row r="1468" spans="1:25" x14ac:dyDescent="0.25">
      <c r="A1468" s="75"/>
      <c r="C1468" s="81"/>
      <c r="D1468" s="81"/>
      <c r="I1468" s="81"/>
      <c r="K1468" s="82"/>
      <c r="L1468" s="123"/>
      <c r="M1468" s="3"/>
      <c r="N1468" s="3"/>
      <c r="O1468" s="3"/>
      <c r="P1468" s="125"/>
      <c r="Q1468" s="125"/>
      <c r="R1468" s="127"/>
      <c r="S1468" s="123"/>
      <c r="T1468" s="3"/>
      <c r="W1468" s="86"/>
      <c r="Y1468" s="75"/>
    </row>
    <row r="1469" spans="1:25" x14ac:dyDescent="0.25">
      <c r="A1469" s="75"/>
      <c r="C1469" s="81"/>
      <c r="D1469" s="81"/>
      <c r="I1469" s="81"/>
      <c r="K1469" s="82"/>
      <c r="L1469" s="123"/>
      <c r="M1469" s="3"/>
      <c r="N1469" s="3"/>
      <c r="O1469" s="3"/>
      <c r="P1469" s="125"/>
      <c r="Q1469" s="125"/>
      <c r="R1469" s="127"/>
      <c r="S1469" s="123"/>
      <c r="T1469" s="3"/>
      <c r="W1469" s="86"/>
      <c r="Y1469" s="75"/>
    </row>
    <row r="1470" spans="1:25" x14ac:dyDescent="0.25">
      <c r="A1470" s="75"/>
      <c r="C1470" s="81"/>
      <c r="D1470" s="81"/>
      <c r="I1470" s="81"/>
      <c r="K1470" s="82"/>
      <c r="L1470" s="123"/>
      <c r="M1470" s="3"/>
      <c r="N1470" s="3"/>
      <c r="O1470" s="3"/>
      <c r="P1470" s="125"/>
      <c r="Q1470" s="125"/>
      <c r="R1470" s="127"/>
      <c r="S1470" s="123"/>
      <c r="T1470" s="3"/>
      <c r="W1470" s="86"/>
      <c r="Y1470" s="75"/>
    </row>
    <row r="1471" spans="1:25" x14ac:dyDescent="0.25">
      <c r="A1471" s="75"/>
      <c r="C1471" s="81"/>
      <c r="D1471" s="81"/>
      <c r="I1471" s="81"/>
      <c r="K1471" s="82"/>
      <c r="L1471" s="123"/>
      <c r="M1471" s="3"/>
      <c r="N1471" s="3"/>
      <c r="O1471" s="3"/>
      <c r="P1471" s="125"/>
      <c r="Q1471" s="125"/>
      <c r="R1471" s="127"/>
      <c r="S1471" s="123"/>
      <c r="T1471" s="3"/>
      <c r="W1471" s="86"/>
      <c r="Y1471" s="75"/>
    </row>
    <row r="1472" spans="1:25" x14ac:dyDescent="0.25">
      <c r="A1472" s="75"/>
      <c r="C1472" s="81"/>
      <c r="D1472" s="81"/>
      <c r="I1472" s="81"/>
      <c r="K1472" s="82"/>
      <c r="L1472" s="123"/>
      <c r="M1472" s="3"/>
      <c r="N1472" s="3"/>
      <c r="O1472" s="3"/>
      <c r="P1472" s="125"/>
      <c r="Q1472" s="125"/>
      <c r="R1472" s="127"/>
      <c r="S1472" s="123"/>
      <c r="T1472" s="3"/>
      <c r="W1472" s="86"/>
      <c r="Y1472" s="75"/>
    </row>
    <row r="1473" spans="1:25" x14ac:dyDescent="0.25">
      <c r="A1473" s="75"/>
      <c r="C1473" s="81"/>
      <c r="D1473" s="81"/>
      <c r="I1473" s="81"/>
      <c r="K1473" s="82"/>
      <c r="L1473" s="123"/>
      <c r="M1473" s="3"/>
      <c r="N1473" s="3"/>
      <c r="O1473" s="3"/>
      <c r="P1473" s="125"/>
      <c r="Q1473" s="125"/>
      <c r="R1473" s="127"/>
      <c r="S1473" s="123"/>
      <c r="T1473" s="3"/>
      <c r="W1473" s="86"/>
      <c r="Y1473" s="75"/>
    </row>
    <row r="1474" spans="1:25" x14ac:dyDescent="0.25">
      <c r="A1474" s="75"/>
      <c r="C1474" s="81"/>
      <c r="D1474" s="81"/>
      <c r="I1474" s="81"/>
      <c r="K1474" s="82"/>
      <c r="L1474" s="123"/>
      <c r="M1474" s="3"/>
      <c r="N1474" s="3"/>
      <c r="O1474" s="3"/>
      <c r="P1474" s="125"/>
      <c r="Q1474" s="125"/>
      <c r="R1474" s="127"/>
      <c r="S1474" s="123"/>
      <c r="T1474" s="3"/>
      <c r="W1474" s="86"/>
      <c r="Y1474" s="75"/>
    </row>
    <row r="1475" spans="1:25" x14ac:dyDescent="0.25">
      <c r="A1475" s="75"/>
      <c r="C1475" s="81"/>
      <c r="D1475" s="81"/>
      <c r="I1475" s="81"/>
      <c r="K1475" s="82"/>
      <c r="L1475" s="123"/>
      <c r="M1475" s="3"/>
      <c r="N1475" s="3"/>
      <c r="O1475" s="3"/>
      <c r="P1475" s="125"/>
      <c r="Q1475" s="125"/>
      <c r="R1475" s="127"/>
      <c r="S1475" s="123"/>
      <c r="T1475" s="3"/>
      <c r="W1475" s="86"/>
      <c r="Y1475" s="75"/>
    </row>
    <row r="1476" spans="1:25" x14ac:dyDescent="0.25">
      <c r="A1476" s="75"/>
      <c r="C1476" s="81"/>
      <c r="D1476" s="81"/>
      <c r="I1476" s="81"/>
      <c r="K1476" s="82"/>
      <c r="L1476" s="123"/>
      <c r="M1476" s="3"/>
      <c r="N1476" s="3"/>
      <c r="O1476" s="3"/>
      <c r="P1476" s="125"/>
      <c r="Q1476" s="125"/>
      <c r="R1476" s="127"/>
      <c r="S1476" s="123"/>
      <c r="T1476" s="3"/>
      <c r="W1476" s="86"/>
      <c r="Y1476" s="75"/>
    </row>
    <row r="1477" spans="1:25" x14ac:dyDescent="0.25">
      <c r="A1477" s="75"/>
      <c r="C1477" s="81"/>
      <c r="D1477" s="81"/>
      <c r="I1477" s="81"/>
      <c r="K1477" s="82"/>
      <c r="L1477" s="123"/>
      <c r="M1477" s="3"/>
      <c r="N1477" s="3"/>
      <c r="O1477" s="3"/>
      <c r="P1477" s="125"/>
      <c r="Q1477" s="125"/>
      <c r="R1477" s="127"/>
      <c r="S1477" s="123"/>
      <c r="T1477" s="3"/>
      <c r="W1477" s="86"/>
      <c r="Y1477" s="75"/>
    </row>
    <row r="1478" spans="1:25" x14ac:dyDescent="0.25">
      <c r="A1478" s="75"/>
      <c r="C1478" s="81"/>
      <c r="D1478" s="81"/>
      <c r="I1478" s="81"/>
      <c r="K1478" s="82"/>
      <c r="L1478" s="123"/>
      <c r="M1478" s="3"/>
      <c r="N1478" s="3"/>
      <c r="O1478" s="3"/>
      <c r="P1478" s="125"/>
      <c r="Q1478" s="125"/>
      <c r="R1478" s="127"/>
      <c r="S1478" s="123"/>
      <c r="T1478" s="3"/>
      <c r="W1478" s="86"/>
      <c r="Y1478" s="75"/>
    </row>
    <row r="1479" spans="1:25" x14ac:dyDescent="0.25">
      <c r="A1479" s="75"/>
      <c r="C1479" s="81"/>
      <c r="D1479" s="81"/>
      <c r="I1479" s="81"/>
      <c r="K1479" s="82"/>
      <c r="L1479" s="123"/>
      <c r="M1479" s="3"/>
      <c r="N1479" s="3"/>
      <c r="O1479" s="3"/>
      <c r="P1479" s="125"/>
      <c r="Q1479" s="125"/>
      <c r="R1479" s="127"/>
      <c r="S1479" s="123"/>
      <c r="T1479" s="3"/>
      <c r="W1479" s="86"/>
      <c r="Y1479" s="75"/>
    </row>
    <row r="1480" spans="1:25" x14ac:dyDescent="0.25">
      <c r="A1480" s="75"/>
      <c r="C1480" s="81"/>
      <c r="D1480" s="81"/>
      <c r="I1480" s="81"/>
      <c r="K1480" s="82"/>
      <c r="L1480" s="123"/>
      <c r="M1480" s="3"/>
      <c r="N1480" s="3"/>
      <c r="O1480" s="3"/>
      <c r="P1480" s="125"/>
      <c r="Q1480" s="125"/>
      <c r="R1480" s="127"/>
      <c r="S1480" s="123"/>
      <c r="T1480" s="3"/>
      <c r="W1480" s="86"/>
      <c r="Y1480" s="75"/>
    </row>
    <row r="1481" spans="1:25" x14ac:dyDescent="0.25">
      <c r="A1481" s="75"/>
      <c r="C1481" s="81"/>
      <c r="D1481" s="81"/>
      <c r="I1481" s="81"/>
      <c r="K1481" s="82"/>
      <c r="L1481" s="123"/>
      <c r="M1481" s="3"/>
      <c r="N1481" s="3"/>
      <c r="O1481" s="3"/>
      <c r="P1481" s="125"/>
      <c r="Q1481" s="125"/>
      <c r="R1481" s="127"/>
      <c r="S1481" s="123"/>
      <c r="T1481" s="3"/>
      <c r="W1481" s="86"/>
      <c r="Y1481" s="75"/>
    </row>
    <row r="1482" spans="1:25" x14ac:dyDescent="0.25">
      <c r="A1482" s="75"/>
      <c r="C1482" s="81"/>
      <c r="D1482" s="81"/>
      <c r="I1482" s="81"/>
      <c r="K1482" s="82"/>
      <c r="L1482" s="123"/>
      <c r="M1482" s="3"/>
      <c r="N1482" s="3"/>
      <c r="O1482" s="3"/>
      <c r="P1482" s="125"/>
      <c r="Q1482" s="125"/>
      <c r="R1482" s="127"/>
      <c r="S1482" s="123"/>
      <c r="T1482" s="3"/>
      <c r="W1482" s="86"/>
      <c r="Y1482" s="75"/>
    </row>
    <row r="1483" spans="1:25" x14ac:dyDescent="0.25">
      <c r="A1483" s="75"/>
      <c r="C1483" s="81"/>
      <c r="D1483" s="81"/>
      <c r="I1483" s="81"/>
      <c r="K1483" s="82"/>
      <c r="L1483" s="123"/>
      <c r="M1483" s="3"/>
      <c r="N1483" s="3"/>
      <c r="O1483" s="3"/>
      <c r="P1483" s="125"/>
      <c r="Q1483" s="125"/>
      <c r="R1483" s="127"/>
      <c r="S1483" s="123"/>
      <c r="T1483" s="3"/>
      <c r="W1483" s="86"/>
      <c r="Y1483" s="75"/>
    </row>
    <row r="1484" spans="1:25" x14ac:dyDescent="0.25">
      <c r="A1484" s="75"/>
      <c r="C1484" s="81"/>
      <c r="D1484" s="81"/>
      <c r="I1484" s="81"/>
      <c r="K1484" s="82"/>
      <c r="L1484" s="123"/>
      <c r="M1484" s="3"/>
      <c r="N1484" s="3"/>
      <c r="O1484" s="3"/>
      <c r="P1484" s="125"/>
      <c r="Q1484" s="125"/>
      <c r="R1484" s="127"/>
      <c r="S1484" s="123"/>
      <c r="T1484" s="3"/>
      <c r="W1484" s="86"/>
      <c r="Y1484" s="75"/>
    </row>
    <row r="1485" spans="1:25" x14ac:dyDescent="0.25">
      <c r="A1485" s="75"/>
      <c r="C1485" s="81"/>
      <c r="D1485" s="81"/>
      <c r="I1485" s="81"/>
      <c r="K1485" s="82"/>
      <c r="L1485" s="123"/>
      <c r="M1485" s="3"/>
      <c r="N1485" s="3"/>
      <c r="O1485" s="3"/>
      <c r="P1485" s="125"/>
      <c r="Q1485" s="125"/>
      <c r="R1485" s="127"/>
      <c r="S1485" s="123"/>
      <c r="T1485" s="3"/>
      <c r="W1485" s="86"/>
      <c r="Y1485" s="75"/>
    </row>
    <row r="1486" spans="1:25" x14ac:dyDescent="0.25">
      <c r="A1486" s="75"/>
      <c r="C1486" s="81"/>
      <c r="D1486" s="81"/>
      <c r="I1486" s="81"/>
      <c r="K1486" s="82"/>
      <c r="L1486" s="123"/>
      <c r="M1486" s="3"/>
      <c r="N1486" s="3"/>
      <c r="O1486" s="3"/>
      <c r="P1486" s="125"/>
      <c r="Q1486" s="125"/>
      <c r="R1486" s="127"/>
      <c r="S1486" s="123"/>
      <c r="T1486" s="3"/>
      <c r="W1486" s="86"/>
      <c r="Y1486" s="75"/>
    </row>
    <row r="1487" spans="1:25" x14ac:dyDescent="0.25">
      <c r="A1487" s="75"/>
      <c r="C1487" s="81"/>
      <c r="D1487" s="81"/>
      <c r="I1487" s="81"/>
      <c r="K1487" s="82"/>
      <c r="L1487" s="123"/>
      <c r="M1487" s="3"/>
      <c r="N1487" s="3"/>
      <c r="O1487" s="3"/>
      <c r="P1487" s="125"/>
      <c r="Q1487" s="125"/>
      <c r="R1487" s="127"/>
      <c r="S1487" s="123"/>
      <c r="T1487" s="3"/>
      <c r="W1487" s="86"/>
      <c r="Y1487" s="75"/>
    </row>
    <row r="1488" spans="1:25" x14ac:dyDescent="0.25">
      <c r="A1488" s="75"/>
      <c r="C1488" s="81"/>
      <c r="D1488" s="81"/>
      <c r="I1488" s="81"/>
      <c r="K1488" s="82"/>
      <c r="L1488" s="123"/>
      <c r="M1488" s="3"/>
      <c r="N1488" s="3"/>
      <c r="O1488" s="3"/>
      <c r="P1488" s="125"/>
      <c r="Q1488" s="125"/>
      <c r="R1488" s="127"/>
      <c r="S1488" s="123"/>
      <c r="T1488" s="3"/>
      <c r="W1488" s="86"/>
      <c r="Y1488" s="75"/>
    </row>
    <row r="1489" spans="1:25" x14ac:dyDescent="0.25">
      <c r="A1489" s="75"/>
      <c r="C1489" s="81"/>
      <c r="D1489" s="81"/>
      <c r="I1489" s="81"/>
      <c r="K1489" s="82"/>
      <c r="L1489" s="123"/>
      <c r="M1489" s="3"/>
      <c r="N1489" s="3"/>
      <c r="O1489" s="3"/>
      <c r="P1489" s="125"/>
      <c r="Q1489" s="125"/>
      <c r="R1489" s="127"/>
      <c r="S1489" s="123"/>
      <c r="T1489" s="3"/>
      <c r="W1489" s="86"/>
      <c r="Y1489" s="75"/>
    </row>
    <row r="1490" spans="1:25" x14ac:dyDescent="0.25">
      <c r="A1490" s="75"/>
      <c r="C1490" s="81"/>
      <c r="D1490" s="81"/>
      <c r="I1490" s="81"/>
      <c r="K1490" s="82"/>
      <c r="L1490" s="123"/>
      <c r="M1490" s="3"/>
      <c r="N1490" s="3"/>
      <c r="O1490" s="3"/>
      <c r="P1490" s="125"/>
      <c r="Q1490" s="125"/>
      <c r="R1490" s="127"/>
      <c r="S1490" s="123"/>
      <c r="T1490" s="3"/>
      <c r="W1490" s="86"/>
      <c r="Y1490" s="75"/>
    </row>
    <row r="1491" spans="1:25" x14ac:dyDescent="0.25">
      <c r="A1491" s="75"/>
      <c r="C1491" s="81"/>
      <c r="D1491" s="81"/>
      <c r="I1491" s="81"/>
      <c r="K1491" s="82"/>
      <c r="L1491" s="123"/>
      <c r="M1491" s="3"/>
      <c r="N1491" s="3"/>
      <c r="O1491" s="3"/>
      <c r="P1491" s="125"/>
      <c r="Q1491" s="125"/>
      <c r="R1491" s="127"/>
      <c r="S1491" s="123"/>
      <c r="T1491" s="3"/>
      <c r="W1491" s="86"/>
      <c r="Y1491" s="75"/>
    </row>
    <row r="1492" spans="1:25" x14ac:dyDescent="0.25">
      <c r="A1492" s="75"/>
      <c r="C1492" s="81"/>
      <c r="D1492" s="81"/>
      <c r="I1492" s="81"/>
      <c r="K1492" s="82"/>
      <c r="L1492" s="123"/>
      <c r="M1492" s="3"/>
      <c r="N1492" s="3"/>
      <c r="O1492" s="3"/>
      <c r="P1492" s="125"/>
      <c r="Q1492" s="125"/>
      <c r="R1492" s="127"/>
      <c r="S1492" s="123"/>
      <c r="T1492" s="3"/>
      <c r="W1492" s="86"/>
      <c r="Y1492" s="75"/>
    </row>
    <row r="1493" spans="1:25" x14ac:dyDescent="0.25">
      <c r="A1493" s="75"/>
      <c r="C1493" s="81"/>
      <c r="D1493" s="81"/>
      <c r="I1493" s="81"/>
      <c r="K1493" s="82"/>
      <c r="L1493" s="123"/>
      <c r="M1493" s="3"/>
      <c r="N1493" s="3"/>
      <c r="O1493" s="3"/>
      <c r="P1493" s="125"/>
      <c r="Q1493" s="125"/>
      <c r="R1493" s="127"/>
      <c r="S1493" s="123"/>
      <c r="T1493" s="3"/>
      <c r="W1493" s="86"/>
      <c r="Y1493" s="75"/>
    </row>
    <row r="1494" spans="1:25" x14ac:dyDescent="0.25">
      <c r="A1494" s="75"/>
      <c r="C1494" s="81"/>
      <c r="D1494" s="81"/>
      <c r="I1494" s="81"/>
      <c r="K1494" s="82"/>
      <c r="L1494" s="123"/>
      <c r="M1494" s="3"/>
      <c r="N1494" s="3"/>
      <c r="O1494" s="3"/>
      <c r="P1494" s="125"/>
      <c r="Q1494" s="125"/>
      <c r="R1494" s="127"/>
      <c r="S1494" s="123"/>
      <c r="T1494" s="3"/>
      <c r="W1494" s="86"/>
      <c r="Y1494" s="75"/>
    </row>
    <row r="1495" spans="1:25" x14ac:dyDescent="0.25">
      <c r="A1495" s="75"/>
      <c r="C1495" s="81"/>
      <c r="D1495" s="81"/>
      <c r="I1495" s="81"/>
      <c r="K1495" s="82"/>
      <c r="L1495" s="123"/>
      <c r="M1495" s="3"/>
      <c r="N1495" s="3"/>
      <c r="O1495" s="3"/>
      <c r="P1495" s="125"/>
      <c r="Q1495" s="125"/>
      <c r="R1495" s="127"/>
      <c r="S1495" s="123"/>
      <c r="T1495" s="3"/>
      <c r="W1495" s="86"/>
      <c r="Y1495" s="75"/>
    </row>
    <row r="1496" spans="1:25" x14ac:dyDescent="0.25">
      <c r="A1496" s="75"/>
      <c r="C1496" s="81"/>
      <c r="D1496" s="81"/>
      <c r="I1496" s="81"/>
      <c r="K1496" s="82"/>
      <c r="L1496" s="123"/>
      <c r="M1496" s="3"/>
      <c r="N1496" s="3"/>
      <c r="O1496" s="3"/>
      <c r="P1496" s="125"/>
      <c r="Q1496" s="125"/>
      <c r="R1496" s="127"/>
      <c r="S1496" s="123"/>
      <c r="T1496" s="3"/>
      <c r="W1496" s="86"/>
      <c r="Y1496" s="75"/>
    </row>
    <row r="1497" spans="1:25" x14ac:dyDescent="0.25">
      <c r="A1497" s="75"/>
      <c r="C1497" s="81"/>
      <c r="D1497" s="81"/>
      <c r="I1497" s="81"/>
      <c r="K1497" s="82"/>
      <c r="L1497" s="123"/>
      <c r="M1497" s="3"/>
      <c r="N1497" s="3"/>
      <c r="O1497" s="3"/>
      <c r="P1497" s="125"/>
      <c r="Q1497" s="125"/>
      <c r="R1497" s="127"/>
      <c r="S1497" s="123"/>
      <c r="T1497" s="3"/>
      <c r="W1497" s="86"/>
      <c r="Y1497" s="75"/>
    </row>
    <row r="1498" spans="1:25" x14ac:dyDescent="0.25">
      <c r="A1498" s="75"/>
      <c r="C1498" s="81"/>
      <c r="D1498" s="81"/>
      <c r="I1498" s="81"/>
      <c r="K1498" s="82"/>
      <c r="L1498" s="123"/>
      <c r="M1498" s="3"/>
      <c r="N1498" s="3"/>
      <c r="O1498" s="3"/>
      <c r="P1498" s="125"/>
      <c r="Q1498" s="125"/>
      <c r="R1498" s="127"/>
      <c r="S1498" s="123"/>
      <c r="T1498" s="3"/>
      <c r="W1498" s="86"/>
      <c r="Y1498" s="75"/>
    </row>
    <row r="1499" spans="1:25" x14ac:dyDescent="0.25">
      <c r="A1499" s="75"/>
      <c r="C1499" s="81"/>
      <c r="D1499" s="81"/>
      <c r="I1499" s="81"/>
      <c r="K1499" s="82"/>
      <c r="L1499" s="123"/>
      <c r="M1499" s="3"/>
      <c r="N1499" s="3"/>
      <c r="O1499" s="3"/>
      <c r="P1499" s="125"/>
      <c r="Q1499" s="125"/>
      <c r="R1499" s="127"/>
      <c r="S1499" s="123"/>
      <c r="T1499" s="3"/>
      <c r="W1499" s="86"/>
      <c r="Y1499" s="75"/>
    </row>
    <row r="1500" spans="1:25" x14ac:dyDescent="0.25">
      <c r="A1500" s="75"/>
      <c r="C1500" s="81"/>
      <c r="D1500" s="81"/>
      <c r="I1500" s="81"/>
      <c r="K1500" s="82"/>
      <c r="L1500" s="123"/>
      <c r="M1500" s="3"/>
      <c r="N1500" s="3"/>
      <c r="O1500" s="3"/>
      <c r="P1500" s="125"/>
      <c r="Q1500" s="125"/>
      <c r="R1500" s="127"/>
      <c r="S1500" s="123"/>
      <c r="T1500" s="3"/>
      <c r="W1500" s="86"/>
      <c r="Y1500" s="75"/>
    </row>
    <row r="1501" spans="1:25" x14ac:dyDescent="0.25">
      <c r="A1501" s="75"/>
      <c r="C1501" s="81"/>
      <c r="D1501" s="81"/>
      <c r="I1501" s="81"/>
      <c r="K1501" s="82"/>
      <c r="L1501" s="123"/>
      <c r="M1501" s="3"/>
      <c r="N1501" s="3"/>
      <c r="O1501" s="3"/>
      <c r="P1501" s="125"/>
      <c r="Q1501" s="125"/>
      <c r="R1501" s="127"/>
      <c r="S1501" s="123"/>
      <c r="T1501" s="3"/>
      <c r="W1501" s="86"/>
      <c r="Y1501" s="75"/>
    </row>
    <row r="1502" spans="1:25" x14ac:dyDescent="0.25">
      <c r="A1502" s="75"/>
      <c r="C1502" s="81"/>
      <c r="D1502" s="81"/>
      <c r="I1502" s="81"/>
      <c r="K1502" s="82"/>
      <c r="L1502" s="123"/>
      <c r="M1502" s="3"/>
      <c r="N1502" s="3"/>
      <c r="O1502" s="3"/>
      <c r="P1502" s="125"/>
      <c r="Q1502" s="125"/>
      <c r="R1502" s="127"/>
      <c r="S1502" s="123"/>
      <c r="T1502" s="3"/>
      <c r="W1502" s="86"/>
      <c r="Y1502" s="75"/>
    </row>
    <row r="1503" spans="1:25" x14ac:dyDescent="0.25">
      <c r="A1503" s="75"/>
      <c r="C1503" s="81"/>
      <c r="D1503" s="81"/>
      <c r="I1503" s="81"/>
      <c r="K1503" s="82"/>
      <c r="L1503" s="123"/>
      <c r="M1503" s="3"/>
      <c r="N1503" s="3"/>
      <c r="O1503" s="3"/>
      <c r="P1503" s="125"/>
      <c r="Q1503" s="125"/>
      <c r="R1503" s="127"/>
      <c r="S1503" s="123"/>
      <c r="T1503" s="3"/>
      <c r="W1503" s="86"/>
      <c r="Y1503" s="75"/>
    </row>
    <row r="1504" spans="1:25" x14ac:dyDescent="0.25">
      <c r="A1504" s="75"/>
      <c r="C1504" s="81"/>
      <c r="D1504" s="81"/>
      <c r="I1504" s="81"/>
      <c r="K1504" s="82"/>
      <c r="L1504" s="123"/>
      <c r="M1504" s="3"/>
      <c r="N1504" s="3"/>
      <c r="O1504" s="3"/>
      <c r="P1504" s="125"/>
      <c r="Q1504" s="125"/>
      <c r="R1504" s="127"/>
      <c r="S1504" s="123"/>
      <c r="T1504" s="3"/>
      <c r="W1504" s="86"/>
      <c r="Y1504" s="75"/>
    </row>
    <row r="1505" spans="1:25" x14ac:dyDescent="0.25">
      <c r="A1505" s="75"/>
      <c r="C1505" s="81"/>
      <c r="D1505" s="81"/>
      <c r="I1505" s="81"/>
      <c r="K1505" s="82"/>
      <c r="L1505" s="123"/>
      <c r="M1505" s="3"/>
      <c r="N1505" s="3"/>
      <c r="O1505" s="3"/>
      <c r="P1505" s="125"/>
      <c r="Q1505" s="125"/>
      <c r="R1505" s="127"/>
      <c r="S1505" s="123"/>
      <c r="T1505" s="3"/>
      <c r="W1505" s="86"/>
      <c r="Y1505" s="75"/>
    </row>
    <row r="1506" spans="1:25" x14ac:dyDescent="0.25">
      <c r="A1506" s="75"/>
      <c r="C1506" s="81"/>
      <c r="D1506" s="81"/>
      <c r="I1506" s="81"/>
      <c r="K1506" s="82"/>
      <c r="L1506" s="123"/>
      <c r="M1506" s="3"/>
      <c r="N1506" s="3"/>
      <c r="O1506" s="3"/>
      <c r="P1506" s="125"/>
      <c r="Q1506" s="125"/>
      <c r="R1506" s="127"/>
      <c r="S1506" s="123"/>
      <c r="T1506" s="3"/>
      <c r="W1506" s="86"/>
      <c r="Y1506" s="75"/>
    </row>
    <row r="1507" spans="1:25" x14ac:dyDescent="0.25">
      <c r="A1507" s="75"/>
      <c r="C1507" s="81"/>
      <c r="D1507" s="81"/>
      <c r="I1507" s="81"/>
      <c r="K1507" s="82"/>
      <c r="L1507" s="123"/>
      <c r="M1507" s="3"/>
      <c r="N1507" s="3"/>
      <c r="O1507" s="3"/>
      <c r="P1507" s="125"/>
      <c r="Q1507" s="125"/>
      <c r="R1507" s="127"/>
      <c r="S1507" s="123"/>
      <c r="T1507" s="3"/>
      <c r="W1507" s="86"/>
      <c r="Y1507" s="75"/>
    </row>
    <row r="1508" spans="1:25" x14ac:dyDescent="0.25">
      <c r="A1508" s="75"/>
      <c r="C1508" s="81"/>
      <c r="D1508" s="81"/>
      <c r="I1508" s="81"/>
      <c r="K1508" s="82"/>
      <c r="L1508" s="123"/>
      <c r="M1508" s="3"/>
      <c r="N1508" s="3"/>
      <c r="O1508" s="3"/>
      <c r="P1508" s="125"/>
      <c r="Q1508" s="125"/>
      <c r="R1508" s="127"/>
      <c r="S1508" s="123"/>
      <c r="T1508" s="3"/>
      <c r="W1508" s="86"/>
      <c r="Y1508" s="75"/>
    </row>
    <row r="1509" spans="1:25" x14ac:dyDescent="0.25">
      <c r="A1509" s="75"/>
      <c r="C1509" s="81"/>
      <c r="D1509" s="81"/>
      <c r="I1509" s="81"/>
      <c r="K1509" s="82"/>
      <c r="L1509" s="123"/>
      <c r="M1509" s="3"/>
      <c r="N1509" s="3"/>
      <c r="O1509" s="3"/>
      <c r="P1509" s="125"/>
      <c r="Q1509" s="125"/>
      <c r="R1509" s="127"/>
      <c r="S1509" s="123"/>
      <c r="T1509" s="3"/>
      <c r="W1509" s="86"/>
      <c r="Y1509" s="75"/>
    </row>
    <row r="1510" spans="1:25" x14ac:dyDescent="0.25">
      <c r="A1510" s="75"/>
      <c r="C1510" s="81"/>
      <c r="D1510" s="81"/>
      <c r="I1510" s="81"/>
      <c r="K1510" s="82"/>
      <c r="L1510" s="123"/>
      <c r="M1510" s="3"/>
      <c r="N1510" s="3"/>
      <c r="O1510" s="3"/>
      <c r="P1510" s="125"/>
      <c r="Q1510" s="125"/>
      <c r="R1510" s="127"/>
      <c r="S1510" s="123"/>
      <c r="T1510" s="3"/>
      <c r="W1510" s="86"/>
      <c r="Y1510" s="75"/>
    </row>
    <row r="1511" spans="1:25" x14ac:dyDescent="0.25">
      <c r="A1511" s="75"/>
      <c r="C1511" s="81"/>
      <c r="D1511" s="81"/>
      <c r="I1511" s="81"/>
      <c r="K1511" s="82"/>
      <c r="L1511" s="123"/>
      <c r="M1511" s="3"/>
      <c r="N1511" s="3"/>
      <c r="O1511" s="3"/>
      <c r="P1511" s="125"/>
      <c r="Q1511" s="125"/>
      <c r="R1511" s="127"/>
      <c r="S1511" s="123"/>
      <c r="T1511" s="3"/>
      <c r="W1511" s="86"/>
      <c r="Y1511" s="75"/>
    </row>
    <row r="1512" spans="1:25" x14ac:dyDescent="0.25">
      <c r="A1512" s="75"/>
      <c r="C1512" s="81"/>
      <c r="D1512" s="81"/>
      <c r="I1512" s="81"/>
      <c r="K1512" s="82"/>
      <c r="L1512" s="123"/>
      <c r="M1512" s="3"/>
      <c r="N1512" s="3"/>
      <c r="O1512" s="3"/>
      <c r="P1512" s="125"/>
      <c r="Q1512" s="125"/>
      <c r="R1512" s="127"/>
      <c r="S1512" s="123"/>
      <c r="T1512" s="3"/>
      <c r="W1512" s="86"/>
      <c r="Y1512" s="75"/>
    </row>
    <row r="1513" spans="1:25" x14ac:dyDescent="0.25">
      <c r="A1513" s="75"/>
      <c r="C1513" s="81"/>
      <c r="D1513" s="81"/>
      <c r="I1513" s="81"/>
      <c r="K1513" s="82"/>
      <c r="L1513" s="123"/>
      <c r="M1513" s="3"/>
      <c r="N1513" s="3"/>
      <c r="O1513" s="3"/>
      <c r="P1513" s="125"/>
      <c r="Q1513" s="125"/>
      <c r="R1513" s="127"/>
      <c r="S1513" s="123"/>
      <c r="T1513" s="3"/>
      <c r="W1513" s="86"/>
      <c r="Y1513" s="75"/>
    </row>
    <row r="1514" spans="1:25" x14ac:dyDescent="0.25">
      <c r="A1514" s="75"/>
      <c r="C1514" s="81"/>
      <c r="D1514" s="81"/>
      <c r="I1514" s="81"/>
      <c r="K1514" s="82"/>
      <c r="L1514" s="123"/>
      <c r="M1514" s="3"/>
      <c r="N1514" s="3"/>
      <c r="O1514" s="3"/>
      <c r="P1514" s="125"/>
      <c r="Q1514" s="125"/>
      <c r="R1514" s="127"/>
      <c r="S1514" s="123"/>
      <c r="T1514" s="3"/>
      <c r="W1514" s="86"/>
      <c r="Y1514" s="75"/>
    </row>
    <row r="1515" spans="1:25" x14ac:dyDescent="0.25">
      <c r="A1515" s="75"/>
      <c r="C1515" s="81"/>
      <c r="D1515" s="81"/>
      <c r="I1515" s="81"/>
      <c r="K1515" s="82"/>
      <c r="L1515" s="123"/>
      <c r="M1515" s="3"/>
      <c r="N1515" s="3"/>
      <c r="O1515" s="3"/>
      <c r="P1515" s="125"/>
      <c r="Q1515" s="125"/>
      <c r="R1515" s="127"/>
      <c r="S1515" s="123"/>
      <c r="T1515" s="3"/>
      <c r="W1515" s="86"/>
      <c r="Y1515" s="75"/>
    </row>
    <row r="1516" spans="1:25" x14ac:dyDescent="0.25">
      <c r="A1516" s="75"/>
      <c r="C1516" s="81"/>
      <c r="D1516" s="81"/>
      <c r="I1516" s="81"/>
      <c r="K1516" s="82"/>
      <c r="L1516" s="123"/>
      <c r="M1516" s="3"/>
      <c r="N1516" s="3"/>
      <c r="O1516" s="3"/>
      <c r="P1516" s="125"/>
      <c r="Q1516" s="125"/>
      <c r="R1516" s="127"/>
      <c r="S1516" s="123"/>
      <c r="T1516" s="3"/>
      <c r="W1516" s="86"/>
      <c r="Y1516" s="75"/>
    </row>
    <row r="1517" spans="1:25" x14ac:dyDescent="0.25">
      <c r="A1517" s="75"/>
      <c r="C1517" s="81"/>
      <c r="D1517" s="81"/>
      <c r="I1517" s="81"/>
      <c r="K1517" s="82"/>
      <c r="L1517" s="123"/>
      <c r="M1517" s="3"/>
      <c r="N1517" s="3"/>
      <c r="O1517" s="3"/>
      <c r="P1517" s="125"/>
      <c r="Q1517" s="125"/>
      <c r="R1517" s="127"/>
      <c r="S1517" s="123"/>
      <c r="T1517" s="3"/>
      <c r="W1517" s="86"/>
      <c r="Y1517" s="75"/>
    </row>
    <row r="1518" spans="1:25" x14ac:dyDescent="0.25">
      <c r="A1518" s="75"/>
      <c r="C1518" s="81"/>
      <c r="D1518" s="81"/>
      <c r="I1518" s="81"/>
      <c r="K1518" s="82"/>
      <c r="L1518" s="123"/>
      <c r="M1518" s="3"/>
      <c r="N1518" s="3"/>
      <c r="O1518" s="3"/>
      <c r="P1518" s="125"/>
      <c r="Q1518" s="125"/>
      <c r="R1518" s="127"/>
      <c r="S1518" s="123"/>
      <c r="T1518" s="3"/>
      <c r="W1518" s="86"/>
      <c r="Y1518" s="75"/>
    </row>
    <row r="1519" spans="1:25" x14ac:dyDescent="0.25">
      <c r="A1519" s="75"/>
      <c r="C1519" s="81"/>
      <c r="D1519" s="81"/>
      <c r="I1519" s="81"/>
      <c r="K1519" s="82"/>
      <c r="L1519" s="123"/>
      <c r="M1519" s="3"/>
      <c r="N1519" s="3"/>
      <c r="O1519" s="3"/>
      <c r="P1519" s="125"/>
      <c r="Q1519" s="125"/>
      <c r="R1519" s="127"/>
      <c r="S1519" s="123"/>
      <c r="T1519" s="3"/>
      <c r="W1519" s="86"/>
      <c r="Y1519" s="75"/>
    </row>
    <row r="1520" spans="1:25" x14ac:dyDescent="0.25">
      <c r="A1520" s="75"/>
      <c r="C1520" s="81"/>
      <c r="D1520" s="81"/>
      <c r="I1520" s="81"/>
      <c r="K1520" s="82"/>
      <c r="L1520" s="123"/>
      <c r="M1520" s="3"/>
      <c r="N1520" s="3"/>
      <c r="O1520" s="3"/>
      <c r="P1520" s="125"/>
      <c r="Q1520" s="125"/>
      <c r="R1520" s="127"/>
      <c r="S1520" s="123"/>
      <c r="T1520" s="3"/>
      <c r="W1520" s="86"/>
      <c r="Y1520" s="75"/>
    </row>
    <row r="1521" spans="1:25" x14ac:dyDescent="0.25">
      <c r="A1521" s="75"/>
      <c r="C1521" s="81"/>
      <c r="D1521" s="81"/>
      <c r="I1521" s="81"/>
      <c r="K1521" s="82"/>
      <c r="L1521" s="123"/>
      <c r="M1521" s="3"/>
      <c r="N1521" s="3"/>
      <c r="O1521" s="3"/>
      <c r="P1521" s="125"/>
      <c r="Q1521" s="125"/>
      <c r="R1521" s="127"/>
      <c r="S1521" s="123"/>
      <c r="T1521" s="3"/>
      <c r="W1521" s="86"/>
      <c r="Y1521" s="75"/>
    </row>
    <row r="1522" spans="1:25" x14ac:dyDescent="0.25">
      <c r="A1522" s="75"/>
      <c r="C1522" s="81"/>
      <c r="D1522" s="81"/>
      <c r="I1522" s="81"/>
      <c r="K1522" s="82"/>
      <c r="L1522" s="123"/>
      <c r="M1522" s="3"/>
      <c r="N1522" s="3"/>
      <c r="O1522" s="3"/>
      <c r="P1522" s="125"/>
      <c r="Q1522" s="125"/>
      <c r="R1522" s="127"/>
      <c r="S1522" s="123"/>
      <c r="T1522" s="3"/>
      <c r="W1522" s="86"/>
      <c r="Y1522" s="75"/>
    </row>
    <row r="1523" spans="1:25" x14ac:dyDescent="0.25">
      <c r="A1523" s="75"/>
      <c r="C1523" s="81"/>
      <c r="D1523" s="81"/>
      <c r="I1523" s="81"/>
      <c r="K1523" s="82"/>
      <c r="L1523" s="123"/>
      <c r="M1523" s="3"/>
      <c r="N1523" s="3"/>
      <c r="O1523" s="3"/>
      <c r="P1523" s="125"/>
      <c r="Q1523" s="125"/>
      <c r="R1523" s="127"/>
      <c r="S1523" s="123"/>
      <c r="T1523" s="3"/>
      <c r="W1523" s="86"/>
      <c r="Y1523" s="75"/>
    </row>
    <row r="1524" spans="1:25" x14ac:dyDescent="0.25">
      <c r="A1524" s="75"/>
      <c r="C1524" s="81"/>
      <c r="D1524" s="81"/>
      <c r="I1524" s="81"/>
      <c r="K1524" s="82"/>
      <c r="L1524" s="123"/>
      <c r="M1524" s="3"/>
      <c r="N1524" s="3"/>
      <c r="O1524" s="3"/>
      <c r="P1524" s="125"/>
      <c r="Q1524" s="125"/>
      <c r="R1524" s="127"/>
      <c r="S1524" s="123"/>
      <c r="T1524" s="3"/>
      <c r="W1524" s="86"/>
      <c r="Y1524" s="75"/>
    </row>
    <row r="1525" spans="1:25" x14ac:dyDescent="0.25">
      <c r="A1525" s="75"/>
      <c r="C1525" s="81"/>
      <c r="D1525" s="81"/>
      <c r="I1525" s="81"/>
      <c r="K1525" s="82"/>
      <c r="L1525" s="123"/>
      <c r="M1525" s="3"/>
      <c r="N1525" s="3"/>
      <c r="O1525" s="3"/>
      <c r="P1525" s="125"/>
      <c r="Q1525" s="125"/>
      <c r="R1525" s="127"/>
      <c r="S1525" s="123"/>
      <c r="T1525" s="3"/>
      <c r="W1525" s="86"/>
      <c r="Y1525" s="75"/>
    </row>
    <row r="1526" spans="1:25" x14ac:dyDescent="0.25">
      <c r="A1526" s="75"/>
      <c r="C1526" s="81"/>
      <c r="D1526" s="81"/>
      <c r="I1526" s="81"/>
      <c r="K1526" s="82"/>
      <c r="L1526" s="123"/>
      <c r="M1526" s="3"/>
      <c r="N1526" s="3"/>
      <c r="O1526" s="3"/>
      <c r="P1526" s="125"/>
      <c r="Q1526" s="125"/>
      <c r="R1526" s="127"/>
      <c r="S1526" s="123"/>
      <c r="T1526" s="3"/>
      <c r="W1526" s="86"/>
      <c r="Y1526" s="75"/>
    </row>
    <row r="1527" spans="1:25" x14ac:dyDescent="0.25">
      <c r="A1527" s="75"/>
      <c r="C1527" s="81"/>
      <c r="D1527" s="81"/>
      <c r="I1527" s="81"/>
      <c r="K1527" s="82"/>
      <c r="L1527" s="123"/>
      <c r="M1527" s="3"/>
      <c r="N1527" s="3"/>
      <c r="O1527" s="3"/>
      <c r="P1527" s="125"/>
      <c r="Q1527" s="125"/>
      <c r="R1527" s="127"/>
      <c r="S1527" s="123"/>
      <c r="T1527" s="3"/>
      <c r="W1527" s="86"/>
      <c r="Y1527" s="75"/>
    </row>
    <row r="1528" spans="1:25" x14ac:dyDescent="0.25">
      <c r="A1528" s="75"/>
      <c r="C1528" s="81"/>
      <c r="D1528" s="81"/>
      <c r="I1528" s="81"/>
      <c r="K1528" s="82"/>
      <c r="L1528" s="123"/>
      <c r="M1528" s="3"/>
      <c r="N1528" s="3"/>
      <c r="O1528" s="3"/>
      <c r="P1528" s="125"/>
      <c r="Q1528" s="125"/>
      <c r="R1528" s="127"/>
      <c r="S1528" s="123"/>
      <c r="T1528" s="3"/>
      <c r="W1528" s="86"/>
      <c r="Y1528" s="75"/>
    </row>
    <row r="1529" spans="1:25" x14ac:dyDescent="0.25">
      <c r="A1529" s="75"/>
      <c r="C1529" s="81"/>
      <c r="D1529" s="81"/>
      <c r="I1529" s="81"/>
      <c r="K1529" s="82"/>
      <c r="L1529" s="123"/>
      <c r="M1529" s="3"/>
      <c r="N1529" s="3"/>
      <c r="O1529" s="3"/>
      <c r="P1529" s="125"/>
      <c r="Q1529" s="125"/>
      <c r="R1529" s="127"/>
      <c r="S1529" s="123"/>
      <c r="T1529" s="3"/>
      <c r="W1529" s="86"/>
      <c r="Y1529" s="75"/>
    </row>
    <row r="1530" spans="1:25" x14ac:dyDescent="0.25">
      <c r="A1530" s="75"/>
      <c r="C1530" s="81"/>
      <c r="D1530" s="81"/>
      <c r="I1530" s="81"/>
      <c r="K1530" s="82"/>
      <c r="L1530" s="123"/>
      <c r="M1530" s="3"/>
      <c r="N1530" s="3"/>
      <c r="O1530" s="3"/>
      <c r="P1530" s="125"/>
      <c r="Q1530" s="125"/>
      <c r="R1530" s="127"/>
      <c r="S1530" s="123"/>
      <c r="T1530" s="3"/>
      <c r="W1530" s="86"/>
      <c r="Y1530" s="75"/>
    </row>
    <row r="1531" spans="1:25" x14ac:dyDescent="0.25">
      <c r="A1531" s="75"/>
      <c r="C1531" s="81"/>
      <c r="D1531" s="81"/>
      <c r="I1531" s="81"/>
      <c r="K1531" s="82"/>
      <c r="L1531" s="123"/>
      <c r="M1531" s="3"/>
      <c r="N1531" s="3"/>
      <c r="O1531" s="3"/>
      <c r="P1531" s="125"/>
      <c r="Q1531" s="125"/>
      <c r="R1531" s="127"/>
      <c r="S1531" s="123"/>
      <c r="T1531" s="3"/>
      <c r="W1531" s="86"/>
      <c r="Y1531" s="75"/>
    </row>
    <row r="1532" spans="1:25" x14ac:dyDescent="0.25">
      <c r="A1532" s="75"/>
      <c r="C1532" s="81"/>
      <c r="D1532" s="81"/>
      <c r="I1532" s="81"/>
      <c r="K1532" s="82"/>
      <c r="L1532" s="123"/>
      <c r="M1532" s="3"/>
      <c r="N1532" s="3"/>
      <c r="O1532" s="3"/>
      <c r="P1532" s="125"/>
      <c r="Q1532" s="125"/>
      <c r="R1532" s="127"/>
      <c r="S1532" s="123"/>
      <c r="T1532" s="3"/>
      <c r="W1532" s="86"/>
      <c r="Y1532" s="75"/>
    </row>
    <row r="1533" spans="1:25" x14ac:dyDescent="0.25">
      <c r="A1533" s="75"/>
      <c r="C1533" s="81"/>
      <c r="D1533" s="81"/>
      <c r="I1533" s="81"/>
      <c r="K1533" s="82"/>
      <c r="L1533" s="123"/>
      <c r="M1533" s="3"/>
      <c r="N1533" s="3"/>
      <c r="O1533" s="3"/>
      <c r="P1533" s="125"/>
      <c r="Q1533" s="125"/>
      <c r="R1533" s="127"/>
      <c r="S1533" s="123"/>
      <c r="T1533" s="3"/>
      <c r="W1533" s="86"/>
      <c r="Y1533" s="75"/>
    </row>
    <row r="1534" spans="1:25" x14ac:dyDescent="0.25">
      <c r="A1534" s="75"/>
      <c r="C1534" s="81"/>
      <c r="D1534" s="81"/>
      <c r="I1534" s="81"/>
      <c r="K1534" s="82"/>
      <c r="L1534" s="123"/>
      <c r="M1534" s="3"/>
      <c r="N1534" s="3"/>
      <c r="O1534" s="3"/>
      <c r="P1534" s="125"/>
      <c r="Q1534" s="125"/>
      <c r="R1534" s="127"/>
      <c r="S1534" s="123"/>
      <c r="T1534" s="3"/>
      <c r="W1534" s="86"/>
      <c r="Y1534" s="75"/>
    </row>
    <row r="1535" spans="1:25" x14ac:dyDescent="0.25">
      <c r="A1535" s="75"/>
      <c r="C1535" s="81"/>
      <c r="D1535" s="81"/>
      <c r="I1535" s="81"/>
      <c r="K1535" s="82"/>
      <c r="L1535" s="123"/>
      <c r="M1535" s="3"/>
      <c r="N1535" s="3"/>
      <c r="O1535" s="3"/>
      <c r="P1535" s="125"/>
      <c r="Q1535" s="125"/>
      <c r="R1535" s="127"/>
      <c r="S1535" s="123"/>
      <c r="T1535" s="3"/>
      <c r="W1535" s="86"/>
      <c r="Y1535" s="75"/>
    </row>
    <row r="1536" spans="1:25" x14ac:dyDescent="0.25">
      <c r="A1536" s="75"/>
      <c r="C1536" s="81"/>
      <c r="D1536" s="81"/>
      <c r="I1536" s="81"/>
      <c r="K1536" s="82"/>
      <c r="L1536" s="123"/>
      <c r="M1536" s="3"/>
      <c r="N1536" s="3"/>
      <c r="O1536" s="3"/>
      <c r="P1536" s="125"/>
      <c r="Q1536" s="125"/>
      <c r="R1536" s="127"/>
      <c r="S1536" s="123"/>
      <c r="T1536" s="3"/>
      <c r="W1536" s="86"/>
      <c r="Y1536" s="75"/>
    </row>
    <row r="1537" spans="1:25" x14ac:dyDescent="0.25">
      <c r="A1537" s="75"/>
      <c r="C1537" s="81"/>
      <c r="D1537" s="81"/>
      <c r="I1537" s="81"/>
      <c r="K1537" s="82"/>
      <c r="L1537" s="123"/>
      <c r="M1537" s="3"/>
      <c r="N1537" s="3"/>
      <c r="O1537" s="3"/>
      <c r="P1537" s="125"/>
      <c r="Q1537" s="125"/>
      <c r="R1537" s="127"/>
      <c r="S1537" s="123"/>
      <c r="T1537" s="3"/>
      <c r="W1537" s="86"/>
      <c r="Y1537" s="75"/>
    </row>
    <row r="1538" spans="1:25" x14ac:dyDescent="0.25">
      <c r="A1538" s="75"/>
      <c r="C1538" s="81"/>
      <c r="D1538" s="81"/>
      <c r="I1538" s="81"/>
      <c r="K1538" s="82"/>
      <c r="L1538" s="123"/>
      <c r="M1538" s="3"/>
      <c r="N1538" s="3"/>
      <c r="O1538" s="3"/>
      <c r="P1538" s="125"/>
      <c r="Q1538" s="125"/>
      <c r="R1538" s="127"/>
      <c r="S1538" s="123"/>
      <c r="T1538" s="3"/>
      <c r="W1538" s="86"/>
      <c r="Y1538" s="75"/>
    </row>
    <row r="1539" spans="1:25" x14ac:dyDescent="0.25">
      <c r="A1539" s="75"/>
      <c r="C1539" s="81"/>
      <c r="D1539" s="81"/>
      <c r="I1539" s="81"/>
      <c r="K1539" s="82"/>
      <c r="L1539" s="123"/>
      <c r="M1539" s="3"/>
      <c r="N1539" s="3"/>
      <c r="O1539" s="3"/>
      <c r="P1539" s="125"/>
      <c r="Q1539" s="125"/>
      <c r="R1539" s="127"/>
      <c r="S1539" s="123"/>
      <c r="T1539" s="3"/>
      <c r="W1539" s="86"/>
      <c r="Y1539" s="75"/>
    </row>
    <row r="1540" spans="1:25" x14ac:dyDescent="0.25">
      <c r="A1540" s="75"/>
      <c r="C1540" s="81"/>
      <c r="D1540" s="81"/>
      <c r="I1540" s="81"/>
      <c r="K1540" s="82"/>
      <c r="L1540" s="123"/>
      <c r="M1540" s="3"/>
      <c r="N1540" s="3"/>
      <c r="O1540" s="3"/>
      <c r="P1540" s="125"/>
      <c r="Q1540" s="125"/>
      <c r="R1540" s="127"/>
      <c r="S1540" s="123"/>
      <c r="T1540" s="3"/>
      <c r="W1540" s="86"/>
      <c r="Y1540" s="75"/>
    </row>
    <row r="1541" spans="1:25" x14ac:dyDescent="0.25">
      <c r="A1541" s="75"/>
      <c r="C1541" s="81"/>
      <c r="D1541" s="81"/>
      <c r="I1541" s="81"/>
      <c r="K1541" s="82"/>
      <c r="L1541" s="123"/>
      <c r="M1541" s="3"/>
      <c r="N1541" s="3"/>
      <c r="O1541" s="3"/>
      <c r="P1541" s="125"/>
      <c r="Q1541" s="125"/>
      <c r="R1541" s="127"/>
      <c r="S1541" s="123"/>
      <c r="T1541" s="3"/>
      <c r="W1541" s="86"/>
      <c r="Y1541" s="75"/>
    </row>
    <row r="1542" spans="1:25" x14ac:dyDescent="0.25">
      <c r="A1542" s="75"/>
      <c r="C1542" s="81"/>
      <c r="D1542" s="81"/>
      <c r="I1542" s="81"/>
      <c r="K1542" s="82"/>
      <c r="L1542" s="123"/>
      <c r="M1542" s="3"/>
      <c r="N1542" s="3"/>
      <c r="O1542" s="3"/>
      <c r="P1542" s="125"/>
      <c r="Q1542" s="125"/>
      <c r="R1542" s="127"/>
      <c r="S1542" s="123"/>
      <c r="T1542" s="3"/>
      <c r="W1542" s="86"/>
      <c r="Y1542" s="75"/>
    </row>
    <row r="1543" spans="1:25" x14ac:dyDescent="0.25">
      <c r="A1543" s="75"/>
      <c r="C1543" s="81"/>
      <c r="D1543" s="81"/>
      <c r="I1543" s="81"/>
      <c r="K1543" s="82"/>
      <c r="L1543" s="123"/>
      <c r="M1543" s="3"/>
      <c r="N1543" s="3"/>
      <c r="O1543" s="3"/>
      <c r="P1543" s="125"/>
      <c r="Q1543" s="125"/>
      <c r="R1543" s="127"/>
      <c r="S1543" s="123"/>
      <c r="T1543" s="3"/>
      <c r="W1543" s="86"/>
      <c r="Y1543" s="75"/>
    </row>
    <row r="1544" spans="1:25" x14ac:dyDescent="0.25">
      <c r="A1544" s="75"/>
      <c r="C1544" s="81"/>
      <c r="D1544" s="81"/>
      <c r="I1544" s="81"/>
      <c r="K1544" s="82"/>
      <c r="L1544" s="123"/>
      <c r="M1544" s="3"/>
      <c r="N1544" s="3"/>
      <c r="O1544" s="3"/>
      <c r="P1544" s="125"/>
      <c r="Q1544" s="125"/>
      <c r="R1544" s="127"/>
      <c r="S1544" s="123"/>
      <c r="T1544" s="3"/>
      <c r="W1544" s="86"/>
      <c r="Y1544" s="75"/>
    </row>
    <row r="1545" spans="1:25" x14ac:dyDescent="0.25">
      <c r="A1545" s="75"/>
      <c r="C1545" s="81"/>
      <c r="D1545" s="81"/>
      <c r="I1545" s="81"/>
      <c r="K1545" s="82"/>
      <c r="L1545" s="123"/>
      <c r="M1545" s="3"/>
      <c r="N1545" s="3"/>
      <c r="O1545" s="3"/>
      <c r="P1545" s="125"/>
      <c r="Q1545" s="125"/>
      <c r="R1545" s="127"/>
      <c r="S1545" s="123"/>
      <c r="T1545" s="3"/>
      <c r="W1545" s="86"/>
      <c r="Y1545" s="75"/>
    </row>
    <row r="1546" spans="1:25" x14ac:dyDescent="0.25">
      <c r="A1546" s="75"/>
      <c r="C1546" s="81"/>
      <c r="D1546" s="81"/>
      <c r="I1546" s="81"/>
      <c r="K1546" s="82"/>
      <c r="L1546" s="123"/>
      <c r="M1546" s="3"/>
      <c r="N1546" s="3"/>
      <c r="O1546" s="3"/>
      <c r="P1546" s="125"/>
      <c r="Q1546" s="125"/>
      <c r="R1546" s="127"/>
      <c r="S1546" s="123"/>
      <c r="T1546" s="3"/>
      <c r="W1546" s="86"/>
      <c r="Y1546" s="75"/>
    </row>
    <row r="1547" spans="1:25" x14ac:dyDescent="0.25">
      <c r="A1547" s="75"/>
      <c r="C1547" s="81"/>
      <c r="D1547" s="81"/>
      <c r="I1547" s="81"/>
      <c r="K1547" s="82"/>
      <c r="L1547" s="123"/>
      <c r="M1547" s="3"/>
      <c r="N1547" s="3"/>
      <c r="O1547" s="3"/>
      <c r="P1547" s="125"/>
      <c r="Q1547" s="125"/>
      <c r="R1547" s="127"/>
      <c r="S1547" s="123"/>
      <c r="T1547" s="3"/>
      <c r="W1547" s="86"/>
      <c r="Y1547" s="75"/>
    </row>
    <row r="1548" spans="1:25" x14ac:dyDescent="0.25">
      <c r="A1548" s="75"/>
      <c r="C1548" s="81"/>
      <c r="D1548" s="81"/>
      <c r="I1548" s="81"/>
      <c r="K1548" s="82"/>
      <c r="L1548" s="123"/>
      <c r="M1548" s="3"/>
      <c r="N1548" s="3"/>
      <c r="O1548" s="3"/>
      <c r="P1548" s="125"/>
      <c r="Q1548" s="125"/>
      <c r="R1548" s="127"/>
      <c r="S1548" s="123"/>
      <c r="T1548" s="3"/>
      <c r="W1548" s="86"/>
      <c r="Y1548" s="75"/>
    </row>
    <row r="1549" spans="1:25" x14ac:dyDescent="0.25">
      <c r="A1549" s="75"/>
      <c r="C1549" s="81"/>
      <c r="D1549" s="81"/>
      <c r="I1549" s="81"/>
      <c r="K1549" s="82"/>
      <c r="L1549" s="123"/>
      <c r="M1549" s="3"/>
      <c r="N1549" s="3"/>
      <c r="O1549" s="3"/>
      <c r="P1549" s="125"/>
      <c r="Q1549" s="125"/>
      <c r="R1549" s="127"/>
      <c r="S1549" s="123"/>
      <c r="T1549" s="3"/>
      <c r="W1549" s="86"/>
      <c r="Y1549" s="75"/>
    </row>
    <row r="1550" spans="1:25" x14ac:dyDescent="0.25">
      <c r="A1550" s="75"/>
      <c r="C1550" s="81"/>
      <c r="D1550" s="81"/>
      <c r="I1550" s="81"/>
      <c r="K1550" s="82"/>
      <c r="L1550" s="123"/>
      <c r="M1550" s="3"/>
      <c r="N1550" s="3"/>
      <c r="O1550" s="3"/>
      <c r="P1550" s="125"/>
      <c r="Q1550" s="125"/>
      <c r="R1550" s="127"/>
      <c r="S1550" s="123"/>
      <c r="T1550" s="3"/>
      <c r="W1550" s="86"/>
      <c r="Y1550" s="75"/>
    </row>
    <row r="1551" spans="1:25" x14ac:dyDescent="0.25">
      <c r="A1551" s="75"/>
      <c r="C1551" s="81"/>
      <c r="D1551" s="81"/>
      <c r="I1551" s="81"/>
      <c r="K1551" s="82"/>
      <c r="L1551" s="123"/>
      <c r="M1551" s="3"/>
      <c r="N1551" s="3"/>
      <c r="O1551" s="3"/>
      <c r="P1551" s="125"/>
      <c r="Q1551" s="125"/>
      <c r="R1551" s="127"/>
      <c r="S1551" s="123"/>
      <c r="T1551" s="3"/>
      <c r="W1551" s="86"/>
      <c r="Y1551" s="75"/>
    </row>
    <row r="1552" spans="1:25" x14ac:dyDescent="0.25">
      <c r="A1552" s="75"/>
      <c r="C1552" s="81"/>
      <c r="D1552" s="81"/>
      <c r="I1552" s="81"/>
      <c r="K1552" s="82"/>
      <c r="L1552" s="123"/>
      <c r="M1552" s="3"/>
      <c r="N1552" s="3"/>
      <c r="O1552" s="3"/>
      <c r="P1552" s="125"/>
      <c r="Q1552" s="125"/>
      <c r="R1552" s="127"/>
      <c r="S1552" s="123"/>
      <c r="T1552" s="3"/>
      <c r="W1552" s="86"/>
      <c r="Y1552" s="75"/>
    </row>
    <row r="1553" spans="1:25" x14ac:dyDescent="0.25">
      <c r="A1553" s="75"/>
      <c r="C1553" s="81"/>
      <c r="D1553" s="81"/>
      <c r="I1553" s="81"/>
      <c r="K1553" s="82"/>
      <c r="L1553" s="123"/>
      <c r="M1553" s="3"/>
      <c r="N1553" s="3"/>
      <c r="O1553" s="3"/>
      <c r="P1553" s="125"/>
      <c r="Q1553" s="125"/>
      <c r="R1553" s="127"/>
      <c r="S1553" s="123"/>
      <c r="T1553" s="3"/>
      <c r="W1553" s="86"/>
      <c r="Y1553" s="75"/>
    </row>
    <row r="1554" spans="1:25" x14ac:dyDescent="0.25">
      <c r="A1554" s="75"/>
      <c r="C1554" s="81"/>
      <c r="D1554" s="81"/>
      <c r="I1554" s="81"/>
      <c r="K1554" s="82"/>
      <c r="L1554" s="123"/>
      <c r="M1554" s="3"/>
      <c r="N1554" s="3"/>
      <c r="O1554" s="3"/>
      <c r="P1554" s="125"/>
      <c r="Q1554" s="125"/>
      <c r="R1554" s="127"/>
      <c r="S1554" s="123"/>
      <c r="T1554" s="3"/>
      <c r="W1554" s="86"/>
      <c r="Y1554" s="75"/>
    </row>
    <row r="1555" spans="1:25" x14ac:dyDescent="0.25">
      <c r="A1555" s="75"/>
      <c r="C1555" s="81"/>
      <c r="D1555" s="81"/>
      <c r="I1555" s="81"/>
      <c r="K1555" s="82"/>
      <c r="L1555" s="123"/>
      <c r="M1555" s="3"/>
      <c r="N1555" s="3"/>
      <c r="O1555" s="3"/>
      <c r="P1555" s="125"/>
      <c r="Q1555" s="125"/>
      <c r="R1555" s="127"/>
      <c r="S1555" s="123"/>
      <c r="T1555" s="3"/>
      <c r="W1555" s="86"/>
      <c r="Y1555" s="75"/>
    </row>
    <row r="1556" spans="1:25" x14ac:dyDescent="0.25">
      <c r="A1556" s="75"/>
      <c r="C1556" s="81"/>
      <c r="D1556" s="81"/>
      <c r="I1556" s="81"/>
      <c r="K1556" s="82"/>
      <c r="L1556" s="123"/>
      <c r="M1556" s="3"/>
      <c r="N1556" s="3"/>
      <c r="O1556" s="3"/>
      <c r="P1556" s="125"/>
      <c r="Q1556" s="125"/>
      <c r="R1556" s="127"/>
      <c r="S1556" s="123"/>
      <c r="T1556" s="3"/>
      <c r="W1556" s="86"/>
      <c r="Y1556" s="75"/>
    </row>
    <row r="1557" spans="1:25" x14ac:dyDescent="0.25">
      <c r="A1557" s="75"/>
      <c r="C1557" s="81"/>
      <c r="D1557" s="81"/>
      <c r="I1557" s="81"/>
      <c r="K1557" s="82"/>
      <c r="L1557" s="123"/>
      <c r="M1557" s="3"/>
      <c r="N1557" s="3"/>
      <c r="O1557" s="3"/>
      <c r="P1557" s="125"/>
      <c r="Q1557" s="125"/>
      <c r="R1557" s="127"/>
      <c r="S1557" s="123"/>
      <c r="T1557" s="3"/>
      <c r="W1557" s="86"/>
      <c r="Y1557" s="75"/>
    </row>
    <row r="1558" spans="1:25" x14ac:dyDescent="0.25">
      <c r="A1558" s="75"/>
      <c r="C1558" s="81"/>
      <c r="D1558" s="81"/>
      <c r="I1558" s="81"/>
      <c r="K1558" s="82"/>
      <c r="L1558" s="123"/>
      <c r="M1558" s="3"/>
      <c r="N1558" s="3"/>
      <c r="O1558" s="3"/>
      <c r="P1558" s="125"/>
      <c r="Q1558" s="125"/>
      <c r="R1558" s="127"/>
      <c r="S1558" s="123"/>
      <c r="T1558" s="3"/>
      <c r="W1558" s="86"/>
      <c r="Y1558" s="75"/>
    </row>
    <row r="1559" spans="1:25" x14ac:dyDescent="0.25">
      <c r="A1559" s="75"/>
      <c r="C1559" s="81"/>
      <c r="D1559" s="81"/>
      <c r="I1559" s="81"/>
      <c r="K1559" s="82"/>
      <c r="L1559" s="123"/>
      <c r="M1559" s="3"/>
      <c r="N1559" s="3"/>
      <c r="O1559" s="3"/>
      <c r="P1559" s="125"/>
      <c r="Q1559" s="125"/>
      <c r="R1559" s="127"/>
      <c r="S1559" s="123"/>
      <c r="T1559" s="3"/>
      <c r="W1559" s="86"/>
      <c r="Y1559" s="75"/>
    </row>
    <row r="1560" spans="1:25" x14ac:dyDescent="0.25">
      <c r="A1560" s="75"/>
      <c r="C1560" s="81"/>
      <c r="D1560" s="81"/>
      <c r="I1560" s="81"/>
      <c r="K1560" s="82"/>
      <c r="L1560" s="123"/>
      <c r="M1560" s="3"/>
      <c r="N1560" s="3"/>
      <c r="O1560" s="3"/>
      <c r="P1560" s="125"/>
      <c r="Q1560" s="125"/>
      <c r="R1560" s="127"/>
      <c r="S1560" s="123"/>
      <c r="T1560" s="3"/>
      <c r="W1560" s="86"/>
      <c r="Y1560" s="75"/>
    </row>
    <row r="1561" spans="1:25" x14ac:dyDescent="0.25">
      <c r="A1561" s="75"/>
      <c r="C1561" s="81"/>
      <c r="D1561" s="81"/>
      <c r="I1561" s="81"/>
      <c r="K1561" s="82"/>
      <c r="L1561" s="123"/>
      <c r="M1561" s="3"/>
      <c r="N1561" s="3"/>
      <c r="O1561" s="3"/>
      <c r="P1561" s="125"/>
      <c r="Q1561" s="125"/>
      <c r="R1561" s="127"/>
      <c r="S1561" s="123"/>
      <c r="T1561" s="3"/>
      <c r="W1561" s="86"/>
      <c r="Y1561" s="75"/>
    </row>
    <row r="1562" spans="1:25" x14ac:dyDescent="0.25">
      <c r="A1562" s="75"/>
      <c r="C1562" s="81"/>
      <c r="D1562" s="81"/>
      <c r="I1562" s="81"/>
      <c r="K1562" s="82"/>
      <c r="L1562" s="123"/>
      <c r="M1562" s="3"/>
      <c r="N1562" s="3"/>
      <c r="O1562" s="3"/>
      <c r="P1562" s="125"/>
      <c r="Q1562" s="125"/>
      <c r="R1562" s="127"/>
      <c r="S1562" s="123"/>
      <c r="T1562" s="3"/>
      <c r="W1562" s="86"/>
      <c r="Y1562" s="75"/>
    </row>
    <row r="1563" spans="1:25" x14ac:dyDescent="0.25">
      <c r="A1563" s="75"/>
      <c r="C1563" s="81"/>
      <c r="D1563" s="81"/>
      <c r="I1563" s="81"/>
      <c r="K1563" s="82"/>
      <c r="L1563" s="123"/>
      <c r="M1563" s="3"/>
      <c r="N1563" s="3"/>
      <c r="O1563" s="3"/>
      <c r="P1563" s="125"/>
      <c r="Q1563" s="125"/>
      <c r="R1563" s="127"/>
      <c r="S1563" s="123"/>
      <c r="T1563" s="3"/>
      <c r="W1563" s="86"/>
      <c r="Y1563" s="75"/>
    </row>
    <row r="1564" spans="1:25" x14ac:dyDescent="0.25">
      <c r="A1564" s="75"/>
      <c r="C1564" s="81"/>
      <c r="D1564" s="81"/>
      <c r="I1564" s="81"/>
      <c r="K1564" s="82"/>
      <c r="L1564" s="123"/>
      <c r="M1564" s="3"/>
      <c r="N1564" s="3"/>
      <c r="O1564" s="3"/>
      <c r="P1564" s="125"/>
      <c r="Q1564" s="125"/>
      <c r="R1564" s="127"/>
      <c r="S1564" s="123"/>
      <c r="T1564" s="3"/>
      <c r="W1564" s="86"/>
      <c r="Y1564" s="75"/>
    </row>
    <row r="1565" spans="1:25" x14ac:dyDescent="0.25">
      <c r="A1565" s="75"/>
      <c r="C1565" s="81"/>
      <c r="D1565" s="81"/>
      <c r="I1565" s="81"/>
      <c r="K1565" s="82"/>
      <c r="L1565" s="123"/>
      <c r="M1565" s="3"/>
      <c r="N1565" s="3"/>
      <c r="O1565" s="3"/>
      <c r="P1565" s="125"/>
      <c r="Q1565" s="125"/>
      <c r="R1565" s="127"/>
      <c r="S1565" s="123"/>
      <c r="T1565" s="3"/>
      <c r="W1565" s="86"/>
      <c r="Y1565" s="75"/>
    </row>
    <row r="1566" spans="1:25" x14ac:dyDescent="0.25">
      <c r="A1566" s="75"/>
      <c r="C1566" s="81"/>
      <c r="D1566" s="81"/>
      <c r="I1566" s="81"/>
      <c r="K1566" s="82"/>
      <c r="L1566" s="123"/>
      <c r="M1566" s="3"/>
      <c r="N1566" s="3"/>
      <c r="O1566" s="3"/>
      <c r="P1566" s="125"/>
      <c r="Q1566" s="125"/>
      <c r="R1566" s="127"/>
      <c r="S1566" s="123"/>
      <c r="T1566" s="3"/>
      <c r="W1566" s="86"/>
      <c r="Y1566" s="75"/>
    </row>
    <row r="1567" spans="1:25" x14ac:dyDescent="0.25">
      <c r="A1567" s="75"/>
      <c r="C1567" s="81"/>
      <c r="D1567" s="81"/>
      <c r="I1567" s="81"/>
      <c r="K1567" s="82"/>
      <c r="L1567" s="123"/>
      <c r="M1567" s="3"/>
      <c r="N1567" s="3"/>
      <c r="O1567" s="3"/>
      <c r="P1567" s="125"/>
      <c r="Q1567" s="125"/>
      <c r="R1567" s="127"/>
      <c r="S1567" s="123"/>
      <c r="T1567" s="3"/>
      <c r="W1567" s="86"/>
      <c r="Y1567" s="75"/>
    </row>
    <row r="1568" spans="1:25" x14ac:dyDescent="0.25">
      <c r="A1568" s="75"/>
      <c r="C1568" s="81"/>
      <c r="D1568" s="81"/>
      <c r="I1568" s="81"/>
      <c r="K1568" s="82"/>
      <c r="L1568" s="123"/>
      <c r="M1568" s="3"/>
      <c r="N1568" s="3"/>
      <c r="O1568" s="3"/>
      <c r="P1568" s="125"/>
      <c r="Q1568" s="125"/>
      <c r="R1568" s="127"/>
      <c r="S1568" s="123"/>
      <c r="T1568" s="3"/>
      <c r="W1568" s="86"/>
      <c r="Y1568" s="75"/>
    </row>
    <row r="1569" spans="1:25" x14ac:dyDescent="0.25">
      <c r="A1569" s="75"/>
      <c r="C1569" s="81"/>
      <c r="D1569" s="81"/>
      <c r="I1569" s="81"/>
      <c r="K1569" s="82"/>
      <c r="L1569" s="123"/>
      <c r="M1569" s="3"/>
      <c r="N1569" s="3"/>
      <c r="O1569" s="3"/>
      <c r="P1569" s="125"/>
      <c r="Q1569" s="125"/>
      <c r="R1569" s="127"/>
      <c r="S1569" s="123"/>
      <c r="T1569" s="3"/>
      <c r="W1569" s="86"/>
      <c r="Y1569" s="75"/>
    </row>
    <row r="1570" spans="1:25" x14ac:dyDescent="0.25">
      <c r="A1570" s="75"/>
      <c r="C1570" s="81"/>
      <c r="D1570" s="81"/>
      <c r="I1570" s="81"/>
      <c r="K1570" s="82"/>
      <c r="L1570" s="123"/>
      <c r="M1570" s="3"/>
      <c r="N1570" s="3"/>
      <c r="O1570" s="3"/>
      <c r="P1570" s="125"/>
      <c r="Q1570" s="125"/>
      <c r="R1570" s="127"/>
      <c r="S1570" s="123"/>
      <c r="T1570" s="3"/>
      <c r="W1570" s="86"/>
      <c r="Y1570" s="75"/>
    </row>
    <row r="1571" spans="1:25" x14ac:dyDescent="0.25">
      <c r="A1571" s="75"/>
      <c r="C1571" s="81"/>
      <c r="D1571" s="81"/>
      <c r="I1571" s="81"/>
      <c r="K1571" s="82"/>
      <c r="L1571" s="123"/>
      <c r="M1571" s="3"/>
      <c r="N1571" s="3"/>
      <c r="O1571" s="3"/>
      <c r="P1571" s="125"/>
      <c r="Q1571" s="125"/>
      <c r="R1571" s="127"/>
      <c r="S1571" s="123"/>
      <c r="T1571" s="3"/>
      <c r="W1571" s="86"/>
      <c r="Y1571" s="75"/>
    </row>
    <row r="1572" spans="1:25" x14ac:dyDescent="0.25">
      <c r="A1572" s="75"/>
      <c r="C1572" s="81"/>
      <c r="D1572" s="81"/>
      <c r="I1572" s="81"/>
      <c r="K1572" s="82"/>
      <c r="L1572" s="123"/>
      <c r="M1572" s="3"/>
      <c r="N1572" s="3"/>
      <c r="O1572" s="3"/>
      <c r="P1572" s="125"/>
      <c r="Q1572" s="125"/>
      <c r="R1572" s="127"/>
      <c r="S1572" s="123"/>
      <c r="T1572" s="3"/>
      <c r="W1572" s="86"/>
      <c r="Y1572" s="75"/>
    </row>
    <row r="1573" spans="1:25" x14ac:dyDescent="0.25">
      <c r="A1573" s="75"/>
      <c r="C1573" s="81"/>
      <c r="D1573" s="81"/>
      <c r="I1573" s="81"/>
      <c r="K1573" s="82"/>
      <c r="L1573" s="123"/>
      <c r="M1573" s="3"/>
      <c r="N1573" s="3"/>
      <c r="O1573" s="3"/>
      <c r="P1573" s="125"/>
      <c r="Q1573" s="125"/>
      <c r="R1573" s="127"/>
      <c r="S1573" s="123"/>
      <c r="T1573" s="3"/>
      <c r="W1573" s="86"/>
      <c r="Y1573" s="75"/>
    </row>
    <row r="1574" spans="1:25" x14ac:dyDescent="0.25">
      <c r="A1574" s="75"/>
      <c r="C1574" s="81"/>
      <c r="D1574" s="81"/>
      <c r="I1574" s="81"/>
      <c r="K1574" s="82"/>
      <c r="L1574" s="123"/>
      <c r="M1574" s="3"/>
      <c r="N1574" s="3"/>
      <c r="O1574" s="3"/>
      <c r="P1574" s="125"/>
      <c r="Q1574" s="125"/>
      <c r="R1574" s="127"/>
      <c r="S1574" s="123"/>
      <c r="T1574" s="3"/>
      <c r="W1574" s="86"/>
      <c r="Y1574" s="75"/>
    </row>
    <row r="1575" spans="1:25" x14ac:dyDescent="0.25">
      <c r="A1575" s="75"/>
      <c r="C1575" s="81"/>
      <c r="D1575" s="81"/>
      <c r="I1575" s="81"/>
      <c r="K1575" s="82"/>
      <c r="L1575" s="123"/>
      <c r="M1575" s="3"/>
      <c r="N1575" s="3"/>
      <c r="O1575" s="3"/>
      <c r="P1575" s="125"/>
      <c r="Q1575" s="125"/>
      <c r="R1575" s="127"/>
      <c r="S1575" s="123"/>
      <c r="T1575" s="3"/>
      <c r="W1575" s="86"/>
      <c r="Y1575" s="75"/>
    </row>
    <row r="1576" spans="1:25" x14ac:dyDescent="0.25">
      <c r="A1576" s="75"/>
      <c r="C1576" s="81"/>
      <c r="D1576" s="81"/>
      <c r="I1576" s="81"/>
      <c r="K1576" s="82"/>
      <c r="L1576" s="123"/>
      <c r="M1576" s="3"/>
      <c r="N1576" s="3"/>
      <c r="O1576" s="3"/>
      <c r="P1576" s="125"/>
      <c r="Q1576" s="125"/>
      <c r="R1576" s="127"/>
      <c r="S1576" s="123"/>
      <c r="T1576" s="3"/>
      <c r="W1576" s="86"/>
      <c r="Y1576" s="75"/>
    </row>
    <row r="1577" spans="1:25" x14ac:dyDescent="0.25">
      <c r="A1577" s="75"/>
      <c r="C1577" s="81"/>
      <c r="D1577" s="81"/>
      <c r="I1577" s="81"/>
      <c r="K1577" s="82"/>
      <c r="L1577" s="123"/>
      <c r="M1577" s="3"/>
      <c r="N1577" s="3"/>
      <c r="O1577" s="3"/>
      <c r="P1577" s="125"/>
      <c r="Q1577" s="125"/>
      <c r="R1577" s="127"/>
      <c r="S1577" s="123"/>
      <c r="T1577" s="3"/>
      <c r="W1577" s="86"/>
      <c r="Y1577" s="75"/>
    </row>
    <row r="1578" spans="1:25" x14ac:dyDescent="0.25">
      <c r="A1578" s="75"/>
      <c r="C1578" s="81"/>
      <c r="D1578" s="81"/>
      <c r="I1578" s="81"/>
      <c r="K1578" s="82"/>
      <c r="L1578" s="123"/>
      <c r="M1578" s="3"/>
      <c r="N1578" s="3"/>
      <c r="O1578" s="3"/>
      <c r="P1578" s="125"/>
      <c r="Q1578" s="125"/>
      <c r="R1578" s="127"/>
      <c r="S1578" s="123"/>
      <c r="T1578" s="3"/>
      <c r="W1578" s="86"/>
      <c r="Y1578" s="75"/>
    </row>
    <row r="1579" spans="1:25" x14ac:dyDescent="0.25">
      <c r="A1579" s="75"/>
      <c r="C1579" s="81"/>
      <c r="D1579" s="81"/>
      <c r="I1579" s="81"/>
      <c r="K1579" s="82"/>
      <c r="L1579" s="123"/>
      <c r="M1579" s="3"/>
      <c r="N1579" s="3"/>
      <c r="O1579" s="3"/>
      <c r="P1579" s="125"/>
      <c r="Q1579" s="125"/>
      <c r="R1579" s="127"/>
      <c r="S1579" s="123"/>
      <c r="T1579" s="3"/>
      <c r="W1579" s="86"/>
      <c r="Y1579" s="75"/>
    </row>
    <row r="1580" spans="1:25" x14ac:dyDescent="0.25">
      <c r="A1580" s="75"/>
      <c r="C1580" s="81"/>
      <c r="D1580" s="81"/>
      <c r="I1580" s="81"/>
      <c r="K1580" s="82"/>
      <c r="L1580" s="123"/>
      <c r="M1580" s="3"/>
      <c r="N1580" s="3"/>
      <c r="O1580" s="3"/>
      <c r="P1580" s="125"/>
      <c r="Q1580" s="125"/>
      <c r="R1580" s="127"/>
      <c r="S1580" s="123"/>
      <c r="T1580" s="3"/>
      <c r="W1580" s="86"/>
      <c r="Y1580" s="75"/>
    </row>
    <row r="1581" spans="1:25" x14ac:dyDescent="0.25">
      <c r="A1581" s="75"/>
      <c r="C1581" s="81"/>
      <c r="D1581" s="81"/>
      <c r="I1581" s="81"/>
      <c r="K1581" s="82"/>
      <c r="L1581" s="123"/>
      <c r="M1581" s="3"/>
      <c r="N1581" s="3"/>
      <c r="O1581" s="3"/>
      <c r="P1581" s="125"/>
      <c r="Q1581" s="125"/>
      <c r="R1581" s="127"/>
      <c r="S1581" s="123"/>
      <c r="T1581" s="3"/>
      <c r="W1581" s="86"/>
      <c r="Y1581" s="75"/>
    </row>
    <row r="1582" spans="1:25" x14ac:dyDescent="0.25">
      <c r="A1582" s="75"/>
      <c r="C1582" s="81"/>
      <c r="D1582" s="81"/>
      <c r="I1582" s="81"/>
      <c r="K1582" s="82"/>
      <c r="L1582" s="123"/>
      <c r="M1582" s="3"/>
      <c r="N1582" s="3"/>
      <c r="O1582" s="3"/>
      <c r="P1582" s="125"/>
      <c r="Q1582" s="125"/>
      <c r="R1582" s="127"/>
      <c r="S1582" s="123"/>
      <c r="T1582" s="3"/>
      <c r="W1582" s="86"/>
      <c r="Y1582" s="75"/>
    </row>
    <row r="1583" spans="1:25" x14ac:dyDescent="0.25">
      <c r="A1583" s="75"/>
      <c r="C1583" s="81"/>
      <c r="D1583" s="81"/>
      <c r="I1583" s="81"/>
      <c r="K1583" s="82"/>
      <c r="L1583" s="123"/>
      <c r="M1583" s="3"/>
      <c r="N1583" s="3"/>
      <c r="O1583" s="3"/>
      <c r="P1583" s="125"/>
      <c r="Q1583" s="125"/>
      <c r="R1583" s="127"/>
      <c r="S1583" s="123"/>
      <c r="T1583" s="3"/>
      <c r="W1583" s="86"/>
      <c r="Y1583" s="75"/>
    </row>
    <row r="1584" spans="1:25" x14ac:dyDescent="0.25">
      <c r="A1584" s="75"/>
      <c r="C1584" s="81"/>
      <c r="D1584" s="81"/>
      <c r="I1584" s="81"/>
      <c r="K1584" s="82"/>
      <c r="L1584" s="123"/>
      <c r="M1584" s="3"/>
      <c r="N1584" s="3"/>
      <c r="O1584" s="3"/>
      <c r="P1584" s="125"/>
      <c r="Q1584" s="125"/>
      <c r="R1584" s="127"/>
      <c r="S1584" s="123"/>
      <c r="T1584" s="3"/>
      <c r="W1584" s="86"/>
      <c r="Y1584" s="75"/>
    </row>
    <row r="1585" spans="1:25" x14ac:dyDescent="0.25">
      <c r="A1585" s="75"/>
      <c r="C1585" s="81"/>
      <c r="D1585" s="81"/>
      <c r="I1585" s="81"/>
      <c r="K1585" s="82"/>
      <c r="L1585" s="123"/>
      <c r="M1585" s="3"/>
      <c r="N1585" s="3"/>
      <c r="O1585" s="3"/>
      <c r="P1585" s="125"/>
      <c r="Q1585" s="125"/>
      <c r="R1585" s="127"/>
      <c r="S1585" s="123"/>
      <c r="T1585" s="3"/>
      <c r="W1585" s="86"/>
      <c r="Y1585" s="75"/>
    </row>
    <row r="1586" spans="1:25" x14ac:dyDescent="0.25">
      <c r="A1586" s="75"/>
      <c r="C1586" s="81"/>
      <c r="D1586" s="81"/>
      <c r="I1586" s="81"/>
      <c r="K1586" s="82"/>
      <c r="L1586" s="123"/>
      <c r="M1586" s="3"/>
      <c r="N1586" s="3"/>
      <c r="O1586" s="3"/>
      <c r="P1586" s="125"/>
      <c r="Q1586" s="125"/>
      <c r="R1586" s="127"/>
      <c r="S1586" s="123"/>
      <c r="T1586" s="3"/>
      <c r="W1586" s="86"/>
      <c r="Y1586" s="75"/>
    </row>
    <row r="1587" spans="1:25" x14ac:dyDescent="0.25">
      <c r="A1587" s="75"/>
      <c r="C1587" s="81"/>
      <c r="D1587" s="81"/>
      <c r="I1587" s="81"/>
      <c r="K1587" s="82"/>
      <c r="L1587" s="123"/>
      <c r="M1587" s="3"/>
      <c r="N1587" s="3"/>
      <c r="O1587" s="3"/>
      <c r="P1587" s="125"/>
      <c r="Q1587" s="125"/>
      <c r="R1587" s="127"/>
      <c r="S1587" s="123"/>
      <c r="T1587" s="3"/>
      <c r="W1587" s="86"/>
      <c r="Y1587" s="75"/>
    </row>
    <row r="1588" spans="1:25" x14ac:dyDescent="0.25">
      <c r="A1588" s="75"/>
      <c r="C1588" s="81"/>
      <c r="D1588" s="81"/>
      <c r="I1588" s="81"/>
      <c r="K1588" s="82"/>
      <c r="L1588" s="123"/>
      <c r="M1588" s="3"/>
      <c r="N1588" s="3"/>
      <c r="O1588" s="3"/>
      <c r="P1588" s="125"/>
      <c r="Q1588" s="125"/>
      <c r="R1588" s="127"/>
      <c r="S1588" s="123"/>
      <c r="T1588" s="3"/>
      <c r="W1588" s="86"/>
      <c r="Y1588" s="75"/>
    </row>
    <row r="1589" spans="1:25" x14ac:dyDescent="0.25">
      <c r="A1589" s="75"/>
      <c r="C1589" s="81"/>
      <c r="D1589" s="81"/>
      <c r="I1589" s="81"/>
      <c r="K1589" s="82"/>
      <c r="L1589" s="123"/>
      <c r="M1589" s="3"/>
      <c r="N1589" s="3"/>
      <c r="O1589" s="3"/>
      <c r="P1589" s="125"/>
      <c r="Q1589" s="125"/>
      <c r="R1589" s="127"/>
      <c r="S1589" s="123"/>
      <c r="T1589" s="3"/>
      <c r="W1589" s="86"/>
      <c r="Y1589" s="75"/>
    </row>
    <row r="1590" spans="1:25" x14ac:dyDescent="0.25">
      <c r="A1590" s="75"/>
      <c r="C1590" s="81"/>
      <c r="D1590" s="81"/>
      <c r="I1590" s="81"/>
      <c r="K1590" s="82"/>
      <c r="L1590" s="123"/>
      <c r="M1590" s="3"/>
      <c r="N1590" s="3"/>
      <c r="O1590" s="3"/>
      <c r="P1590" s="125"/>
      <c r="Q1590" s="125"/>
      <c r="R1590" s="127"/>
      <c r="S1590" s="123"/>
      <c r="T1590" s="3"/>
      <c r="W1590" s="86"/>
      <c r="Y1590" s="75"/>
    </row>
    <row r="1591" spans="1:25" x14ac:dyDescent="0.25">
      <c r="A1591" s="75"/>
      <c r="C1591" s="81"/>
      <c r="D1591" s="81"/>
      <c r="I1591" s="81"/>
      <c r="K1591" s="82"/>
      <c r="L1591" s="123"/>
      <c r="M1591" s="3"/>
      <c r="N1591" s="3"/>
      <c r="O1591" s="3"/>
      <c r="P1591" s="125"/>
      <c r="Q1591" s="125"/>
      <c r="R1591" s="127"/>
      <c r="S1591" s="123"/>
      <c r="T1591" s="3"/>
      <c r="W1591" s="86"/>
      <c r="Y1591" s="75"/>
    </row>
    <row r="1592" spans="1:25" x14ac:dyDescent="0.25">
      <c r="A1592" s="75"/>
      <c r="C1592" s="81"/>
      <c r="D1592" s="81"/>
      <c r="I1592" s="81"/>
      <c r="K1592" s="82"/>
      <c r="L1592" s="123"/>
      <c r="M1592" s="3"/>
      <c r="N1592" s="3"/>
      <c r="O1592" s="3"/>
      <c r="P1592" s="125"/>
      <c r="Q1592" s="125"/>
      <c r="R1592" s="127"/>
      <c r="S1592" s="123"/>
      <c r="T1592" s="3"/>
      <c r="W1592" s="86"/>
      <c r="Y1592" s="75"/>
    </row>
    <row r="1593" spans="1:25" x14ac:dyDescent="0.25">
      <c r="A1593" s="75"/>
      <c r="C1593" s="81"/>
      <c r="D1593" s="81"/>
      <c r="I1593" s="81"/>
      <c r="K1593" s="82"/>
      <c r="L1593" s="123"/>
      <c r="M1593" s="3"/>
      <c r="N1593" s="3"/>
      <c r="O1593" s="3"/>
      <c r="P1593" s="125"/>
      <c r="Q1593" s="125"/>
      <c r="R1593" s="127"/>
      <c r="S1593" s="123"/>
      <c r="T1593" s="3"/>
      <c r="W1593" s="86"/>
      <c r="Y1593" s="75"/>
    </row>
    <row r="1594" spans="1:25" x14ac:dyDescent="0.25">
      <c r="A1594" s="75"/>
      <c r="C1594" s="81"/>
      <c r="D1594" s="81"/>
      <c r="I1594" s="81"/>
      <c r="K1594" s="82"/>
      <c r="L1594" s="123"/>
      <c r="M1594" s="3"/>
      <c r="N1594" s="3"/>
      <c r="O1594" s="3"/>
      <c r="P1594" s="125"/>
      <c r="Q1594" s="125"/>
      <c r="R1594" s="127"/>
      <c r="S1594" s="123"/>
      <c r="T1594" s="3"/>
      <c r="W1594" s="86"/>
      <c r="Y1594" s="75"/>
    </row>
    <row r="1595" spans="1:25" x14ac:dyDescent="0.25">
      <c r="A1595" s="75"/>
      <c r="C1595" s="81"/>
      <c r="D1595" s="81"/>
      <c r="I1595" s="81"/>
      <c r="K1595" s="82"/>
      <c r="L1595" s="123"/>
      <c r="M1595" s="3"/>
      <c r="N1595" s="3"/>
      <c r="O1595" s="3"/>
      <c r="P1595" s="125"/>
      <c r="Q1595" s="125"/>
      <c r="R1595" s="127"/>
      <c r="S1595" s="123"/>
      <c r="T1595" s="3"/>
      <c r="W1595" s="86"/>
      <c r="Y1595" s="75"/>
    </row>
    <row r="1596" spans="1:25" x14ac:dyDescent="0.25">
      <c r="A1596" s="75"/>
      <c r="C1596" s="81"/>
      <c r="D1596" s="81"/>
      <c r="I1596" s="81"/>
      <c r="K1596" s="82"/>
      <c r="L1596" s="123"/>
      <c r="M1596" s="3"/>
      <c r="N1596" s="3"/>
      <c r="O1596" s="3"/>
      <c r="P1596" s="125"/>
      <c r="Q1596" s="125"/>
      <c r="R1596" s="127"/>
      <c r="S1596" s="123"/>
      <c r="T1596" s="3"/>
      <c r="W1596" s="86"/>
      <c r="Y1596" s="75"/>
    </row>
    <row r="1597" spans="1:25" x14ac:dyDescent="0.25">
      <c r="A1597" s="75"/>
      <c r="C1597" s="81"/>
      <c r="D1597" s="81"/>
      <c r="I1597" s="81"/>
      <c r="K1597" s="82"/>
      <c r="L1597" s="123"/>
      <c r="M1597" s="3"/>
      <c r="N1597" s="3"/>
      <c r="O1597" s="3"/>
      <c r="P1597" s="125"/>
      <c r="Q1597" s="125"/>
      <c r="R1597" s="127"/>
      <c r="S1597" s="123"/>
      <c r="T1597" s="3"/>
      <c r="W1597" s="86"/>
      <c r="Y1597" s="75"/>
    </row>
    <row r="1598" spans="1:25" x14ac:dyDescent="0.25">
      <c r="A1598" s="75"/>
      <c r="C1598" s="81"/>
      <c r="D1598" s="81"/>
      <c r="I1598" s="81"/>
      <c r="K1598" s="82"/>
      <c r="L1598" s="123"/>
      <c r="M1598" s="3"/>
      <c r="N1598" s="3"/>
      <c r="O1598" s="3"/>
      <c r="P1598" s="125"/>
      <c r="Q1598" s="125"/>
      <c r="R1598" s="127"/>
      <c r="S1598" s="123"/>
      <c r="T1598" s="3"/>
      <c r="W1598" s="86"/>
      <c r="Y1598" s="75"/>
    </row>
    <row r="1599" spans="1:25" x14ac:dyDescent="0.25">
      <c r="A1599" s="75"/>
      <c r="C1599" s="81"/>
      <c r="D1599" s="81"/>
      <c r="I1599" s="81"/>
      <c r="K1599" s="82"/>
      <c r="L1599" s="123"/>
      <c r="M1599" s="3"/>
      <c r="N1599" s="3"/>
      <c r="O1599" s="3"/>
      <c r="P1599" s="125"/>
      <c r="Q1599" s="125"/>
      <c r="R1599" s="127"/>
      <c r="S1599" s="123"/>
      <c r="T1599" s="3"/>
      <c r="W1599" s="86"/>
      <c r="Y1599" s="75"/>
    </row>
    <row r="1600" spans="1:25" x14ac:dyDescent="0.25">
      <c r="A1600" s="75"/>
      <c r="C1600" s="81"/>
      <c r="D1600" s="81"/>
      <c r="I1600" s="81"/>
      <c r="K1600" s="82"/>
      <c r="L1600" s="123"/>
      <c r="M1600" s="3"/>
      <c r="N1600" s="3"/>
      <c r="O1600" s="3"/>
      <c r="P1600" s="125"/>
      <c r="Q1600" s="125"/>
      <c r="R1600" s="127"/>
      <c r="S1600" s="123"/>
      <c r="T1600" s="3"/>
      <c r="W1600" s="86"/>
      <c r="Y1600" s="75"/>
    </row>
    <row r="1601" spans="1:25" x14ac:dyDescent="0.25">
      <c r="A1601" s="75"/>
      <c r="C1601" s="81"/>
      <c r="D1601" s="81"/>
      <c r="I1601" s="81"/>
      <c r="K1601" s="82"/>
      <c r="L1601" s="123"/>
      <c r="M1601" s="3"/>
      <c r="N1601" s="3"/>
      <c r="O1601" s="3"/>
      <c r="P1601" s="125"/>
      <c r="Q1601" s="125"/>
      <c r="R1601" s="127"/>
      <c r="S1601" s="123"/>
      <c r="T1601" s="3"/>
      <c r="W1601" s="86"/>
      <c r="Y1601" s="75"/>
    </row>
    <row r="1602" spans="1:25" x14ac:dyDescent="0.25">
      <c r="A1602" s="75"/>
      <c r="C1602" s="81"/>
      <c r="D1602" s="81"/>
      <c r="I1602" s="81"/>
      <c r="K1602" s="82"/>
      <c r="L1602" s="123"/>
      <c r="M1602" s="3"/>
      <c r="N1602" s="3"/>
      <c r="O1602" s="3"/>
      <c r="P1602" s="125"/>
      <c r="Q1602" s="125"/>
      <c r="R1602" s="127"/>
      <c r="S1602" s="123"/>
      <c r="T1602" s="3"/>
      <c r="W1602" s="86"/>
      <c r="Y1602" s="75"/>
    </row>
    <row r="1603" spans="1:25" x14ac:dyDescent="0.25">
      <c r="A1603" s="75"/>
      <c r="C1603" s="81"/>
      <c r="D1603" s="81"/>
      <c r="I1603" s="81"/>
      <c r="K1603" s="82"/>
      <c r="L1603" s="123"/>
      <c r="M1603" s="3"/>
      <c r="N1603" s="3"/>
      <c r="O1603" s="3"/>
      <c r="P1603" s="125"/>
      <c r="Q1603" s="125"/>
      <c r="R1603" s="127"/>
      <c r="S1603" s="123"/>
      <c r="T1603" s="3"/>
      <c r="W1603" s="86"/>
      <c r="Y1603" s="75"/>
    </row>
    <row r="1604" spans="1:25" x14ac:dyDescent="0.25">
      <c r="A1604" s="75"/>
      <c r="C1604" s="81"/>
      <c r="D1604" s="81"/>
      <c r="I1604" s="81"/>
      <c r="K1604" s="82"/>
      <c r="L1604" s="123"/>
      <c r="M1604" s="3"/>
      <c r="N1604" s="3"/>
      <c r="O1604" s="3"/>
      <c r="P1604" s="125"/>
      <c r="Q1604" s="125"/>
      <c r="R1604" s="127"/>
      <c r="S1604" s="123"/>
      <c r="T1604" s="3"/>
      <c r="W1604" s="86"/>
      <c r="Y1604" s="75"/>
    </row>
    <row r="1605" spans="1:25" x14ac:dyDescent="0.25">
      <c r="A1605" s="75"/>
      <c r="C1605" s="81"/>
      <c r="D1605" s="81"/>
      <c r="I1605" s="81"/>
      <c r="K1605" s="82"/>
      <c r="L1605" s="123"/>
      <c r="M1605" s="3"/>
      <c r="N1605" s="3"/>
      <c r="O1605" s="3"/>
      <c r="P1605" s="125"/>
      <c r="Q1605" s="125"/>
      <c r="R1605" s="127"/>
      <c r="S1605" s="123"/>
      <c r="T1605" s="3"/>
      <c r="W1605" s="86"/>
      <c r="Y1605" s="75"/>
    </row>
    <row r="1606" spans="1:25" x14ac:dyDescent="0.25">
      <c r="A1606" s="75"/>
      <c r="C1606" s="81"/>
      <c r="D1606" s="81"/>
      <c r="I1606" s="81"/>
      <c r="K1606" s="82"/>
      <c r="L1606" s="123"/>
      <c r="M1606" s="3"/>
      <c r="N1606" s="3"/>
      <c r="O1606" s="3"/>
      <c r="P1606" s="125"/>
      <c r="Q1606" s="125"/>
      <c r="R1606" s="127"/>
      <c r="S1606" s="123"/>
      <c r="T1606" s="3"/>
      <c r="W1606" s="86"/>
      <c r="Y1606" s="75"/>
    </row>
    <row r="1607" spans="1:25" x14ac:dyDescent="0.25">
      <c r="A1607" s="75"/>
      <c r="C1607" s="81"/>
      <c r="D1607" s="81"/>
      <c r="I1607" s="81"/>
      <c r="K1607" s="82"/>
      <c r="L1607" s="123"/>
      <c r="M1607" s="3"/>
      <c r="N1607" s="3"/>
      <c r="O1607" s="3"/>
      <c r="P1607" s="125"/>
      <c r="Q1607" s="125"/>
      <c r="R1607" s="127"/>
      <c r="S1607" s="123"/>
      <c r="T1607" s="3"/>
      <c r="W1607" s="86"/>
      <c r="Y1607" s="75"/>
    </row>
    <row r="1608" spans="1:25" x14ac:dyDescent="0.25">
      <c r="A1608" s="75"/>
      <c r="C1608" s="81"/>
      <c r="D1608" s="81"/>
      <c r="I1608" s="81"/>
      <c r="K1608" s="82"/>
      <c r="L1608" s="123"/>
      <c r="M1608" s="3"/>
      <c r="N1608" s="3"/>
      <c r="O1608" s="3"/>
      <c r="P1608" s="125"/>
      <c r="Q1608" s="125"/>
      <c r="R1608" s="127"/>
      <c r="S1608" s="123"/>
      <c r="T1608" s="3"/>
      <c r="W1608" s="86"/>
      <c r="Y1608" s="75"/>
    </row>
    <row r="1609" spans="1:25" x14ac:dyDescent="0.25">
      <c r="A1609" s="75"/>
      <c r="C1609" s="81"/>
      <c r="D1609" s="81"/>
      <c r="I1609" s="81"/>
      <c r="K1609" s="82"/>
      <c r="L1609" s="123"/>
      <c r="M1609" s="3"/>
      <c r="N1609" s="3"/>
      <c r="O1609" s="3"/>
      <c r="P1609" s="125"/>
      <c r="Q1609" s="125"/>
      <c r="R1609" s="127"/>
      <c r="S1609" s="123"/>
      <c r="T1609" s="3"/>
      <c r="W1609" s="86"/>
      <c r="Y1609" s="75"/>
    </row>
    <row r="1610" spans="1:25" x14ac:dyDescent="0.25">
      <c r="A1610" s="75"/>
      <c r="C1610" s="81"/>
      <c r="D1610" s="81"/>
      <c r="I1610" s="81"/>
      <c r="K1610" s="82"/>
      <c r="L1610" s="123"/>
      <c r="M1610" s="3"/>
      <c r="N1610" s="3"/>
      <c r="O1610" s="3"/>
      <c r="P1610" s="125"/>
      <c r="Q1610" s="125"/>
      <c r="R1610" s="127"/>
      <c r="S1610" s="123"/>
      <c r="T1610" s="3"/>
      <c r="W1610" s="86"/>
      <c r="Y1610" s="75"/>
    </row>
    <row r="1611" spans="1:25" x14ac:dyDescent="0.25">
      <c r="A1611" s="75"/>
      <c r="C1611" s="81"/>
      <c r="D1611" s="81"/>
      <c r="I1611" s="81"/>
      <c r="K1611" s="82"/>
      <c r="L1611" s="123"/>
      <c r="M1611" s="3"/>
      <c r="N1611" s="3"/>
      <c r="O1611" s="3"/>
      <c r="P1611" s="125"/>
      <c r="Q1611" s="125"/>
      <c r="R1611" s="127"/>
      <c r="S1611" s="123"/>
      <c r="T1611" s="3"/>
      <c r="W1611" s="86"/>
      <c r="Y1611" s="75"/>
    </row>
    <row r="1612" spans="1:25" x14ac:dyDescent="0.25">
      <c r="A1612" s="75"/>
      <c r="C1612" s="81"/>
      <c r="D1612" s="81"/>
      <c r="I1612" s="81"/>
      <c r="K1612" s="82"/>
      <c r="L1612" s="123"/>
      <c r="M1612" s="3"/>
      <c r="N1612" s="3"/>
      <c r="O1612" s="3"/>
      <c r="P1612" s="125"/>
      <c r="Q1612" s="125"/>
      <c r="R1612" s="127"/>
      <c r="S1612" s="123"/>
      <c r="T1612" s="3"/>
      <c r="W1612" s="86"/>
      <c r="Y1612" s="75"/>
    </row>
    <row r="1613" spans="1:25" x14ac:dyDescent="0.25">
      <c r="A1613" s="75"/>
      <c r="C1613" s="81"/>
      <c r="D1613" s="81"/>
      <c r="I1613" s="81"/>
      <c r="K1613" s="82"/>
      <c r="L1613" s="123"/>
      <c r="M1613" s="3"/>
      <c r="N1613" s="3"/>
      <c r="O1613" s="3"/>
      <c r="P1613" s="125"/>
      <c r="Q1613" s="125"/>
      <c r="R1613" s="127"/>
      <c r="S1613" s="123"/>
      <c r="T1613" s="3"/>
      <c r="W1613" s="86"/>
      <c r="Y1613" s="75"/>
    </row>
    <row r="1614" spans="1:25" x14ac:dyDescent="0.25">
      <c r="A1614" s="75"/>
      <c r="C1614" s="81"/>
      <c r="D1614" s="81"/>
      <c r="I1614" s="81"/>
      <c r="K1614" s="82"/>
      <c r="L1614" s="123"/>
      <c r="M1614" s="3"/>
      <c r="N1614" s="3"/>
      <c r="O1614" s="3"/>
      <c r="P1614" s="125"/>
      <c r="Q1614" s="125"/>
      <c r="R1614" s="127"/>
      <c r="S1614" s="123"/>
      <c r="T1614" s="3"/>
      <c r="W1614" s="86"/>
      <c r="Y1614" s="75"/>
    </row>
    <row r="1615" spans="1:25" x14ac:dyDescent="0.25">
      <c r="A1615" s="75"/>
      <c r="C1615" s="81"/>
      <c r="D1615" s="81"/>
      <c r="I1615" s="81"/>
      <c r="K1615" s="82"/>
      <c r="L1615" s="123"/>
      <c r="M1615" s="3"/>
      <c r="N1615" s="3"/>
      <c r="O1615" s="3"/>
      <c r="P1615" s="125"/>
      <c r="Q1615" s="125"/>
      <c r="R1615" s="127"/>
      <c r="S1615" s="123"/>
      <c r="T1615" s="3"/>
      <c r="W1615" s="86"/>
      <c r="Y1615" s="75"/>
    </row>
    <row r="1616" spans="1:25" x14ac:dyDescent="0.25">
      <c r="A1616" s="75"/>
      <c r="C1616" s="81"/>
      <c r="D1616" s="81"/>
      <c r="I1616" s="81"/>
      <c r="K1616" s="82"/>
      <c r="L1616" s="123"/>
      <c r="M1616" s="3"/>
      <c r="N1616" s="3"/>
      <c r="O1616" s="3"/>
      <c r="P1616" s="125"/>
      <c r="Q1616" s="125"/>
      <c r="R1616" s="127"/>
      <c r="S1616" s="123"/>
      <c r="T1616" s="3"/>
      <c r="W1616" s="86"/>
      <c r="Y1616" s="75"/>
    </row>
    <row r="1617" spans="1:25" x14ac:dyDescent="0.25">
      <c r="A1617" s="75"/>
      <c r="C1617" s="81"/>
      <c r="D1617" s="81"/>
      <c r="I1617" s="81"/>
      <c r="K1617" s="82"/>
      <c r="L1617" s="123"/>
      <c r="M1617" s="3"/>
      <c r="N1617" s="3"/>
      <c r="O1617" s="3"/>
      <c r="P1617" s="125"/>
      <c r="Q1617" s="125"/>
      <c r="R1617" s="127"/>
      <c r="S1617" s="123"/>
      <c r="T1617" s="3"/>
      <c r="W1617" s="86"/>
      <c r="Y1617" s="75"/>
    </row>
    <row r="1618" spans="1:25" x14ac:dyDescent="0.25">
      <c r="A1618" s="75"/>
      <c r="C1618" s="81"/>
      <c r="D1618" s="81"/>
      <c r="I1618" s="81"/>
      <c r="K1618" s="82"/>
      <c r="L1618" s="123"/>
      <c r="M1618" s="3"/>
      <c r="N1618" s="3"/>
      <c r="O1618" s="3"/>
      <c r="P1618" s="125"/>
      <c r="Q1618" s="125"/>
      <c r="R1618" s="127"/>
      <c r="S1618" s="123"/>
      <c r="T1618" s="3"/>
      <c r="W1618" s="86"/>
      <c r="Y1618" s="75"/>
    </row>
    <row r="1619" spans="1:25" x14ac:dyDescent="0.25">
      <c r="A1619" s="75"/>
      <c r="C1619" s="81"/>
      <c r="D1619" s="81"/>
      <c r="I1619" s="81"/>
      <c r="K1619" s="82"/>
      <c r="L1619" s="123"/>
      <c r="M1619" s="3"/>
      <c r="N1619" s="3"/>
      <c r="O1619" s="3"/>
      <c r="P1619" s="125"/>
      <c r="Q1619" s="125"/>
      <c r="R1619" s="127"/>
      <c r="S1619" s="123"/>
      <c r="T1619" s="3"/>
      <c r="W1619" s="86"/>
      <c r="Y1619" s="75"/>
    </row>
    <row r="1620" spans="1:25" x14ac:dyDescent="0.25">
      <c r="A1620" s="75"/>
      <c r="C1620" s="81"/>
      <c r="D1620" s="81"/>
      <c r="I1620" s="81"/>
      <c r="K1620" s="82"/>
      <c r="L1620" s="123"/>
      <c r="M1620" s="3"/>
      <c r="N1620" s="3"/>
      <c r="O1620" s="3"/>
      <c r="P1620" s="125"/>
      <c r="Q1620" s="125"/>
      <c r="R1620" s="127"/>
      <c r="S1620" s="123"/>
      <c r="T1620" s="3"/>
      <c r="W1620" s="86"/>
      <c r="Y1620" s="75"/>
    </row>
    <row r="1621" spans="1:25" x14ac:dyDescent="0.25">
      <c r="A1621" s="75"/>
      <c r="C1621" s="81"/>
      <c r="D1621" s="81"/>
      <c r="I1621" s="81"/>
      <c r="K1621" s="82"/>
      <c r="L1621" s="123"/>
      <c r="M1621" s="3"/>
      <c r="N1621" s="3"/>
      <c r="O1621" s="3"/>
      <c r="P1621" s="125"/>
      <c r="Q1621" s="125"/>
      <c r="R1621" s="127"/>
      <c r="S1621" s="123"/>
      <c r="T1621" s="3"/>
      <c r="W1621" s="86"/>
      <c r="Y1621" s="75"/>
    </row>
    <row r="1622" spans="1:25" x14ac:dyDescent="0.25">
      <c r="A1622" s="75"/>
      <c r="C1622" s="81"/>
      <c r="D1622" s="81"/>
      <c r="I1622" s="81"/>
      <c r="K1622" s="82"/>
      <c r="L1622" s="123"/>
      <c r="M1622" s="3"/>
      <c r="N1622" s="3"/>
      <c r="O1622" s="3"/>
      <c r="P1622" s="125"/>
      <c r="Q1622" s="125"/>
      <c r="R1622" s="127"/>
      <c r="S1622" s="123"/>
      <c r="T1622" s="3"/>
      <c r="W1622" s="86"/>
      <c r="Y1622" s="75"/>
    </row>
    <row r="1623" spans="1:25" x14ac:dyDescent="0.25">
      <c r="A1623" s="75"/>
      <c r="C1623" s="81"/>
      <c r="D1623" s="81"/>
      <c r="I1623" s="81"/>
      <c r="K1623" s="82"/>
      <c r="L1623" s="123"/>
      <c r="M1623" s="3"/>
      <c r="N1623" s="3"/>
      <c r="O1623" s="3"/>
      <c r="P1623" s="125"/>
      <c r="Q1623" s="125"/>
      <c r="R1623" s="127"/>
      <c r="S1623" s="123"/>
      <c r="T1623" s="3"/>
      <c r="W1623" s="86"/>
      <c r="Y1623" s="75"/>
    </row>
    <row r="1624" spans="1:25" x14ac:dyDescent="0.25">
      <c r="A1624" s="75"/>
      <c r="C1624" s="81"/>
      <c r="D1624" s="81"/>
      <c r="I1624" s="81"/>
      <c r="K1624" s="82"/>
      <c r="L1624" s="123"/>
      <c r="M1624" s="3"/>
      <c r="N1624" s="3"/>
      <c r="O1624" s="3"/>
      <c r="P1624" s="125"/>
      <c r="Q1624" s="125"/>
      <c r="R1624" s="127"/>
      <c r="S1624" s="123"/>
      <c r="T1624" s="3"/>
      <c r="W1624" s="86"/>
      <c r="Y1624" s="75"/>
    </row>
    <row r="1625" spans="1:25" x14ac:dyDescent="0.25">
      <c r="A1625" s="75"/>
      <c r="C1625" s="81"/>
      <c r="D1625" s="81"/>
      <c r="I1625" s="81"/>
      <c r="K1625" s="82"/>
      <c r="L1625" s="123"/>
      <c r="M1625" s="3"/>
      <c r="N1625" s="3"/>
      <c r="O1625" s="3"/>
      <c r="P1625" s="125"/>
      <c r="Q1625" s="125"/>
      <c r="R1625" s="127"/>
      <c r="S1625" s="123"/>
      <c r="T1625" s="3"/>
      <c r="W1625" s="86"/>
      <c r="Y1625" s="75"/>
    </row>
    <row r="1626" spans="1:25" x14ac:dyDescent="0.25">
      <c r="A1626" s="75"/>
      <c r="C1626" s="81"/>
      <c r="D1626" s="81"/>
      <c r="I1626" s="81"/>
      <c r="K1626" s="82"/>
      <c r="L1626" s="123"/>
      <c r="M1626" s="3"/>
      <c r="N1626" s="3"/>
      <c r="O1626" s="3"/>
      <c r="P1626" s="125"/>
      <c r="Q1626" s="125"/>
      <c r="R1626" s="127"/>
      <c r="S1626" s="123"/>
      <c r="T1626" s="3"/>
      <c r="W1626" s="86"/>
      <c r="Y1626" s="75"/>
    </row>
    <row r="1627" spans="1:25" x14ac:dyDescent="0.25">
      <c r="A1627" s="75"/>
      <c r="C1627" s="81"/>
      <c r="D1627" s="81"/>
      <c r="I1627" s="81"/>
      <c r="K1627" s="82"/>
      <c r="L1627" s="123"/>
      <c r="M1627" s="3"/>
      <c r="N1627" s="3"/>
      <c r="O1627" s="3"/>
      <c r="P1627" s="125"/>
      <c r="Q1627" s="125"/>
      <c r="R1627" s="127"/>
      <c r="S1627" s="123"/>
      <c r="T1627" s="3"/>
      <c r="W1627" s="86"/>
      <c r="Y1627" s="75"/>
    </row>
    <row r="1628" spans="1:25" x14ac:dyDescent="0.25">
      <c r="A1628" s="75"/>
      <c r="C1628" s="81"/>
      <c r="D1628" s="81"/>
      <c r="I1628" s="81"/>
      <c r="K1628" s="82"/>
      <c r="L1628" s="123"/>
      <c r="M1628" s="3"/>
      <c r="N1628" s="3"/>
      <c r="O1628" s="3"/>
      <c r="P1628" s="125"/>
      <c r="Q1628" s="125"/>
      <c r="R1628" s="127"/>
      <c r="S1628" s="123"/>
      <c r="T1628" s="3"/>
      <c r="W1628" s="86"/>
      <c r="Y1628" s="75"/>
    </row>
    <row r="1629" spans="1:25" x14ac:dyDescent="0.25">
      <c r="A1629" s="75"/>
      <c r="C1629" s="81"/>
      <c r="D1629" s="81"/>
      <c r="I1629" s="81"/>
      <c r="K1629" s="82"/>
      <c r="L1629" s="123"/>
      <c r="M1629" s="3"/>
      <c r="N1629" s="3"/>
      <c r="O1629" s="3"/>
      <c r="P1629" s="125"/>
      <c r="Q1629" s="125"/>
      <c r="R1629" s="127"/>
      <c r="S1629" s="123"/>
      <c r="T1629" s="3"/>
      <c r="W1629" s="86"/>
      <c r="Y1629" s="75"/>
    </row>
    <row r="1630" spans="1:25" x14ac:dyDescent="0.25">
      <c r="A1630" s="75"/>
      <c r="C1630" s="81"/>
      <c r="D1630" s="81"/>
      <c r="I1630" s="81"/>
      <c r="K1630" s="82"/>
      <c r="L1630" s="123"/>
      <c r="M1630" s="3"/>
      <c r="N1630" s="3"/>
      <c r="O1630" s="3"/>
      <c r="P1630" s="125"/>
      <c r="Q1630" s="125"/>
      <c r="R1630" s="127"/>
      <c r="S1630" s="123"/>
      <c r="T1630" s="3"/>
      <c r="W1630" s="86"/>
      <c r="Y1630" s="75"/>
    </row>
    <row r="1631" spans="1:25" x14ac:dyDescent="0.25">
      <c r="A1631" s="75"/>
      <c r="C1631" s="81"/>
      <c r="D1631" s="81"/>
      <c r="I1631" s="81"/>
      <c r="K1631" s="82"/>
      <c r="L1631" s="123"/>
      <c r="M1631" s="3"/>
      <c r="N1631" s="3"/>
      <c r="O1631" s="3"/>
      <c r="P1631" s="125"/>
      <c r="Q1631" s="125"/>
      <c r="R1631" s="127"/>
      <c r="S1631" s="123"/>
      <c r="T1631" s="3"/>
      <c r="W1631" s="86"/>
      <c r="Y1631" s="75"/>
    </row>
    <row r="1632" spans="1:25" x14ac:dyDescent="0.25">
      <c r="A1632" s="75"/>
      <c r="C1632" s="81"/>
      <c r="D1632" s="81"/>
      <c r="I1632" s="81"/>
      <c r="K1632" s="82"/>
      <c r="L1632" s="123"/>
      <c r="M1632" s="3"/>
      <c r="N1632" s="3"/>
      <c r="O1632" s="3"/>
      <c r="P1632" s="125"/>
      <c r="Q1632" s="125"/>
      <c r="R1632" s="127"/>
      <c r="S1632" s="123"/>
      <c r="T1632" s="3"/>
      <c r="W1632" s="86"/>
      <c r="Y1632" s="75"/>
    </row>
    <row r="1633" spans="1:25" x14ac:dyDescent="0.25">
      <c r="A1633" s="75"/>
      <c r="C1633" s="81"/>
      <c r="D1633" s="81"/>
      <c r="I1633" s="81"/>
      <c r="K1633" s="82"/>
      <c r="L1633" s="123"/>
      <c r="M1633" s="3"/>
      <c r="N1633" s="3"/>
      <c r="O1633" s="3"/>
      <c r="P1633" s="125"/>
      <c r="Q1633" s="125"/>
      <c r="R1633" s="127"/>
      <c r="S1633" s="123"/>
      <c r="T1633" s="3"/>
      <c r="W1633" s="86"/>
      <c r="Y1633" s="75"/>
    </row>
    <row r="1634" spans="1:25" x14ac:dyDescent="0.25">
      <c r="A1634" s="75"/>
      <c r="C1634" s="81"/>
      <c r="D1634" s="81"/>
      <c r="I1634" s="81"/>
      <c r="K1634" s="82"/>
      <c r="L1634" s="123"/>
      <c r="M1634" s="3"/>
      <c r="N1634" s="3"/>
      <c r="O1634" s="3"/>
      <c r="P1634" s="125"/>
      <c r="Q1634" s="125"/>
      <c r="R1634" s="127"/>
      <c r="S1634" s="123"/>
      <c r="T1634" s="3"/>
      <c r="W1634" s="86"/>
      <c r="Y1634" s="75"/>
    </row>
    <row r="1635" spans="1:25" x14ac:dyDescent="0.25">
      <c r="A1635" s="75"/>
      <c r="C1635" s="81"/>
      <c r="D1635" s="81"/>
      <c r="I1635" s="81"/>
      <c r="K1635" s="82"/>
      <c r="L1635" s="123"/>
      <c r="M1635" s="3"/>
      <c r="N1635" s="3"/>
      <c r="O1635" s="3"/>
      <c r="P1635" s="125"/>
      <c r="Q1635" s="125"/>
      <c r="R1635" s="127"/>
      <c r="S1635" s="123"/>
      <c r="T1635" s="3"/>
      <c r="W1635" s="86"/>
      <c r="Y1635" s="75"/>
    </row>
    <row r="1636" spans="1:25" x14ac:dyDescent="0.25">
      <c r="A1636" s="75"/>
      <c r="C1636" s="81"/>
      <c r="D1636" s="81"/>
      <c r="I1636" s="81"/>
      <c r="K1636" s="82"/>
      <c r="L1636" s="123"/>
      <c r="M1636" s="3"/>
      <c r="N1636" s="3"/>
      <c r="O1636" s="3"/>
      <c r="P1636" s="125"/>
      <c r="Q1636" s="125"/>
      <c r="R1636" s="127"/>
      <c r="S1636" s="123"/>
      <c r="T1636" s="3"/>
      <c r="W1636" s="86"/>
      <c r="Y1636" s="75"/>
    </row>
    <row r="1637" spans="1:25" x14ac:dyDescent="0.25">
      <c r="A1637" s="75"/>
      <c r="C1637" s="81"/>
      <c r="D1637" s="81"/>
      <c r="I1637" s="81"/>
      <c r="K1637" s="82"/>
      <c r="L1637" s="123"/>
      <c r="M1637" s="3"/>
      <c r="N1637" s="3"/>
      <c r="O1637" s="3"/>
      <c r="P1637" s="125"/>
      <c r="Q1637" s="125"/>
      <c r="R1637" s="127"/>
      <c r="S1637" s="123"/>
      <c r="T1637" s="3"/>
      <c r="W1637" s="86"/>
      <c r="Y1637" s="75"/>
    </row>
    <row r="1638" spans="1:25" x14ac:dyDescent="0.25">
      <c r="A1638" s="75"/>
      <c r="C1638" s="81"/>
      <c r="D1638" s="81"/>
      <c r="I1638" s="81"/>
      <c r="K1638" s="82"/>
      <c r="L1638" s="123"/>
      <c r="M1638" s="3"/>
      <c r="N1638" s="3"/>
      <c r="O1638" s="3"/>
      <c r="P1638" s="125"/>
      <c r="Q1638" s="125"/>
      <c r="R1638" s="127"/>
      <c r="S1638" s="123"/>
      <c r="T1638" s="3"/>
      <c r="W1638" s="86"/>
      <c r="Y1638" s="75"/>
    </row>
    <row r="1639" spans="1:25" x14ac:dyDescent="0.25">
      <c r="A1639" s="75"/>
      <c r="C1639" s="81"/>
      <c r="D1639" s="81"/>
      <c r="I1639" s="81"/>
      <c r="K1639" s="82"/>
      <c r="L1639" s="123"/>
      <c r="M1639" s="3"/>
      <c r="N1639" s="3"/>
      <c r="O1639" s="3"/>
      <c r="P1639" s="125"/>
      <c r="Q1639" s="125"/>
      <c r="R1639" s="127"/>
      <c r="S1639" s="123"/>
      <c r="T1639" s="3"/>
      <c r="W1639" s="86"/>
      <c r="Y1639" s="75"/>
    </row>
    <row r="1640" spans="1:25" x14ac:dyDescent="0.25">
      <c r="A1640" s="75"/>
      <c r="C1640" s="81"/>
      <c r="D1640" s="81"/>
      <c r="I1640" s="81"/>
      <c r="K1640" s="82"/>
      <c r="L1640" s="123"/>
      <c r="M1640" s="3"/>
      <c r="N1640" s="3"/>
      <c r="O1640" s="3"/>
      <c r="P1640" s="125"/>
      <c r="Q1640" s="125"/>
      <c r="R1640" s="127"/>
      <c r="S1640" s="123"/>
      <c r="T1640" s="3"/>
      <c r="W1640" s="86"/>
      <c r="Y1640" s="75"/>
    </row>
    <row r="1641" spans="1:25" x14ac:dyDescent="0.25">
      <c r="A1641" s="75"/>
      <c r="C1641" s="81"/>
      <c r="D1641" s="81"/>
      <c r="I1641" s="81"/>
      <c r="K1641" s="82"/>
      <c r="L1641" s="123"/>
      <c r="M1641" s="3"/>
      <c r="N1641" s="3"/>
      <c r="O1641" s="3"/>
      <c r="P1641" s="125"/>
      <c r="Q1641" s="125"/>
      <c r="R1641" s="127"/>
      <c r="S1641" s="123"/>
      <c r="T1641" s="3"/>
      <c r="W1641" s="86"/>
      <c r="Y1641" s="75"/>
    </row>
    <row r="1642" spans="1:25" x14ac:dyDescent="0.25">
      <c r="A1642" s="75"/>
      <c r="C1642" s="81"/>
      <c r="D1642" s="81"/>
      <c r="I1642" s="81"/>
      <c r="K1642" s="82"/>
      <c r="L1642" s="123"/>
      <c r="M1642" s="3"/>
      <c r="N1642" s="3"/>
      <c r="O1642" s="3"/>
      <c r="P1642" s="125"/>
      <c r="Q1642" s="125"/>
      <c r="R1642" s="127"/>
      <c r="S1642" s="123"/>
      <c r="T1642" s="3"/>
      <c r="W1642" s="86"/>
      <c r="Y1642" s="75"/>
    </row>
    <row r="1643" spans="1:25" x14ac:dyDescent="0.25">
      <c r="A1643" s="75"/>
      <c r="C1643" s="81"/>
      <c r="D1643" s="81"/>
      <c r="I1643" s="81"/>
      <c r="K1643" s="82"/>
      <c r="L1643" s="123"/>
      <c r="M1643" s="3"/>
      <c r="N1643" s="3"/>
      <c r="O1643" s="3"/>
      <c r="P1643" s="125"/>
      <c r="Q1643" s="125"/>
      <c r="R1643" s="127"/>
      <c r="S1643" s="123"/>
      <c r="T1643" s="3"/>
      <c r="W1643" s="86"/>
      <c r="Y1643" s="75"/>
    </row>
    <row r="1644" spans="1:25" x14ac:dyDescent="0.25">
      <c r="A1644" s="75"/>
      <c r="C1644" s="81"/>
      <c r="D1644" s="81"/>
      <c r="I1644" s="81"/>
      <c r="K1644" s="82"/>
      <c r="L1644" s="123"/>
      <c r="M1644" s="3"/>
      <c r="N1644" s="3"/>
      <c r="O1644" s="3"/>
      <c r="P1644" s="125"/>
      <c r="Q1644" s="125"/>
      <c r="R1644" s="127"/>
      <c r="S1644" s="123"/>
      <c r="T1644" s="3"/>
      <c r="W1644" s="86"/>
      <c r="Y1644" s="75"/>
    </row>
    <row r="1645" spans="1:25" x14ac:dyDescent="0.25">
      <c r="A1645" s="75"/>
      <c r="C1645" s="81"/>
      <c r="D1645" s="81"/>
      <c r="I1645" s="81"/>
      <c r="K1645" s="82"/>
      <c r="L1645" s="123"/>
      <c r="M1645" s="3"/>
      <c r="N1645" s="3"/>
      <c r="O1645" s="3"/>
      <c r="P1645" s="125"/>
      <c r="Q1645" s="125"/>
      <c r="R1645" s="127"/>
      <c r="S1645" s="123"/>
      <c r="T1645" s="3"/>
      <c r="W1645" s="86"/>
      <c r="Y1645" s="75"/>
    </row>
    <row r="1646" spans="1:25" x14ac:dyDescent="0.25">
      <c r="A1646" s="75"/>
      <c r="C1646" s="81"/>
      <c r="D1646" s="81"/>
      <c r="I1646" s="81"/>
      <c r="K1646" s="82"/>
      <c r="L1646" s="123"/>
      <c r="M1646" s="3"/>
      <c r="N1646" s="3"/>
      <c r="O1646" s="3"/>
      <c r="P1646" s="125"/>
      <c r="Q1646" s="125"/>
      <c r="R1646" s="127"/>
      <c r="S1646" s="123"/>
      <c r="T1646" s="3"/>
      <c r="W1646" s="86"/>
      <c r="Y1646" s="75"/>
    </row>
    <row r="1647" spans="1:25" x14ac:dyDescent="0.25">
      <c r="A1647" s="75"/>
      <c r="C1647" s="81"/>
      <c r="D1647" s="81"/>
      <c r="I1647" s="81"/>
      <c r="K1647" s="82"/>
      <c r="L1647" s="123"/>
      <c r="M1647" s="3"/>
      <c r="N1647" s="3"/>
      <c r="O1647" s="3"/>
      <c r="P1647" s="125"/>
      <c r="Q1647" s="125"/>
      <c r="R1647" s="127"/>
      <c r="S1647" s="123"/>
      <c r="T1647" s="3"/>
      <c r="W1647" s="86"/>
      <c r="Y1647" s="75"/>
    </row>
    <row r="1648" spans="1:25" x14ac:dyDescent="0.25">
      <c r="A1648" s="75"/>
      <c r="C1648" s="81"/>
      <c r="D1648" s="81"/>
      <c r="I1648" s="81"/>
      <c r="K1648" s="82"/>
      <c r="L1648" s="123"/>
      <c r="M1648" s="3"/>
      <c r="N1648" s="3"/>
      <c r="O1648" s="3"/>
      <c r="P1648" s="125"/>
      <c r="Q1648" s="125"/>
      <c r="R1648" s="127"/>
      <c r="S1648" s="123"/>
      <c r="T1648" s="3"/>
      <c r="W1648" s="86"/>
      <c r="Y1648" s="75"/>
    </row>
    <row r="1649" spans="1:25" x14ac:dyDescent="0.25">
      <c r="A1649" s="75"/>
      <c r="C1649" s="81"/>
      <c r="D1649" s="81"/>
      <c r="I1649" s="81"/>
      <c r="K1649" s="82"/>
      <c r="L1649" s="123"/>
      <c r="M1649" s="3"/>
      <c r="N1649" s="3"/>
      <c r="O1649" s="3"/>
      <c r="P1649" s="125"/>
      <c r="Q1649" s="125"/>
      <c r="R1649" s="127"/>
      <c r="S1649" s="123"/>
      <c r="T1649" s="3"/>
      <c r="W1649" s="86"/>
      <c r="Y1649" s="75"/>
    </row>
    <row r="1650" spans="1:25" x14ac:dyDescent="0.25">
      <c r="A1650" s="75"/>
      <c r="C1650" s="81"/>
      <c r="D1650" s="81"/>
      <c r="I1650" s="81"/>
      <c r="K1650" s="82"/>
      <c r="L1650" s="123"/>
      <c r="M1650" s="3"/>
      <c r="N1650" s="3"/>
      <c r="O1650" s="3"/>
      <c r="P1650" s="125"/>
      <c r="Q1650" s="125"/>
      <c r="R1650" s="127"/>
      <c r="S1650" s="123"/>
      <c r="T1650" s="3"/>
      <c r="W1650" s="86"/>
      <c r="Y1650" s="75"/>
    </row>
    <row r="1651" spans="1:25" x14ac:dyDescent="0.25">
      <c r="A1651" s="75"/>
      <c r="C1651" s="81"/>
      <c r="D1651" s="81"/>
      <c r="I1651" s="81"/>
      <c r="K1651" s="82"/>
      <c r="L1651" s="123"/>
      <c r="M1651" s="3"/>
      <c r="N1651" s="3"/>
      <c r="O1651" s="3"/>
      <c r="P1651" s="125"/>
      <c r="Q1651" s="125"/>
      <c r="R1651" s="127"/>
      <c r="S1651" s="123"/>
      <c r="T1651" s="3"/>
      <c r="W1651" s="86"/>
      <c r="Y1651" s="75"/>
    </row>
    <row r="1652" spans="1:25" x14ac:dyDescent="0.25">
      <c r="A1652" s="75"/>
      <c r="C1652" s="81"/>
      <c r="D1652" s="81"/>
      <c r="I1652" s="81"/>
      <c r="K1652" s="82"/>
      <c r="L1652" s="123"/>
      <c r="M1652" s="3"/>
      <c r="N1652" s="3"/>
      <c r="O1652" s="3"/>
      <c r="P1652" s="125"/>
      <c r="Q1652" s="125"/>
      <c r="R1652" s="127"/>
      <c r="S1652" s="123"/>
      <c r="T1652" s="3"/>
      <c r="W1652" s="86"/>
      <c r="Y1652" s="75"/>
    </row>
    <row r="1653" spans="1:25" x14ac:dyDescent="0.25">
      <c r="A1653" s="75"/>
      <c r="C1653" s="81"/>
      <c r="D1653" s="81"/>
      <c r="I1653" s="81"/>
      <c r="K1653" s="82"/>
      <c r="L1653" s="123"/>
      <c r="M1653" s="3"/>
      <c r="N1653" s="3"/>
      <c r="O1653" s="3"/>
      <c r="P1653" s="125"/>
      <c r="Q1653" s="125"/>
      <c r="R1653" s="127"/>
      <c r="S1653" s="123"/>
      <c r="T1653" s="3"/>
      <c r="W1653" s="86"/>
      <c r="Y1653" s="75"/>
    </row>
    <row r="1654" spans="1:25" x14ac:dyDescent="0.25">
      <c r="A1654" s="75"/>
      <c r="C1654" s="81"/>
      <c r="D1654" s="81"/>
      <c r="I1654" s="81"/>
      <c r="K1654" s="82"/>
      <c r="L1654" s="123"/>
      <c r="M1654" s="3"/>
      <c r="N1654" s="3"/>
      <c r="O1654" s="3"/>
      <c r="P1654" s="125"/>
      <c r="Q1654" s="125"/>
      <c r="R1654" s="127"/>
      <c r="S1654" s="123"/>
      <c r="T1654" s="3"/>
      <c r="W1654" s="86"/>
      <c r="Y1654" s="75"/>
    </row>
    <row r="1655" spans="1:25" x14ac:dyDescent="0.25">
      <c r="A1655" s="75"/>
      <c r="C1655" s="81"/>
      <c r="D1655" s="81"/>
      <c r="I1655" s="81"/>
      <c r="K1655" s="82"/>
      <c r="L1655" s="123"/>
      <c r="M1655" s="3"/>
      <c r="N1655" s="3"/>
      <c r="O1655" s="3"/>
      <c r="P1655" s="125"/>
      <c r="Q1655" s="125"/>
      <c r="R1655" s="127"/>
      <c r="S1655" s="123"/>
      <c r="T1655" s="3"/>
      <c r="W1655" s="86"/>
      <c r="Y1655" s="75"/>
    </row>
    <row r="1656" spans="1:25" x14ac:dyDescent="0.25">
      <c r="A1656" s="75"/>
      <c r="C1656" s="81"/>
      <c r="D1656" s="81"/>
      <c r="I1656" s="81"/>
      <c r="K1656" s="82"/>
      <c r="L1656" s="123"/>
      <c r="M1656" s="3"/>
      <c r="N1656" s="3"/>
      <c r="O1656" s="3"/>
      <c r="P1656" s="125"/>
      <c r="Q1656" s="125"/>
      <c r="R1656" s="127"/>
      <c r="S1656" s="123"/>
      <c r="T1656" s="3"/>
      <c r="W1656" s="86"/>
      <c r="Y1656" s="75"/>
    </row>
    <row r="1657" spans="1:25" x14ac:dyDescent="0.25">
      <c r="A1657" s="75"/>
      <c r="C1657" s="81"/>
      <c r="D1657" s="81"/>
      <c r="I1657" s="81"/>
      <c r="K1657" s="82"/>
      <c r="L1657" s="123"/>
      <c r="M1657" s="3"/>
      <c r="N1657" s="3"/>
      <c r="O1657" s="3"/>
      <c r="P1657" s="125"/>
      <c r="Q1657" s="125"/>
      <c r="R1657" s="127"/>
      <c r="S1657" s="123"/>
      <c r="T1657" s="3"/>
      <c r="W1657" s="86"/>
      <c r="Y1657" s="75"/>
    </row>
    <row r="1658" spans="1:25" x14ac:dyDescent="0.25">
      <c r="A1658" s="75"/>
      <c r="C1658" s="81"/>
      <c r="D1658" s="81"/>
      <c r="I1658" s="81"/>
      <c r="K1658" s="82"/>
      <c r="L1658" s="123"/>
      <c r="M1658" s="3"/>
      <c r="N1658" s="3"/>
      <c r="O1658" s="3"/>
      <c r="P1658" s="125"/>
      <c r="Q1658" s="125"/>
      <c r="R1658" s="127"/>
      <c r="S1658" s="123"/>
      <c r="T1658" s="3"/>
      <c r="W1658" s="86"/>
      <c r="Y1658" s="75"/>
    </row>
    <row r="1659" spans="1:25" x14ac:dyDescent="0.25">
      <c r="A1659" s="75"/>
      <c r="C1659" s="81"/>
      <c r="D1659" s="81"/>
      <c r="I1659" s="81"/>
      <c r="K1659" s="82"/>
      <c r="L1659" s="123"/>
      <c r="M1659" s="3"/>
      <c r="N1659" s="3"/>
      <c r="O1659" s="3"/>
      <c r="P1659" s="125"/>
      <c r="Q1659" s="125"/>
      <c r="R1659" s="127"/>
      <c r="S1659" s="123"/>
      <c r="T1659" s="3"/>
      <c r="W1659" s="86"/>
      <c r="Y1659" s="75"/>
    </row>
    <row r="1660" spans="1:25" x14ac:dyDescent="0.25">
      <c r="A1660" s="75"/>
      <c r="C1660" s="81"/>
      <c r="D1660" s="81"/>
      <c r="I1660" s="81"/>
      <c r="K1660" s="82"/>
      <c r="L1660" s="123"/>
      <c r="M1660" s="3"/>
      <c r="N1660" s="3"/>
      <c r="O1660" s="3"/>
      <c r="P1660" s="125"/>
      <c r="Q1660" s="125"/>
      <c r="R1660" s="127"/>
      <c r="S1660" s="123"/>
      <c r="T1660" s="3"/>
      <c r="W1660" s="86"/>
      <c r="Y1660" s="75"/>
    </row>
    <row r="1661" spans="1:25" x14ac:dyDescent="0.25">
      <c r="A1661" s="75"/>
      <c r="C1661" s="81"/>
      <c r="D1661" s="81"/>
      <c r="I1661" s="81"/>
      <c r="K1661" s="82"/>
      <c r="L1661" s="123"/>
      <c r="M1661" s="3"/>
      <c r="N1661" s="3"/>
      <c r="O1661" s="3"/>
      <c r="P1661" s="125"/>
      <c r="Q1661" s="125"/>
      <c r="R1661" s="127"/>
      <c r="S1661" s="123"/>
      <c r="T1661" s="3"/>
      <c r="W1661" s="86"/>
      <c r="Y1661" s="75"/>
    </row>
    <row r="1662" spans="1:25" x14ac:dyDescent="0.25">
      <c r="A1662" s="75"/>
      <c r="C1662" s="81"/>
      <c r="D1662" s="81"/>
      <c r="I1662" s="81"/>
      <c r="K1662" s="82"/>
      <c r="L1662" s="123"/>
      <c r="M1662" s="3"/>
      <c r="N1662" s="3"/>
      <c r="O1662" s="3"/>
      <c r="P1662" s="125"/>
      <c r="Q1662" s="125"/>
      <c r="R1662" s="127"/>
      <c r="S1662" s="123"/>
      <c r="T1662" s="3"/>
      <c r="W1662" s="86"/>
      <c r="Y1662" s="75"/>
    </row>
    <row r="1663" spans="1:25" x14ac:dyDescent="0.25">
      <c r="A1663" s="75"/>
      <c r="C1663" s="81"/>
      <c r="D1663" s="81"/>
      <c r="I1663" s="81"/>
      <c r="K1663" s="82"/>
      <c r="L1663" s="123"/>
      <c r="M1663" s="3"/>
      <c r="N1663" s="3"/>
      <c r="O1663" s="3"/>
      <c r="P1663" s="125"/>
      <c r="Q1663" s="125"/>
      <c r="R1663" s="127"/>
      <c r="S1663" s="123"/>
      <c r="T1663" s="3"/>
      <c r="W1663" s="86"/>
      <c r="Y1663" s="75"/>
    </row>
    <row r="1664" spans="1:25" x14ac:dyDescent="0.25">
      <c r="A1664" s="75"/>
      <c r="C1664" s="81"/>
      <c r="D1664" s="81"/>
      <c r="I1664" s="81"/>
      <c r="K1664" s="82"/>
      <c r="L1664" s="123"/>
      <c r="M1664" s="3"/>
      <c r="N1664" s="3"/>
      <c r="O1664" s="3"/>
      <c r="P1664" s="125"/>
      <c r="Q1664" s="125"/>
      <c r="R1664" s="127"/>
      <c r="S1664" s="123"/>
      <c r="T1664" s="3"/>
      <c r="W1664" s="86"/>
      <c r="Y1664" s="75"/>
    </row>
    <row r="1665" spans="1:25" x14ac:dyDescent="0.25">
      <c r="A1665" s="75"/>
      <c r="C1665" s="81"/>
      <c r="D1665" s="81"/>
      <c r="I1665" s="81"/>
      <c r="K1665" s="82"/>
      <c r="L1665" s="123"/>
      <c r="M1665" s="3"/>
      <c r="N1665" s="3"/>
      <c r="O1665" s="3"/>
      <c r="P1665" s="125"/>
      <c r="Q1665" s="125"/>
      <c r="R1665" s="127"/>
      <c r="S1665" s="123"/>
      <c r="T1665" s="3"/>
      <c r="W1665" s="86"/>
      <c r="Y1665" s="75"/>
    </row>
    <row r="1666" spans="1:25" x14ac:dyDescent="0.25">
      <c r="A1666" s="75"/>
      <c r="C1666" s="81"/>
      <c r="D1666" s="81"/>
      <c r="I1666" s="81"/>
      <c r="K1666" s="82"/>
      <c r="L1666" s="123"/>
      <c r="M1666" s="3"/>
      <c r="N1666" s="3"/>
      <c r="O1666" s="3"/>
      <c r="P1666" s="125"/>
      <c r="Q1666" s="125"/>
      <c r="R1666" s="127"/>
      <c r="S1666" s="123"/>
      <c r="T1666" s="3"/>
      <c r="W1666" s="86"/>
      <c r="Y1666" s="75"/>
    </row>
    <row r="1667" spans="1:25" x14ac:dyDescent="0.25">
      <c r="A1667" s="75"/>
      <c r="C1667" s="81"/>
      <c r="D1667" s="81"/>
      <c r="I1667" s="81"/>
      <c r="K1667" s="82"/>
      <c r="L1667" s="123"/>
      <c r="M1667" s="3"/>
      <c r="N1667" s="3"/>
      <c r="O1667" s="3"/>
      <c r="P1667" s="125"/>
      <c r="Q1667" s="125"/>
      <c r="R1667" s="127"/>
      <c r="S1667" s="123"/>
      <c r="T1667" s="3"/>
      <c r="W1667" s="86"/>
      <c r="Y1667" s="75"/>
    </row>
    <row r="1668" spans="1:25" x14ac:dyDescent="0.25">
      <c r="A1668" s="75"/>
      <c r="C1668" s="81"/>
      <c r="D1668" s="81"/>
      <c r="I1668" s="81"/>
      <c r="K1668" s="82"/>
      <c r="L1668" s="123"/>
      <c r="M1668" s="3"/>
      <c r="N1668" s="3"/>
      <c r="O1668" s="3"/>
      <c r="P1668" s="125"/>
      <c r="Q1668" s="125"/>
      <c r="R1668" s="127"/>
      <c r="S1668" s="123"/>
      <c r="T1668" s="3"/>
      <c r="W1668" s="86"/>
      <c r="Y1668" s="75"/>
    </row>
    <row r="1669" spans="1:25" x14ac:dyDescent="0.25">
      <c r="A1669" s="75"/>
      <c r="C1669" s="81"/>
      <c r="D1669" s="81"/>
      <c r="I1669" s="81"/>
      <c r="K1669" s="82"/>
      <c r="L1669" s="123"/>
      <c r="M1669" s="3"/>
      <c r="N1669" s="3"/>
      <c r="O1669" s="3"/>
      <c r="P1669" s="125"/>
      <c r="Q1669" s="125"/>
      <c r="R1669" s="127"/>
      <c r="S1669" s="123"/>
      <c r="T1669" s="3"/>
      <c r="W1669" s="86"/>
      <c r="Y1669" s="75"/>
    </row>
    <row r="1670" spans="1:25" x14ac:dyDescent="0.25">
      <c r="A1670" s="75"/>
      <c r="C1670" s="81"/>
      <c r="D1670" s="81"/>
      <c r="I1670" s="81"/>
      <c r="K1670" s="82"/>
      <c r="L1670" s="123"/>
      <c r="M1670" s="3"/>
      <c r="N1670" s="3"/>
      <c r="O1670" s="3"/>
      <c r="P1670" s="125"/>
      <c r="Q1670" s="125"/>
      <c r="R1670" s="127"/>
      <c r="S1670" s="123"/>
      <c r="T1670" s="3"/>
      <c r="W1670" s="86"/>
      <c r="Y1670" s="75"/>
    </row>
    <row r="1671" spans="1:25" x14ac:dyDescent="0.25">
      <c r="A1671" s="75"/>
      <c r="C1671" s="81"/>
      <c r="D1671" s="81"/>
      <c r="I1671" s="81"/>
      <c r="K1671" s="82"/>
      <c r="L1671" s="123"/>
      <c r="M1671" s="3"/>
      <c r="N1671" s="3"/>
      <c r="O1671" s="3"/>
      <c r="P1671" s="125"/>
      <c r="Q1671" s="125"/>
      <c r="R1671" s="127"/>
      <c r="S1671" s="123"/>
      <c r="T1671" s="3"/>
      <c r="W1671" s="86"/>
      <c r="Y1671" s="75"/>
    </row>
    <row r="1672" spans="1:25" x14ac:dyDescent="0.25">
      <c r="A1672" s="75"/>
      <c r="C1672" s="81"/>
      <c r="D1672" s="81"/>
      <c r="I1672" s="81"/>
      <c r="K1672" s="82"/>
      <c r="L1672" s="123"/>
      <c r="M1672" s="3"/>
      <c r="N1672" s="3"/>
      <c r="O1672" s="3"/>
      <c r="P1672" s="125"/>
      <c r="Q1672" s="125"/>
      <c r="R1672" s="127"/>
      <c r="S1672" s="123"/>
      <c r="T1672" s="3"/>
      <c r="W1672" s="86"/>
      <c r="Y1672" s="75"/>
    </row>
    <row r="1673" spans="1:25" x14ac:dyDescent="0.25">
      <c r="A1673" s="75"/>
      <c r="C1673" s="81"/>
      <c r="D1673" s="81"/>
      <c r="I1673" s="81"/>
      <c r="K1673" s="82"/>
      <c r="L1673" s="123"/>
      <c r="M1673" s="3"/>
      <c r="N1673" s="3"/>
      <c r="O1673" s="3"/>
      <c r="P1673" s="125"/>
      <c r="Q1673" s="125"/>
      <c r="R1673" s="127"/>
      <c r="S1673" s="123"/>
      <c r="T1673" s="3"/>
      <c r="W1673" s="86"/>
      <c r="Y1673" s="75"/>
    </row>
    <row r="1674" spans="1:25" x14ac:dyDescent="0.25">
      <c r="A1674" s="75"/>
      <c r="C1674" s="81"/>
      <c r="D1674" s="81"/>
      <c r="I1674" s="81"/>
      <c r="K1674" s="82"/>
      <c r="L1674" s="123"/>
      <c r="M1674" s="3"/>
      <c r="N1674" s="3"/>
      <c r="O1674" s="3"/>
      <c r="P1674" s="125"/>
      <c r="Q1674" s="125"/>
      <c r="R1674" s="127"/>
      <c r="S1674" s="123"/>
      <c r="T1674" s="3"/>
      <c r="W1674" s="86"/>
      <c r="Y1674" s="75"/>
    </row>
    <row r="1675" spans="1:25" x14ac:dyDescent="0.25">
      <c r="A1675" s="75"/>
      <c r="C1675" s="81"/>
      <c r="D1675" s="81"/>
      <c r="I1675" s="81"/>
      <c r="K1675" s="82"/>
      <c r="L1675" s="123"/>
      <c r="M1675" s="3"/>
      <c r="N1675" s="3"/>
      <c r="O1675" s="3"/>
      <c r="P1675" s="125"/>
      <c r="Q1675" s="125"/>
      <c r="R1675" s="127"/>
      <c r="S1675" s="123"/>
      <c r="T1675" s="3"/>
      <c r="W1675" s="86"/>
      <c r="Y1675" s="75"/>
    </row>
    <row r="1676" spans="1:25" x14ac:dyDescent="0.25">
      <c r="A1676" s="75"/>
      <c r="C1676" s="81"/>
      <c r="D1676" s="81"/>
      <c r="I1676" s="81"/>
      <c r="K1676" s="82"/>
      <c r="L1676" s="123"/>
      <c r="M1676" s="3"/>
      <c r="N1676" s="3"/>
      <c r="O1676" s="3"/>
      <c r="P1676" s="125"/>
      <c r="Q1676" s="125"/>
      <c r="R1676" s="127"/>
      <c r="S1676" s="123"/>
      <c r="T1676" s="3"/>
      <c r="W1676" s="86"/>
      <c r="Y1676" s="75"/>
    </row>
    <row r="1677" spans="1:25" x14ac:dyDescent="0.25">
      <c r="A1677" s="75"/>
      <c r="C1677" s="81"/>
      <c r="D1677" s="81"/>
      <c r="I1677" s="81"/>
      <c r="K1677" s="82"/>
      <c r="L1677" s="123"/>
      <c r="M1677" s="3"/>
      <c r="N1677" s="3"/>
      <c r="O1677" s="3"/>
      <c r="P1677" s="125"/>
      <c r="Q1677" s="125"/>
      <c r="R1677" s="127"/>
      <c r="S1677" s="123"/>
      <c r="T1677" s="3"/>
      <c r="W1677" s="86"/>
      <c r="Y1677" s="75"/>
    </row>
    <row r="1678" spans="1:25" x14ac:dyDescent="0.25">
      <c r="A1678" s="75"/>
      <c r="C1678" s="81"/>
      <c r="D1678" s="81"/>
      <c r="I1678" s="81"/>
      <c r="K1678" s="82"/>
      <c r="L1678" s="123"/>
      <c r="M1678" s="3"/>
      <c r="N1678" s="3"/>
      <c r="O1678" s="3"/>
      <c r="P1678" s="125"/>
      <c r="Q1678" s="125"/>
      <c r="R1678" s="127"/>
      <c r="S1678" s="123"/>
      <c r="T1678" s="3"/>
      <c r="W1678" s="86"/>
      <c r="Y1678" s="75"/>
    </row>
    <row r="1679" spans="1:25" x14ac:dyDescent="0.25">
      <c r="A1679" s="75"/>
      <c r="C1679" s="81"/>
      <c r="D1679" s="81"/>
      <c r="I1679" s="81"/>
      <c r="K1679" s="82"/>
      <c r="L1679" s="123"/>
      <c r="M1679" s="3"/>
      <c r="N1679" s="3"/>
      <c r="O1679" s="3"/>
      <c r="P1679" s="125"/>
      <c r="Q1679" s="125"/>
      <c r="R1679" s="127"/>
      <c r="S1679" s="123"/>
      <c r="T1679" s="3"/>
      <c r="W1679" s="86"/>
      <c r="Y1679" s="75"/>
    </row>
    <row r="1680" spans="1:25" x14ac:dyDescent="0.25">
      <c r="A1680" s="75"/>
      <c r="C1680" s="81"/>
      <c r="D1680" s="81"/>
      <c r="I1680" s="81"/>
      <c r="K1680" s="82"/>
      <c r="L1680" s="123"/>
      <c r="M1680" s="3"/>
      <c r="N1680" s="3"/>
      <c r="O1680" s="3"/>
      <c r="P1680" s="125"/>
      <c r="Q1680" s="125"/>
      <c r="R1680" s="127"/>
      <c r="S1680" s="123"/>
      <c r="T1680" s="3"/>
      <c r="W1680" s="86"/>
      <c r="Y1680" s="75"/>
    </row>
    <row r="1681" spans="1:25" x14ac:dyDescent="0.25">
      <c r="A1681" s="75"/>
      <c r="C1681" s="81"/>
      <c r="D1681" s="81"/>
      <c r="I1681" s="81"/>
      <c r="K1681" s="82"/>
      <c r="L1681" s="123"/>
      <c r="M1681" s="3"/>
      <c r="N1681" s="3"/>
      <c r="O1681" s="3"/>
      <c r="P1681" s="125"/>
      <c r="Q1681" s="125"/>
      <c r="R1681" s="127"/>
      <c r="S1681" s="123"/>
      <c r="T1681" s="3"/>
      <c r="W1681" s="86"/>
      <c r="Y1681" s="75"/>
    </row>
    <row r="1682" spans="1:25" x14ac:dyDescent="0.25">
      <c r="A1682" s="75"/>
      <c r="C1682" s="81"/>
      <c r="D1682" s="81"/>
      <c r="I1682" s="81"/>
      <c r="K1682" s="82"/>
      <c r="L1682" s="123"/>
      <c r="M1682" s="3"/>
      <c r="N1682" s="3"/>
      <c r="O1682" s="3"/>
      <c r="P1682" s="125"/>
      <c r="Q1682" s="125"/>
      <c r="R1682" s="127"/>
      <c r="S1682" s="123"/>
      <c r="T1682" s="3"/>
      <c r="W1682" s="86"/>
      <c r="Y1682" s="75"/>
    </row>
    <row r="1683" spans="1:25" x14ac:dyDescent="0.25">
      <c r="A1683" s="75"/>
      <c r="C1683" s="81"/>
      <c r="D1683" s="81"/>
      <c r="I1683" s="81"/>
      <c r="K1683" s="82"/>
      <c r="L1683" s="123"/>
      <c r="M1683" s="3"/>
      <c r="N1683" s="3"/>
      <c r="O1683" s="3"/>
      <c r="P1683" s="125"/>
      <c r="Q1683" s="125"/>
      <c r="R1683" s="127"/>
      <c r="S1683" s="123"/>
      <c r="T1683" s="3"/>
      <c r="W1683" s="86"/>
      <c r="Y1683" s="75"/>
    </row>
    <row r="1684" spans="1:25" x14ac:dyDescent="0.25">
      <c r="A1684" s="75"/>
      <c r="C1684" s="81"/>
      <c r="D1684" s="81"/>
      <c r="I1684" s="81"/>
      <c r="K1684" s="82"/>
      <c r="L1684" s="123"/>
      <c r="M1684" s="3"/>
      <c r="N1684" s="3"/>
      <c r="O1684" s="3"/>
      <c r="P1684" s="125"/>
      <c r="Q1684" s="125"/>
      <c r="R1684" s="127"/>
      <c r="S1684" s="123"/>
      <c r="T1684" s="3"/>
      <c r="W1684" s="86"/>
      <c r="Y1684" s="75"/>
    </row>
    <row r="1685" spans="1:25" x14ac:dyDescent="0.25">
      <c r="A1685" s="75"/>
      <c r="C1685" s="81"/>
      <c r="D1685" s="81"/>
      <c r="I1685" s="81"/>
      <c r="K1685" s="82"/>
      <c r="L1685" s="123"/>
      <c r="M1685" s="3"/>
      <c r="N1685" s="3"/>
      <c r="O1685" s="3"/>
      <c r="P1685" s="125"/>
      <c r="Q1685" s="125"/>
      <c r="R1685" s="127"/>
      <c r="S1685" s="123"/>
      <c r="T1685" s="3"/>
      <c r="W1685" s="86"/>
      <c r="Y1685" s="75"/>
    </row>
    <row r="1686" spans="1:25" x14ac:dyDescent="0.25">
      <c r="A1686" s="75"/>
      <c r="C1686" s="81"/>
      <c r="D1686" s="81"/>
      <c r="I1686" s="81"/>
      <c r="K1686" s="82"/>
      <c r="L1686" s="123"/>
      <c r="M1686" s="3"/>
      <c r="N1686" s="3"/>
      <c r="O1686" s="3"/>
      <c r="P1686" s="125"/>
      <c r="Q1686" s="125"/>
      <c r="R1686" s="127"/>
      <c r="S1686" s="123"/>
      <c r="T1686" s="3"/>
      <c r="W1686" s="86"/>
      <c r="Y1686" s="75"/>
    </row>
    <row r="1687" spans="1:25" x14ac:dyDescent="0.25">
      <c r="A1687" s="75"/>
      <c r="C1687" s="81"/>
      <c r="D1687" s="81"/>
      <c r="I1687" s="81"/>
      <c r="K1687" s="82"/>
      <c r="L1687" s="123"/>
      <c r="M1687" s="3"/>
      <c r="N1687" s="3"/>
      <c r="O1687" s="3"/>
      <c r="P1687" s="125"/>
      <c r="Q1687" s="125"/>
      <c r="R1687" s="127"/>
      <c r="S1687" s="123"/>
      <c r="T1687" s="3"/>
      <c r="W1687" s="86"/>
      <c r="Y1687" s="75"/>
    </row>
    <row r="1688" spans="1:25" x14ac:dyDescent="0.25">
      <c r="A1688" s="75"/>
      <c r="C1688" s="81"/>
      <c r="D1688" s="81"/>
      <c r="I1688" s="81"/>
      <c r="K1688" s="82"/>
      <c r="L1688" s="123"/>
      <c r="M1688" s="3"/>
      <c r="N1688" s="3"/>
      <c r="O1688" s="3"/>
      <c r="P1688" s="125"/>
      <c r="Q1688" s="125"/>
      <c r="R1688" s="127"/>
      <c r="S1688" s="123"/>
      <c r="T1688" s="3"/>
      <c r="W1688" s="86"/>
      <c r="Y1688" s="75"/>
    </row>
    <row r="1689" spans="1:25" x14ac:dyDescent="0.25">
      <c r="A1689" s="75"/>
      <c r="C1689" s="81"/>
      <c r="D1689" s="81"/>
      <c r="I1689" s="81"/>
      <c r="K1689" s="82"/>
      <c r="L1689" s="123"/>
      <c r="M1689" s="3"/>
      <c r="N1689" s="3"/>
      <c r="O1689" s="3"/>
      <c r="P1689" s="125"/>
      <c r="Q1689" s="125"/>
      <c r="R1689" s="127"/>
      <c r="S1689" s="123"/>
      <c r="T1689" s="3"/>
      <c r="W1689" s="86"/>
      <c r="Y1689" s="75"/>
    </row>
    <row r="1690" spans="1:25" x14ac:dyDescent="0.25">
      <c r="A1690" s="75"/>
      <c r="C1690" s="81"/>
      <c r="D1690" s="81"/>
      <c r="I1690" s="81"/>
      <c r="K1690" s="82"/>
      <c r="L1690" s="123"/>
      <c r="M1690" s="3"/>
      <c r="N1690" s="3"/>
      <c r="O1690" s="3"/>
      <c r="P1690" s="125"/>
      <c r="Q1690" s="125"/>
      <c r="R1690" s="127"/>
      <c r="S1690" s="123"/>
      <c r="T1690" s="3"/>
      <c r="W1690" s="86"/>
      <c r="Y1690" s="75"/>
    </row>
    <row r="1691" spans="1:25" x14ac:dyDescent="0.25">
      <c r="A1691" s="75"/>
      <c r="C1691" s="81"/>
      <c r="D1691" s="81"/>
      <c r="I1691" s="81"/>
      <c r="K1691" s="82"/>
      <c r="L1691" s="123"/>
      <c r="M1691" s="3"/>
      <c r="N1691" s="3"/>
      <c r="O1691" s="3"/>
      <c r="P1691" s="125"/>
      <c r="Q1691" s="125"/>
      <c r="R1691" s="127"/>
      <c r="S1691" s="123"/>
      <c r="T1691" s="3"/>
      <c r="W1691" s="86"/>
      <c r="Y1691" s="75"/>
    </row>
    <row r="1692" spans="1:25" x14ac:dyDescent="0.25">
      <c r="A1692" s="75"/>
      <c r="C1692" s="81"/>
      <c r="D1692" s="81"/>
      <c r="I1692" s="81"/>
      <c r="K1692" s="82"/>
      <c r="L1692" s="123"/>
      <c r="M1692" s="3"/>
      <c r="N1692" s="3"/>
      <c r="O1692" s="3"/>
      <c r="P1692" s="125"/>
      <c r="Q1692" s="125"/>
      <c r="R1692" s="127"/>
      <c r="S1692" s="123"/>
      <c r="T1692" s="3"/>
      <c r="W1692" s="86"/>
      <c r="Y1692" s="75"/>
    </row>
    <row r="1693" spans="1:25" x14ac:dyDescent="0.25">
      <c r="A1693" s="75"/>
      <c r="C1693" s="81"/>
      <c r="D1693" s="81"/>
      <c r="I1693" s="81"/>
      <c r="K1693" s="82"/>
      <c r="L1693" s="123"/>
      <c r="M1693" s="3"/>
      <c r="N1693" s="3"/>
      <c r="O1693" s="3"/>
      <c r="P1693" s="125"/>
      <c r="Q1693" s="125"/>
      <c r="R1693" s="127"/>
      <c r="S1693" s="123"/>
      <c r="T1693" s="3"/>
      <c r="W1693" s="86"/>
      <c r="Y1693" s="75"/>
    </row>
    <row r="1694" spans="1:25" x14ac:dyDescent="0.25">
      <c r="A1694" s="75"/>
      <c r="C1694" s="81"/>
      <c r="D1694" s="81"/>
      <c r="I1694" s="81"/>
      <c r="K1694" s="82"/>
      <c r="L1694" s="123"/>
      <c r="M1694" s="3"/>
      <c r="N1694" s="3"/>
      <c r="O1694" s="3"/>
      <c r="P1694" s="125"/>
      <c r="Q1694" s="125"/>
      <c r="R1694" s="127"/>
      <c r="S1694" s="123"/>
      <c r="T1694" s="3"/>
      <c r="W1694" s="86"/>
      <c r="Y1694" s="75"/>
    </row>
    <row r="1695" spans="1:25" x14ac:dyDescent="0.25">
      <c r="A1695" s="75"/>
      <c r="C1695" s="81"/>
      <c r="D1695" s="81"/>
      <c r="I1695" s="81"/>
      <c r="K1695" s="82"/>
      <c r="L1695" s="123"/>
      <c r="M1695" s="3"/>
      <c r="N1695" s="3"/>
      <c r="O1695" s="3"/>
      <c r="P1695" s="125"/>
      <c r="Q1695" s="125"/>
      <c r="R1695" s="127"/>
      <c r="S1695" s="123"/>
      <c r="T1695" s="3"/>
      <c r="W1695" s="86"/>
      <c r="Y1695" s="75"/>
    </row>
    <row r="1696" spans="1:25" x14ac:dyDescent="0.25">
      <c r="A1696" s="75"/>
      <c r="C1696" s="81"/>
      <c r="D1696" s="81"/>
      <c r="I1696" s="81"/>
      <c r="K1696" s="82"/>
      <c r="L1696" s="123"/>
      <c r="M1696" s="3"/>
      <c r="N1696" s="3"/>
      <c r="O1696" s="3"/>
      <c r="P1696" s="125"/>
      <c r="Q1696" s="125"/>
      <c r="R1696" s="127"/>
      <c r="S1696" s="123"/>
      <c r="T1696" s="3"/>
      <c r="W1696" s="86"/>
      <c r="Y1696" s="75"/>
    </row>
    <row r="1697" spans="1:25" x14ac:dyDescent="0.25">
      <c r="A1697" s="75"/>
      <c r="C1697" s="81"/>
      <c r="D1697" s="81"/>
      <c r="I1697" s="81"/>
      <c r="K1697" s="82"/>
      <c r="L1697" s="123"/>
      <c r="M1697" s="3"/>
      <c r="N1697" s="3"/>
      <c r="O1697" s="3"/>
      <c r="P1697" s="125"/>
      <c r="Q1697" s="125"/>
      <c r="R1697" s="127"/>
      <c r="S1697" s="123"/>
      <c r="T1697" s="3"/>
      <c r="W1697" s="86"/>
      <c r="Y1697" s="75"/>
    </row>
    <row r="1698" spans="1:25" x14ac:dyDescent="0.25">
      <c r="A1698" s="75"/>
      <c r="C1698" s="81"/>
      <c r="D1698" s="81"/>
      <c r="I1698" s="81"/>
      <c r="K1698" s="82"/>
      <c r="L1698" s="123"/>
      <c r="M1698" s="3"/>
      <c r="N1698" s="3"/>
      <c r="O1698" s="3"/>
      <c r="P1698" s="125"/>
      <c r="Q1698" s="125"/>
      <c r="R1698" s="127"/>
      <c r="S1698" s="123"/>
      <c r="T1698" s="3"/>
      <c r="W1698" s="86"/>
      <c r="Y1698" s="75"/>
    </row>
    <row r="1699" spans="1:25" x14ac:dyDescent="0.25">
      <c r="A1699" s="75"/>
      <c r="C1699" s="81"/>
      <c r="D1699" s="81"/>
      <c r="I1699" s="81"/>
      <c r="K1699" s="82"/>
      <c r="L1699" s="123"/>
      <c r="M1699" s="3"/>
      <c r="N1699" s="3"/>
      <c r="O1699" s="3"/>
      <c r="P1699" s="125"/>
      <c r="Q1699" s="125"/>
      <c r="R1699" s="127"/>
      <c r="S1699" s="123"/>
      <c r="T1699" s="3"/>
      <c r="W1699" s="86"/>
      <c r="Y1699" s="75"/>
    </row>
    <row r="1700" spans="1:25" x14ac:dyDescent="0.25">
      <c r="A1700" s="75"/>
      <c r="C1700" s="81"/>
      <c r="D1700" s="81"/>
      <c r="I1700" s="81"/>
      <c r="K1700" s="82"/>
      <c r="L1700" s="123"/>
      <c r="M1700" s="3"/>
      <c r="N1700" s="3"/>
      <c r="O1700" s="3"/>
      <c r="P1700" s="125"/>
      <c r="Q1700" s="125"/>
      <c r="R1700" s="127"/>
      <c r="S1700" s="123"/>
      <c r="T1700" s="3"/>
      <c r="W1700" s="86"/>
      <c r="Y1700" s="75"/>
    </row>
    <row r="1701" spans="1:25" x14ac:dyDescent="0.25">
      <c r="A1701" s="75"/>
      <c r="C1701" s="81"/>
      <c r="D1701" s="81"/>
      <c r="I1701" s="81"/>
      <c r="K1701" s="82"/>
      <c r="L1701" s="123"/>
      <c r="M1701" s="3"/>
      <c r="N1701" s="3"/>
      <c r="O1701" s="3"/>
      <c r="P1701" s="125"/>
      <c r="Q1701" s="125"/>
      <c r="R1701" s="127"/>
      <c r="S1701" s="123"/>
      <c r="T1701" s="3"/>
      <c r="W1701" s="86"/>
      <c r="Y1701" s="75"/>
    </row>
    <row r="1702" spans="1:25" x14ac:dyDescent="0.25">
      <c r="A1702" s="75"/>
      <c r="C1702" s="81"/>
      <c r="D1702" s="81"/>
      <c r="I1702" s="81"/>
      <c r="K1702" s="82"/>
      <c r="L1702" s="123"/>
      <c r="M1702" s="3"/>
      <c r="N1702" s="3"/>
      <c r="O1702" s="3"/>
      <c r="P1702" s="125"/>
      <c r="Q1702" s="125"/>
      <c r="R1702" s="127"/>
      <c r="S1702" s="123"/>
      <c r="T1702" s="3"/>
      <c r="W1702" s="86"/>
      <c r="Y1702" s="75"/>
    </row>
    <row r="1703" spans="1:25" x14ac:dyDescent="0.25">
      <c r="A1703" s="75"/>
      <c r="C1703" s="81"/>
      <c r="D1703" s="81"/>
      <c r="I1703" s="81"/>
      <c r="K1703" s="82"/>
      <c r="L1703" s="123"/>
      <c r="M1703" s="3"/>
      <c r="N1703" s="3"/>
      <c r="O1703" s="3"/>
      <c r="P1703" s="125"/>
      <c r="Q1703" s="125"/>
      <c r="R1703" s="127"/>
      <c r="S1703" s="123"/>
      <c r="T1703" s="3"/>
      <c r="W1703" s="86"/>
      <c r="Y1703" s="75"/>
    </row>
    <row r="1704" spans="1:25" x14ac:dyDescent="0.25">
      <c r="A1704" s="75"/>
      <c r="C1704" s="81"/>
      <c r="D1704" s="81"/>
      <c r="I1704" s="81"/>
      <c r="K1704" s="82"/>
      <c r="L1704" s="123"/>
      <c r="M1704" s="3"/>
      <c r="N1704" s="3"/>
      <c r="O1704" s="3"/>
      <c r="P1704" s="125"/>
      <c r="Q1704" s="125"/>
      <c r="R1704" s="127"/>
      <c r="S1704" s="123"/>
      <c r="T1704" s="3"/>
      <c r="W1704" s="86"/>
      <c r="Y1704" s="75"/>
    </row>
    <row r="1705" spans="1:25" x14ac:dyDescent="0.25">
      <c r="A1705" s="75"/>
      <c r="C1705" s="81"/>
      <c r="D1705" s="81"/>
      <c r="I1705" s="81"/>
      <c r="K1705" s="82"/>
      <c r="L1705" s="123"/>
      <c r="M1705" s="3"/>
      <c r="N1705" s="3"/>
      <c r="O1705" s="3"/>
      <c r="P1705" s="125"/>
      <c r="Q1705" s="125"/>
      <c r="R1705" s="127"/>
      <c r="S1705" s="123"/>
      <c r="T1705" s="3"/>
      <c r="W1705" s="86"/>
      <c r="Y1705" s="75"/>
    </row>
    <row r="1706" spans="1:25" x14ac:dyDescent="0.25">
      <c r="A1706" s="75"/>
      <c r="C1706" s="81"/>
      <c r="D1706" s="81"/>
      <c r="I1706" s="81"/>
      <c r="K1706" s="82"/>
      <c r="L1706" s="123"/>
      <c r="M1706" s="3"/>
      <c r="N1706" s="3"/>
      <c r="O1706" s="3"/>
      <c r="P1706" s="125"/>
      <c r="Q1706" s="125"/>
      <c r="R1706" s="127"/>
      <c r="S1706" s="123"/>
      <c r="T1706" s="3"/>
      <c r="W1706" s="86"/>
      <c r="Y1706" s="75"/>
    </row>
    <row r="1707" spans="1:25" x14ac:dyDescent="0.25">
      <c r="A1707" s="75"/>
      <c r="C1707" s="81"/>
      <c r="D1707" s="81"/>
      <c r="I1707" s="81"/>
      <c r="K1707" s="82"/>
      <c r="L1707" s="123"/>
      <c r="M1707" s="3"/>
      <c r="N1707" s="3"/>
      <c r="O1707" s="3"/>
      <c r="P1707" s="125"/>
      <c r="Q1707" s="125"/>
      <c r="R1707" s="127"/>
      <c r="S1707" s="123"/>
      <c r="T1707" s="3"/>
      <c r="W1707" s="86"/>
      <c r="Y1707" s="75"/>
    </row>
    <row r="1708" spans="1:25" x14ac:dyDescent="0.25">
      <c r="A1708" s="75"/>
      <c r="C1708" s="81"/>
      <c r="D1708" s="81"/>
      <c r="I1708" s="81"/>
      <c r="K1708" s="82"/>
      <c r="L1708" s="123"/>
      <c r="M1708" s="3"/>
      <c r="N1708" s="3"/>
      <c r="O1708" s="3"/>
      <c r="P1708" s="125"/>
      <c r="Q1708" s="125"/>
      <c r="R1708" s="127"/>
      <c r="S1708" s="123"/>
      <c r="T1708" s="3"/>
      <c r="W1708" s="86"/>
      <c r="Y1708" s="75"/>
    </row>
    <row r="1709" spans="1:25" x14ac:dyDescent="0.25">
      <c r="A1709" s="75"/>
      <c r="C1709" s="81"/>
      <c r="D1709" s="81"/>
      <c r="I1709" s="81"/>
      <c r="K1709" s="82"/>
      <c r="L1709" s="123"/>
      <c r="M1709" s="3"/>
      <c r="N1709" s="3"/>
      <c r="O1709" s="3"/>
      <c r="P1709" s="125"/>
      <c r="Q1709" s="125"/>
      <c r="R1709" s="127"/>
      <c r="S1709" s="123"/>
      <c r="T1709" s="3"/>
      <c r="W1709" s="86"/>
      <c r="Y1709" s="75"/>
    </row>
    <row r="1710" spans="1:25" x14ac:dyDescent="0.25">
      <c r="A1710" s="75"/>
      <c r="C1710" s="81"/>
      <c r="D1710" s="81"/>
      <c r="I1710" s="81"/>
      <c r="K1710" s="82"/>
      <c r="L1710" s="123"/>
      <c r="M1710" s="3"/>
      <c r="N1710" s="3"/>
      <c r="O1710" s="3"/>
      <c r="P1710" s="125"/>
      <c r="Q1710" s="125"/>
      <c r="R1710" s="127"/>
      <c r="S1710" s="123"/>
      <c r="T1710" s="3"/>
      <c r="W1710" s="86"/>
      <c r="Y1710" s="75"/>
    </row>
    <row r="1711" spans="1:25" x14ac:dyDescent="0.25">
      <c r="A1711" s="75"/>
      <c r="C1711" s="81"/>
      <c r="D1711" s="81"/>
      <c r="I1711" s="81"/>
      <c r="K1711" s="82"/>
      <c r="L1711" s="123"/>
      <c r="M1711" s="3"/>
      <c r="N1711" s="3"/>
      <c r="O1711" s="3"/>
      <c r="P1711" s="125"/>
      <c r="Q1711" s="125"/>
      <c r="R1711" s="127"/>
      <c r="S1711" s="123"/>
      <c r="T1711" s="3"/>
      <c r="W1711" s="86"/>
      <c r="Y1711" s="75"/>
    </row>
    <row r="1712" spans="1:25" x14ac:dyDescent="0.25">
      <c r="A1712" s="75"/>
      <c r="C1712" s="81"/>
      <c r="D1712" s="81"/>
      <c r="I1712" s="81"/>
      <c r="K1712" s="82"/>
      <c r="L1712" s="123"/>
      <c r="M1712" s="3"/>
      <c r="N1712" s="3"/>
      <c r="O1712" s="3"/>
      <c r="P1712" s="125"/>
      <c r="Q1712" s="125"/>
      <c r="R1712" s="127"/>
      <c r="S1712" s="123"/>
      <c r="T1712" s="3"/>
      <c r="W1712" s="86"/>
      <c r="Y1712" s="75"/>
    </row>
    <row r="1713" spans="1:25" x14ac:dyDescent="0.25">
      <c r="A1713" s="75"/>
      <c r="C1713" s="81"/>
      <c r="D1713" s="81"/>
      <c r="I1713" s="81"/>
      <c r="K1713" s="82"/>
      <c r="L1713" s="123"/>
      <c r="M1713" s="3"/>
      <c r="N1713" s="3"/>
      <c r="O1713" s="3"/>
      <c r="P1713" s="125"/>
      <c r="Q1713" s="125"/>
      <c r="R1713" s="127"/>
      <c r="S1713" s="123"/>
      <c r="T1713" s="3"/>
      <c r="W1713" s="86"/>
      <c r="Y1713" s="75"/>
    </row>
    <row r="1714" spans="1:25" x14ac:dyDescent="0.25">
      <c r="A1714" s="75"/>
      <c r="C1714" s="81"/>
      <c r="D1714" s="81"/>
      <c r="I1714" s="81"/>
      <c r="K1714" s="82"/>
      <c r="L1714" s="123"/>
      <c r="M1714" s="3"/>
      <c r="N1714" s="3"/>
      <c r="O1714" s="3"/>
      <c r="P1714" s="125"/>
      <c r="Q1714" s="125"/>
      <c r="R1714" s="127"/>
      <c r="S1714" s="123"/>
      <c r="T1714" s="3"/>
      <c r="W1714" s="86"/>
      <c r="Y1714" s="75"/>
    </row>
    <row r="1715" spans="1:25" x14ac:dyDescent="0.25">
      <c r="A1715" s="75"/>
      <c r="C1715" s="81"/>
      <c r="D1715" s="81"/>
      <c r="I1715" s="81"/>
      <c r="K1715" s="82"/>
      <c r="L1715" s="123"/>
      <c r="M1715" s="3"/>
      <c r="N1715" s="3"/>
      <c r="O1715" s="3"/>
      <c r="P1715" s="125"/>
      <c r="Q1715" s="125"/>
      <c r="R1715" s="127"/>
      <c r="S1715" s="123"/>
      <c r="T1715" s="3"/>
      <c r="W1715" s="86"/>
      <c r="Y1715" s="75"/>
    </row>
    <row r="1716" spans="1:25" x14ac:dyDescent="0.25">
      <c r="A1716" s="75"/>
      <c r="C1716" s="81"/>
      <c r="D1716" s="81"/>
      <c r="I1716" s="81"/>
      <c r="K1716" s="82"/>
      <c r="L1716" s="123"/>
      <c r="M1716" s="3"/>
      <c r="N1716" s="3"/>
      <c r="O1716" s="3"/>
      <c r="P1716" s="125"/>
      <c r="Q1716" s="125"/>
      <c r="R1716" s="127"/>
      <c r="S1716" s="123"/>
      <c r="T1716" s="3"/>
      <c r="W1716" s="86"/>
      <c r="Y1716" s="75"/>
    </row>
    <row r="1717" spans="1:25" x14ac:dyDescent="0.25">
      <c r="A1717" s="75"/>
      <c r="C1717" s="81"/>
      <c r="D1717" s="81"/>
      <c r="I1717" s="81"/>
      <c r="K1717" s="82"/>
      <c r="L1717" s="123"/>
      <c r="M1717" s="3"/>
      <c r="N1717" s="3"/>
      <c r="O1717" s="3"/>
      <c r="P1717" s="125"/>
      <c r="Q1717" s="125"/>
      <c r="R1717" s="127"/>
      <c r="S1717" s="123"/>
      <c r="T1717" s="3"/>
      <c r="W1717" s="86"/>
      <c r="Y1717" s="75"/>
    </row>
    <row r="1718" spans="1:25" x14ac:dyDescent="0.25">
      <c r="A1718" s="75"/>
      <c r="C1718" s="81"/>
      <c r="D1718" s="81"/>
      <c r="I1718" s="81"/>
      <c r="K1718" s="82"/>
      <c r="L1718" s="123"/>
      <c r="M1718" s="3"/>
      <c r="N1718" s="3"/>
      <c r="O1718" s="3"/>
      <c r="P1718" s="125"/>
      <c r="Q1718" s="125"/>
      <c r="R1718" s="127"/>
      <c r="S1718" s="123"/>
      <c r="T1718" s="3"/>
      <c r="W1718" s="86"/>
      <c r="Y1718" s="75"/>
    </row>
    <row r="1719" spans="1:25" x14ac:dyDescent="0.25">
      <c r="A1719" s="75"/>
      <c r="C1719" s="81"/>
      <c r="D1719" s="81"/>
      <c r="I1719" s="81"/>
      <c r="K1719" s="82"/>
      <c r="L1719" s="123"/>
      <c r="M1719" s="3"/>
      <c r="N1719" s="3"/>
      <c r="O1719" s="3"/>
      <c r="P1719" s="125"/>
      <c r="Q1719" s="125"/>
      <c r="R1719" s="127"/>
      <c r="S1719" s="123"/>
      <c r="T1719" s="3"/>
      <c r="W1719" s="86"/>
      <c r="Y1719" s="75"/>
    </row>
    <row r="1720" spans="1:25" x14ac:dyDescent="0.25">
      <c r="A1720" s="75"/>
      <c r="C1720" s="81"/>
      <c r="D1720" s="81"/>
      <c r="I1720" s="81"/>
      <c r="K1720" s="82"/>
      <c r="L1720" s="123"/>
      <c r="M1720" s="3"/>
      <c r="N1720" s="3"/>
      <c r="O1720" s="3"/>
      <c r="P1720" s="125"/>
      <c r="Q1720" s="125"/>
      <c r="R1720" s="127"/>
      <c r="S1720" s="123"/>
      <c r="T1720" s="3"/>
      <c r="W1720" s="86"/>
      <c r="Y1720" s="75"/>
    </row>
    <row r="1721" spans="1:25" x14ac:dyDescent="0.25">
      <c r="A1721" s="75"/>
      <c r="C1721" s="81"/>
      <c r="D1721" s="81"/>
      <c r="I1721" s="81"/>
      <c r="K1721" s="82"/>
      <c r="L1721" s="123"/>
      <c r="M1721" s="3"/>
      <c r="N1721" s="3"/>
      <c r="O1721" s="3"/>
      <c r="P1721" s="125"/>
      <c r="Q1721" s="125"/>
      <c r="R1721" s="127"/>
      <c r="S1721" s="123"/>
      <c r="T1721" s="3"/>
      <c r="W1721" s="86"/>
      <c r="Y1721" s="75"/>
    </row>
    <row r="1722" spans="1:25" x14ac:dyDescent="0.25">
      <c r="A1722" s="75"/>
      <c r="C1722" s="81"/>
      <c r="D1722" s="81"/>
      <c r="I1722" s="81"/>
      <c r="K1722" s="82"/>
      <c r="L1722" s="123"/>
      <c r="M1722" s="3"/>
      <c r="N1722" s="3"/>
      <c r="O1722" s="3"/>
      <c r="P1722" s="125"/>
      <c r="Q1722" s="125"/>
      <c r="R1722" s="127"/>
      <c r="S1722" s="123"/>
      <c r="T1722" s="3"/>
      <c r="W1722" s="86"/>
      <c r="Y1722" s="75"/>
    </row>
    <row r="1723" spans="1:25" x14ac:dyDescent="0.25">
      <c r="A1723" s="75"/>
      <c r="C1723" s="81"/>
      <c r="D1723" s="81"/>
      <c r="I1723" s="81"/>
      <c r="K1723" s="82"/>
      <c r="L1723" s="123"/>
      <c r="M1723" s="3"/>
      <c r="N1723" s="3"/>
      <c r="O1723" s="3"/>
      <c r="P1723" s="125"/>
      <c r="Q1723" s="125"/>
      <c r="R1723" s="127"/>
      <c r="S1723" s="123"/>
      <c r="T1723" s="3"/>
      <c r="W1723" s="86"/>
      <c r="Y1723" s="75"/>
    </row>
    <row r="1724" spans="1:25" x14ac:dyDescent="0.25">
      <c r="A1724" s="75"/>
      <c r="C1724" s="81"/>
      <c r="D1724" s="81"/>
      <c r="I1724" s="81"/>
      <c r="K1724" s="82"/>
      <c r="L1724" s="123"/>
      <c r="M1724" s="3"/>
      <c r="N1724" s="3"/>
      <c r="O1724" s="3"/>
      <c r="P1724" s="125"/>
      <c r="Q1724" s="125"/>
      <c r="R1724" s="127"/>
      <c r="S1724" s="123"/>
      <c r="T1724" s="3"/>
      <c r="W1724" s="86"/>
      <c r="Y1724" s="75"/>
    </row>
    <row r="1725" spans="1:25" x14ac:dyDescent="0.25">
      <c r="A1725" s="75"/>
      <c r="C1725" s="81"/>
      <c r="D1725" s="81"/>
      <c r="I1725" s="81"/>
      <c r="K1725" s="82"/>
      <c r="L1725" s="123"/>
      <c r="M1725" s="3"/>
      <c r="N1725" s="3"/>
      <c r="O1725" s="3"/>
      <c r="P1725" s="125"/>
      <c r="Q1725" s="125"/>
      <c r="R1725" s="127"/>
      <c r="S1725" s="123"/>
      <c r="T1725" s="3"/>
      <c r="W1725" s="86"/>
      <c r="Y1725" s="75"/>
    </row>
    <row r="1726" spans="1:25" x14ac:dyDescent="0.25">
      <c r="A1726" s="75"/>
      <c r="C1726" s="81"/>
      <c r="D1726" s="81"/>
      <c r="I1726" s="81"/>
      <c r="K1726" s="82"/>
      <c r="L1726" s="123"/>
      <c r="M1726" s="3"/>
      <c r="N1726" s="3"/>
      <c r="O1726" s="3"/>
      <c r="P1726" s="125"/>
      <c r="Q1726" s="125"/>
      <c r="R1726" s="127"/>
      <c r="S1726" s="123"/>
      <c r="T1726" s="3"/>
      <c r="W1726" s="86"/>
      <c r="Y1726" s="75"/>
    </row>
    <row r="1727" spans="1:25" x14ac:dyDescent="0.25">
      <c r="A1727" s="75"/>
      <c r="C1727" s="81"/>
      <c r="D1727" s="81"/>
      <c r="I1727" s="81"/>
      <c r="K1727" s="82"/>
      <c r="L1727" s="123"/>
      <c r="M1727" s="3"/>
      <c r="N1727" s="3"/>
      <c r="O1727" s="3"/>
      <c r="P1727" s="125"/>
      <c r="Q1727" s="125"/>
      <c r="R1727" s="127"/>
      <c r="S1727" s="123"/>
      <c r="T1727" s="3"/>
      <c r="W1727" s="86"/>
      <c r="Y1727" s="75"/>
    </row>
    <row r="1728" spans="1:25" x14ac:dyDescent="0.25">
      <c r="A1728" s="75"/>
      <c r="C1728" s="81"/>
      <c r="D1728" s="81"/>
      <c r="I1728" s="81"/>
      <c r="K1728" s="82"/>
      <c r="L1728" s="123"/>
      <c r="M1728" s="3"/>
      <c r="N1728" s="3"/>
      <c r="O1728" s="3"/>
      <c r="P1728" s="125"/>
      <c r="Q1728" s="125"/>
      <c r="R1728" s="127"/>
      <c r="S1728" s="123"/>
      <c r="T1728" s="3"/>
      <c r="W1728" s="86"/>
      <c r="Y1728" s="75"/>
    </row>
    <row r="1729" spans="1:25" x14ac:dyDescent="0.25">
      <c r="A1729" s="75"/>
      <c r="C1729" s="81"/>
      <c r="D1729" s="81"/>
      <c r="I1729" s="81"/>
      <c r="K1729" s="82"/>
      <c r="L1729" s="123"/>
      <c r="M1729" s="3"/>
      <c r="N1729" s="3"/>
      <c r="O1729" s="3"/>
      <c r="P1729" s="125"/>
      <c r="Q1729" s="125"/>
      <c r="R1729" s="127"/>
      <c r="S1729" s="123"/>
      <c r="T1729" s="3"/>
      <c r="W1729" s="86"/>
      <c r="Y1729" s="75"/>
    </row>
    <row r="1730" spans="1:25" x14ac:dyDescent="0.25">
      <c r="A1730" s="75"/>
      <c r="C1730" s="81"/>
      <c r="D1730" s="81"/>
      <c r="I1730" s="81"/>
      <c r="K1730" s="82"/>
      <c r="L1730" s="123"/>
      <c r="M1730" s="3"/>
      <c r="N1730" s="3"/>
      <c r="O1730" s="3"/>
      <c r="P1730" s="125"/>
      <c r="Q1730" s="125"/>
      <c r="R1730" s="127"/>
      <c r="S1730" s="123"/>
      <c r="T1730" s="3"/>
      <c r="W1730" s="86"/>
      <c r="Y1730" s="75"/>
    </row>
    <row r="1731" spans="1:25" x14ac:dyDescent="0.25">
      <c r="A1731" s="75"/>
      <c r="C1731" s="81"/>
      <c r="D1731" s="81"/>
      <c r="I1731" s="81"/>
      <c r="K1731" s="82"/>
      <c r="L1731" s="123"/>
      <c r="M1731" s="3"/>
      <c r="N1731" s="3"/>
      <c r="O1731" s="3"/>
      <c r="P1731" s="125"/>
      <c r="Q1731" s="125"/>
      <c r="R1731" s="127"/>
      <c r="S1731" s="123"/>
      <c r="T1731" s="3"/>
      <c r="W1731" s="86"/>
      <c r="Y1731" s="75"/>
    </row>
    <row r="1732" spans="1:25" x14ac:dyDescent="0.25">
      <c r="A1732" s="75"/>
      <c r="C1732" s="81"/>
      <c r="D1732" s="81"/>
      <c r="I1732" s="81"/>
      <c r="K1732" s="82"/>
      <c r="L1732" s="123"/>
      <c r="M1732" s="3"/>
      <c r="N1732" s="3"/>
      <c r="O1732" s="3"/>
      <c r="P1732" s="125"/>
      <c r="Q1732" s="125"/>
      <c r="R1732" s="127"/>
      <c r="S1732" s="123"/>
      <c r="T1732" s="3"/>
      <c r="W1732" s="86"/>
      <c r="Y1732" s="75"/>
    </row>
    <row r="1733" spans="1:25" x14ac:dyDescent="0.25">
      <c r="A1733" s="75"/>
      <c r="C1733" s="81"/>
      <c r="D1733" s="81"/>
      <c r="I1733" s="81"/>
      <c r="K1733" s="82"/>
      <c r="L1733" s="123"/>
      <c r="M1733" s="3"/>
      <c r="N1733" s="3"/>
      <c r="O1733" s="3"/>
      <c r="P1733" s="125"/>
      <c r="Q1733" s="125"/>
      <c r="R1733" s="127"/>
      <c r="S1733" s="123"/>
      <c r="T1733" s="3"/>
      <c r="W1733" s="86"/>
      <c r="Y1733" s="75"/>
    </row>
    <row r="1734" spans="1:25" x14ac:dyDescent="0.25">
      <c r="A1734" s="75"/>
      <c r="C1734" s="81"/>
      <c r="D1734" s="81"/>
      <c r="I1734" s="81"/>
      <c r="K1734" s="82"/>
      <c r="L1734" s="123"/>
      <c r="M1734" s="3"/>
      <c r="N1734" s="3"/>
      <c r="O1734" s="3"/>
      <c r="P1734" s="125"/>
      <c r="Q1734" s="125"/>
      <c r="R1734" s="127"/>
      <c r="S1734" s="123"/>
      <c r="T1734" s="3"/>
      <c r="W1734" s="86"/>
      <c r="Y1734" s="75"/>
    </row>
    <row r="1735" spans="1:25" x14ac:dyDescent="0.25">
      <c r="A1735" s="75"/>
      <c r="C1735" s="81"/>
      <c r="D1735" s="81"/>
      <c r="I1735" s="81"/>
      <c r="K1735" s="82"/>
      <c r="L1735" s="123"/>
      <c r="M1735" s="3"/>
      <c r="N1735" s="3"/>
      <c r="O1735" s="3"/>
      <c r="P1735" s="125"/>
      <c r="Q1735" s="125"/>
      <c r="R1735" s="127"/>
      <c r="S1735" s="123"/>
      <c r="T1735" s="3"/>
      <c r="W1735" s="86"/>
      <c r="Y1735" s="75"/>
    </row>
    <row r="1736" spans="1:25" x14ac:dyDescent="0.25">
      <c r="A1736" s="75"/>
      <c r="C1736" s="81"/>
      <c r="D1736" s="81"/>
      <c r="I1736" s="81"/>
      <c r="K1736" s="82"/>
      <c r="L1736" s="123"/>
      <c r="M1736" s="3"/>
      <c r="N1736" s="3"/>
      <c r="O1736" s="3"/>
      <c r="P1736" s="125"/>
      <c r="Q1736" s="125"/>
      <c r="R1736" s="127"/>
      <c r="S1736" s="123"/>
      <c r="T1736" s="3"/>
      <c r="W1736" s="86"/>
      <c r="Y1736" s="75"/>
    </row>
    <row r="1737" spans="1:25" x14ac:dyDescent="0.25">
      <c r="A1737" s="75"/>
      <c r="C1737" s="81"/>
      <c r="D1737" s="81"/>
      <c r="I1737" s="81"/>
      <c r="K1737" s="82"/>
      <c r="L1737" s="123"/>
      <c r="M1737" s="3"/>
      <c r="N1737" s="3"/>
      <c r="O1737" s="3"/>
      <c r="P1737" s="125"/>
      <c r="Q1737" s="125"/>
      <c r="R1737" s="127"/>
      <c r="S1737" s="123"/>
      <c r="T1737" s="3"/>
      <c r="W1737" s="86"/>
      <c r="Y1737" s="75"/>
    </row>
    <row r="1738" spans="1:25" x14ac:dyDescent="0.25">
      <c r="A1738" s="75"/>
      <c r="C1738" s="81"/>
      <c r="D1738" s="81"/>
      <c r="I1738" s="81"/>
      <c r="K1738" s="82"/>
      <c r="L1738" s="123"/>
      <c r="M1738" s="3"/>
      <c r="N1738" s="3"/>
      <c r="O1738" s="3"/>
      <c r="P1738" s="125"/>
      <c r="Q1738" s="125"/>
      <c r="R1738" s="127"/>
      <c r="S1738" s="123"/>
      <c r="T1738" s="3"/>
      <c r="W1738" s="86"/>
      <c r="Y1738" s="75"/>
    </row>
    <row r="1739" spans="1:25" x14ac:dyDescent="0.25">
      <c r="A1739" s="75"/>
      <c r="C1739" s="81"/>
      <c r="D1739" s="81"/>
      <c r="I1739" s="81"/>
      <c r="K1739" s="82"/>
      <c r="L1739" s="123"/>
      <c r="M1739" s="3"/>
      <c r="N1739" s="3"/>
      <c r="O1739" s="3"/>
      <c r="P1739" s="125"/>
      <c r="Q1739" s="125"/>
      <c r="R1739" s="127"/>
      <c r="S1739" s="123"/>
      <c r="T1739" s="3"/>
      <c r="W1739" s="86"/>
      <c r="Y1739" s="75"/>
    </row>
    <row r="1740" spans="1:25" x14ac:dyDescent="0.25">
      <c r="A1740" s="75"/>
      <c r="C1740" s="81"/>
      <c r="D1740" s="81"/>
      <c r="I1740" s="81"/>
      <c r="K1740" s="82"/>
      <c r="L1740" s="123"/>
      <c r="M1740" s="3"/>
      <c r="N1740" s="3"/>
      <c r="O1740" s="3"/>
      <c r="P1740" s="125"/>
      <c r="Q1740" s="125"/>
      <c r="R1740" s="127"/>
      <c r="S1740" s="123"/>
      <c r="T1740" s="3"/>
      <c r="W1740" s="86"/>
      <c r="Y1740" s="75"/>
    </row>
    <row r="1741" spans="1:25" x14ac:dyDescent="0.25">
      <c r="A1741" s="75"/>
      <c r="C1741" s="81"/>
      <c r="D1741" s="81"/>
      <c r="I1741" s="81"/>
      <c r="K1741" s="82"/>
      <c r="L1741" s="123"/>
      <c r="M1741" s="3"/>
      <c r="N1741" s="3"/>
      <c r="O1741" s="3"/>
      <c r="P1741" s="125"/>
      <c r="Q1741" s="125"/>
      <c r="R1741" s="127"/>
      <c r="S1741" s="123"/>
      <c r="T1741" s="3"/>
      <c r="W1741" s="86"/>
      <c r="Y1741" s="75"/>
    </row>
    <row r="1742" spans="1:25" x14ac:dyDescent="0.25">
      <c r="A1742" s="75"/>
      <c r="C1742" s="81"/>
      <c r="D1742" s="81"/>
      <c r="I1742" s="81"/>
      <c r="K1742" s="82"/>
      <c r="L1742" s="123"/>
      <c r="M1742" s="3"/>
      <c r="N1742" s="3"/>
      <c r="O1742" s="3"/>
      <c r="P1742" s="125"/>
      <c r="Q1742" s="125"/>
      <c r="R1742" s="127"/>
      <c r="S1742" s="123"/>
      <c r="T1742" s="3"/>
      <c r="W1742" s="86"/>
      <c r="Y1742" s="75"/>
    </row>
    <row r="1743" spans="1:25" x14ac:dyDescent="0.25">
      <c r="A1743" s="75"/>
      <c r="C1743" s="81"/>
      <c r="D1743" s="81"/>
      <c r="I1743" s="81"/>
      <c r="K1743" s="82"/>
      <c r="L1743" s="123"/>
      <c r="M1743" s="3"/>
      <c r="N1743" s="3"/>
      <c r="O1743" s="3"/>
      <c r="P1743" s="125"/>
      <c r="Q1743" s="125"/>
      <c r="R1743" s="127"/>
      <c r="S1743" s="123"/>
      <c r="T1743" s="3"/>
      <c r="W1743" s="86"/>
      <c r="Y1743" s="75"/>
    </row>
    <row r="1744" spans="1:25" x14ac:dyDescent="0.25">
      <c r="A1744" s="75"/>
      <c r="C1744" s="81"/>
      <c r="D1744" s="81"/>
      <c r="I1744" s="81"/>
      <c r="K1744" s="82"/>
      <c r="L1744" s="123"/>
      <c r="M1744" s="3"/>
      <c r="N1744" s="3"/>
      <c r="O1744" s="3"/>
      <c r="P1744" s="125"/>
      <c r="Q1744" s="125"/>
      <c r="R1744" s="127"/>
      <c r="S1744" s="123"/>
      <c r="T1744" s="3"/>
      <c r="W1744" s="86"/>
      <c r="Y1744" s="75"/>
    </row>
    <row r="1745" spans="1:25" x14ac:dyDescent="0.25">
      <c r="A1745" s="75"/>
      <c r="C1745" s="81"/>
      <c r="D1745" s="81"/>
      <c r="I1745" s="81"/>
      <c r="K1745" s="82"/>
      <c r="L1745" s="123"/>
      <c r="M1745" s="3"/>
      <c r="N1745" s="3"/>
      <c r="O1745" s="3"/>
      <c r="P1745" s="125"/>
      <c r="Q1745" s="125"/>
      <c r="R1745" s="127"/>
      <c r="S1745" s="123"/>
      <c r="T1745" s="3"/>
      <c r="W1745" s="86"/>
      <c r="Y1745" s="75"/>
    </row>
    <row r="1746" spans="1:25" x14ac:dyDescent="0.25">
      <c r="A1746" s="75"/>
      <c r="C1746" s="81"/>
      <c r="D1746" s="81"/>
      <c r="I1746" s="81"/>
      <c r="K1746" s="82"/>
      <c r="L1746" s="123"/>
      <c r="M1746" s="3"/>
      <c r="N1746" s="3"/>
      <c r="O1746" s="3"/>
      <c r="P1746" s="125"/>
      <c r="Q1746" s="125"/>
      <c r="R1746" s="127"/>
      <c r="S1746" s="123"/>
      <c r="T1746" s="3"/>
      <c r="W1746" s="86"/>
      <c r="Y1746" s="75"/>
    </row>
    <row r="1747" spans="1:25" x14ac:dyDescent="0.25">
      <c r="A1747" s="75"/>
      <c r="C1747" s="81"/>
      <c r="D1747" s="81"/>
      <c r="I1747" s="81"/>
      <c r="K1747" s="82"/>
      <c r="L1747" s="123"/>
      <c r="M1747" s="3"/>
      <c r="N1747" s="3"/>
      <c r="O1747" s="3"/>
      <c r="P1747" s="125"/>
      <c r="Q1747" s="125"/>
      <c r="R1747" s="127"/>
      <c r="S1747" s="123"/>
      <c r="T1747" s="3"/>
      <c r="W1747" s="86"/>
      <c r="Y1747" s="75"/>
    </row>
    <row r="1748" spans="1:25" x14ac:dyDescent="0.25">
      <c r="A1748" s="75"/>
      <c r="C1748" s="81"/>
      <c r="D1748" s="81"/>
      <c r="I1748" s="81"/>
      <c r="K1748" s="82"/>
      <c r="L1748" s="123"/>
      <c r="M1748" s="3"/>
      <c r="N1748" s="3"/>
      <c r="O1748" s="3"/>
      <c r="P1748" s="125"/>
      <c r="Q1748" s="125"/>
      <c r="R1748" s="127"/>
      <c r="S1748" s="123"/>
      <c r="T1748" s="3"/>
      <c r="W1748" s="86"/>
      <c r="Y1748" s="75"/>
    </row>
    <row r="1749" spans="1:25" x14ac:dyDescent="0.25">
      <c r="A1749" s="75"/>
      <c r="C1749" s="81"/>
      <c r="D1749" s="81"/>
      <c r="I1749" s="81"/>
      <c r="K1749" s="82"/>
      <c r="L1749" s="123"/>
      <c r="M1749" s="3"/>
      <c r="N1749" s="3"/>
      <c r="O1749" s="3"/>
      <c r="P1749" s="125"/>
      <c r="Q1749" s="125"/>
      <c r="R1749" s="127"/>
      <c r="S1749" s="123"/>
      <c r="T1749" s="3"/>
      <c r="W1749" s="86"/>
      <c r="Y1749" s="75"/>
    </row>
    <row r="1750" spans="1:25" x14ac:dyDescent="0.25">
      <c r="A1750" s="75"/>
      <c r="C1750" s="81"/>
      <c r="D1750" s="81"/>
      <c r="I1750" s="81"/>
      <c r="K1750" s="82"/>
      <c r="L1750" s="123"/>
      <c r="M1750" s="3"/>
      <c r="N1750" s="3"/>
      <c r="O1750" s="3"/>
      <c r="P1750" s="125"/>
      <c r="Q1750" s="125"/>
      <c r="R1750" s="127"/>
      <c r="S1750" s="123"/>
      <c r="T1750" s="3"/>
      <c r="W1750" s="86"/>
      <c r="Y1750" s="75"/>
    </row>
    <row r="1751" spans="1:25" x14ac:dyDescent="0.25">
      <c r="A1751" s="75"/>
      <c r="C1751" s="81"/>
      <c r="D1751" s="81"/>
      <c r="I1751" s="81"/>
      <c r="K1751" s="82"/>
      <c r="L1751" s="123"/>
      <c r="M1751" s="3"/>
      <c r="N1751" s="3"/>
      <c r="O1751" s="3"/>
      <c r="P1751" s="125"/>
      <c r="Q1751" s="125"/>
      <c r="R1751" s="127"/>
      <c r="S1751" s="123"/>
      <c r="T1751" s="3"/>
      <c r="W1751" s="86"/>
      <c r="Y1751" s="75"/>
    </row>
    <row r="1752" spans="1:25" x14ac:dyDescent="0.25">
      <c r="A1752" s="75"/>
      <c r="C1752" s="81"/>
      <c r="D1752" s="81"/>
      <c r="I1752" s="81"/>
      <c r="K1752" s="82"/>
      <c r="L1752" s="123"/>
      <c r="M1752" s="3"/>
      <c r="N1752" s="3"/>
      <c r="O1752" s="3"/>
      <c r="P1752" s="125"/>
      <c r="Q1752" s="125"/>
      <c r="R1752" s="127"/>
      <c r="S1752" s="123"/>
      <c r="T1752" s="3"/>
      <c r="W1752" s="86"/>
      <c r="Y1752" s="75"/>
    </row>
    <row r="1753" spans="1:25" x14ac:dyDescent="0.25">
      <c r="A1753" s="75"/>
      <c r="C1753" s="81"/>
      <c r="D1753" s="81"/>
      <c r="I1753" s="81"/>
      <c r="K1753" s="82"/>
      <c r="L1753" s="123"/>
      <c r="M1753" s="3"/>
      <c r="N1753" s="3"/>
      <c r="O1753" s="3"/>
      <c r="P1753" s="125"/>
      <c r="Q1753" s="125"/>
      <c r="R1753" s="127"/>
      <c r="S1753" s="123"/>
      <c r="T1753" s="3"/>
      <c r="W1753" s="86"/>
      <c r="Y1753" s="75"/>
    </row>
    <row r="1754" spans="1:25" x14ac:dyDescent="0.25">
      <c r="A1754" s="75"/>
      <c r="C1754" s="81"/>
      <c r="D1754" s="81"/>
      <c r="I1754" s="81"/>
      <c r="K1754" s="82"/>
      <c r="L1754" s="123"/>
      <c r="M1754" s="3"/>
      <c r="N1754" s="3"/>
      <c r="O1754" s="3"/>
      <c r="P1754" s="125"/>
      <c r="Q1754" s="125"/>
      <c r="R1754" s="127"/>
      <c r="S1754" s="123"/>
      <c r="T1754" s="3"/>
      <c r="W1754" s="86"/>
      <c r="Y1754" s="75"/>
    </row>
    <row r="1755" spans="1:25" x14ac:dyDescent="0.25">
      <c r="A1755" s="75"/>
      <c r="C1755" s="81"/>
      <c r="D1755" s="81"/>
      <c r="I1755" s="81"/>
      <c r="K1755" s="82"/>
      <c r="L1755" s="123"/>
      <c r="M1755" s="3"/>
      <c r="N1755" s="3"/>
      <c r="O1755" s="3"/>
      <c r="P1755" s="125"/>
      <c r="Q1755" s="125"/>
      <c r="R1755" s="127"/>
      <c r="S1755" s="123"/>
      <c r="T1755" s="3"/>
      <c r="W1755" s="86"/>
      <c r="Y1755" s="75"/>
    </row>
    <row r="1756" spans="1:25" x14ac:dyDescent="0.25">
      <c r="A1756" s="75"/>
      <c r="C1756" s="81"/>
      <c r="D1756" s="81"/>
      <c r="I1756" s="81"/>
      <c r="K1756" s="82"/>
      <c r="L1756" s="123"/>
      <c r="M1756" s="3"/>
      <c r="N1756" s="3"/>
      <c r="O1756" s="3"/>
      <c r="P1756" s="125"/>
      <c r="Q1756" s="125"/>
      <c r="R1756" s="127"/>
      <c r="S1756" s="123"/>
      <c r="T1756" s="3"/>
      <c r="W1756" s="86"/>
      <c r="Y1756" s="75"/>
    </row>
    <row r="1757" spans="1:25" x14ac:dyDescent="0.25">
      <c r="A1757" s="75"/>
      <c r="C1757" s="81"/>
      <c r="D1757" s="81"/>
      <c r="I1757" s="81"/>
      <c r="K1757" s="82"/>
      <c r="L1757" s="123"/>
      <c r="M1757" s="3"/>
      <c r="N1757" s="3"/>
      <c r="O1757" s="3"/>
      <c r="P1757" s="125"/>
      <c r="Q1757" s="125"/>
      <c r="R1757" s="127"/>
      <c r="S1757" s="123"/>
      <c r="T1757" s="3"/>
      <c r="W1757" s="86"/>
      <c r="Y1757" s="75"/>
    </row>
    <row r="1758" spans="1:25" x14ac:dyDescent="0.25">
      <c r="A1758" s="75"/>
      <c r="C1758" s="81"/>
      <c r="D1758" s="81"/>
      <c r="I1758" s="81"/>
      <c r="K1758" s="82"/>
      <c r="L1758" s="123"/>
      <c r="M1758" s="3"/>
      <c r="N1758" s="3"/>
      <c r="O1758" s="3"/>
      <c r="P1758" s="125"/>
      <c r="Q1758" s="125"/>
      <c r="R1758" s="127"/>
      <c r="S1758" s="123"/>
      <c r="T1758" s="3"/>
      <c r="W1758" s="86"/>
      <c r="Y1758" s="75"/>
    </row>
    <row r="1759" spans="1:25" x14ac:dyDescent="0.25">
      <c r="A1759" s="75"/>
      <c r="C1759" s="81"/>
      <c r="D1759" s="81"/>
      <c r="I1759" s="81"/>
      <c r="K1759" s="82"/>
      <c r="L1759" s="123"/>
      <c r="M1759" s="3"/>
      <c r="N1759" s="3"/>
      <c r="O1759" s="3"/>
      <c r="P1759" s="125"/>
      <c r="Q1759" s="125"/>
      <c r="R1759" s="127"/>
      <c r="S1759" s="123"/>
      <c r="T1759" s="3"/>
      <c r="W1759" s="86"/>
      <c r="Y1759" s="75"/>
    </row>
    <row r="1760" spans="1:25" x14ac:dyDescent="0.25">
      <c r="A1760" s="75"/>
      <c r="C1760" s="81"/>
      <c r="D1760" s="81"/>
      <c r="I1760" s="81"/>
      <c r="K1760" s="82"/>
      <c r="L1760" s="123"/>
      <c r="M1760" s="3"/>
      <c r="N1760" s="3"/>
      <c r="O1760" s="3"/>
      <c r="P1760" s="125"/>
      <c r="Q1760" s="125"/>
      <c r="R1760" s="127"/>
      <c r="S1760" s="123"/>
      <c r="T1760" s="3"/>
      <c r="W1760" s="86"/>
      <c r="Y1760" s="75"/>
    </row>
    <row r="1761" spans="1:25" x14ac:dyDescent="0.25">
      <c r="A1761" s="75"/>
      <c r="C1761" s="81"/>
      <c r="D1761" s="81"/>
      <c r="I1761" s="81"/>
      <c r="K1761" s="82"/>
      <c r="L1761" s="123"/>
      <c r="M1761" s="3"/>
      <c r="N1761" s="3"/>
      <c r="O1761" s="3"/>
      <c r="P1761" s="125"/>
      <c r="Q1761" s="125"/>
      <c r="R1761" s="127"/>
      <c r="S1761" s="123"/>
      <c r="T1761" s="3"/>
      <c r="W1761" s="86"/>
      <c r="Y1761" s="75"/>
    </row>
    <row r="1762" spans="1:25" x14ac:dyDescent="0.25">
      <c r="A1762" s="75"/>
      <c r="C1762" s="81"/>
      <c r="D1762" s="81"/>
      <c r="I1762" s="81"/>
      <c r="K1762" s="82"/>
      <c r="L1762" s="123"/>
      <c r="M1762" s="3"/>
      <c r="N1762" s="3"/>
      <c r="O1762" s="3"/>
      <c r="P1762" s="125"/>
      <c r="Q1762" s="125"/>
      <c r="R1762" s="127"/>
      <c r="S1762" s="123"/>
      <c r="T1762" s="3"/>
      <c r="W1762" s="86"/>
      <c r="Y1762" s="75"/>
    </row>
    <row r="1763" spans="1:25" x14ac:dyDescent="0.25">
      <c r="A1763" s="75"/>
      <c r="C1763" s="81"/>
      <c r="D1763" s="81"/>
      <c r="I1763" s="81"/>
      <c r="K1763" s="82"/>
      <c r="L1763" s="123"/>
      <c r="M1763" s="3"/>
      <c r="N1763" s="3"/>
      <c r="O1763" s="3"/>
      <c r="P1763" s="125"/>
      <c r="Q1763" s="125"/>
      <c r="R1763" s="127"/>
      <c r="S1763" s="123"/>
      <c r="T1763" s="3"/>
      <c r="W1763" s="86"/>
      <c r="Y1763" s="75"/>
    </row>
    <row r="1764" spans="1:25" x14ac:dyDescent="0.25">
      <c r="A1764" s="75"/>
      <c r="C1764" s="81"/>
      <c r="D1764" s="81"/>
      <c r="I1764" s="81"/>
      <c r="K1764" s="82"/>
      <c r="L1764" s="123"/>
      <c r="M1764" s="3"/>
      <c r="N1764" s="3"/>
      <c r="O1764" s="3"/>
      <c r="P1764" s="125"/>
      <c r="Q1764" s="125"/>
      <c r="R1764" s="127"/>
      <c r="S1764" s="123"/>
      <c r="T1764" s="3"/>
      <c r="W1764" s="86"/>
      <c r="Y1764" s="75"/>
    </row>
    <row r="1765" spans="1:25" x14ac:dyDescent="0.25">
      <c r="A1765" s="75"/>
      <c r="C1765" s="81"/>
      <c r="D1765" s="81"/>
      <c r="I1765" s="81"/>
      <c r="K1765" s="82"/>
      <c r="L1765" s="123"/>
      <c r="M1765" s="3"/>
      <c r="N1765" s="3"/>
      <c r="O1765" s="3"/>
      <c r="P1765" s="125"/>
      <c r="Q1765" s="125"/>
      <c r="R1765" s="127"/>
      <c r="S1765" s="123"/>
      <c r="T1765" s="3"/>
      <c r="W1765" s="86"/>
      <c r="Y1765" s="75"/>
    </row>
    <row r="1766" spans="1:25" x14ac:dyDescent="0.25">
      <c r="A1766" s="75"/>
      <c r="C1766" s="81"/>
      <c r="D1766" s="81"/>
      <c r="I1766" s="81"/>
      <c r="K1766" s="82"/>
      <c r="L1766" s="123"/>
      <c r="M1766" s="3"/>
      <c r="N1766" s="3"/>
      <c r="O1766" s="3"/>
      <c r="P1766" s="125"/>
      <c r="Q1766" s="125"/>
      <c r="R1766" s="127"/>
      <c r="S1766" s="123"/>
      <c r="T1766" s="3"/>
      <c r="W1766" s="86"/>
      <c r="Y1766" s="75"/>
    </row>
    <row r="1767" spans="1:25" x14ac:dyDescent="0.25">
      <c r="A1767" s="75"/>
      <c r="C1767" s="81"/>
      <c r="D1767" s="81"/>
      <c r="I1767" s="81"/>
      <c r="K1767" s="82"/>
      <c r="L1767" s="123"/>
      <c r="M1767" s="3"/>
      <c r="N1767" s="3"/>
      <c r="O1767" s="3"/>
      <c r="P1767" s="125"/>
      <c r="Q1767" s="125"/>
      <c r="R1767" s="127"/>
      <c r="S1767" s="123"/>
      <c r="T1767" s="3"/>
      <c r="W1767" s="86"/>
      <c r="Y1767" s="75"/>
    </row>
    <row r="1768" spans="1:25" x14ac:dyDescent="0.25">
      <c r="A1768" s="75"/>
      <c r="C1768" s="81"/>
      <c r="D1768" s="81"/>
      <c r="I1768" s="81"/>
      <c r="K1768" s="82"/>
      <c r="L1768" s="123"/>
      <c r="M1768" s="3"/>
      <c r="N1768" s="3"/>
      <c r="O1768" s="3"/>
      <c r="P1768" s="125"/>
      <c r="Q1768" s="125"/>
      <c r="R1768" s="127"/>
      <c r="S1768" s="123"/>
      <c r="T1768" s="3"/>
      <c r="W1768" s="86"/>
      <c r="Y1768" s="75"/>
    </row>
    <row r="1769" spans="1:25" x14ac:dyDescent="0.25">
      <c r="A1769" s="75"/>
      <c r="C1769" s="81"/>
      <c r="D1769" s="81"/>
      <c r="I1769" s="81"/>
      <c r="K1769" s="82"/>
      <c r="L1769" s="123"/>
      <c r="M1769" s="3"/>
      <c r="N1769" s="3"/>
      <c r="O1769" s="3"/>
      <c r="P1769" s="125"/>
      <c r="Q1769" s="125"/>
      <c r="R1769" s="127"/>
      <c r="S1769" s="123"/>
      <c r="T1769" s="3"/>
      <c r="W1769" s="86"/>
      <c r="Y1769" s="75"/>
    </row>
    <row r="1770" spans="1:25" x14ac:dyDescent="0.25">
      <c r="A1770" s="75"/>
      <c r="C1770" s="81"/>
      <c r="D1770" s="81"/>
      <c r="I1770" s="81"/>
      <c r="K1770" s="82"/>
      <c r="L1770" s="123"/>
      <c r="M1770" s="3"/>
      <c r="N1770" s="3"/>
      <c r="O1770" s="3"/>
      <c r="P1770" s="125"/>
      <c r="Q1770" s="125"/>
      <c r="R1770" s="127"/>
      <c r="S1770" s="123"/>
      <c r="T1770" s="3"/>
      <c r="W1770" s="86"/>
      <c r="Y1770" s="75"/>
    </row>
    <row r="1771" spans="1:25" x14ac:dyDescent="0.25">
      <c r="A1771" s="75"/>
      <c r="C1771" s="81"/>
      <c r="D1771" s="81"/>
      <c r="I1771" s="81"/>
      <c r="K1771" s="82"/>
      <c r="L1771" s="123"/>
      <c r="M1771" s="3"/>
      <c r="N1771" s="3"/>
      <c r="O1771" s="3"/>
      <c r="P1771" s="125"/>
      <c r="Q1771" s="125"/>
      <c r="R1771" s="127"/>
      <c r="S1771" s="123"/>
      <c r="T1771" s="3"/>
      <c r="W1771" s="86"/>
      <c r="Y1771" s="75"/>
    </row>
    <row r="1772" spans="1:25" x14ac:dyDescent="0.25">
      <c r="A1772" s="75"/>
      <c r="C1772" s="81"/>
      <c r="D1772" s="81"/>
      <c r="I1772" s="81"/>
      <c r="K1772" s="82"/>
      <c r="L1772" s="123"/>
      <c r="M1772" s="3"/>
      <c r="N1772" s="3"/>
      <c r="O1772" s="3"/>
      <c r="P1772" s="125"/>
      <c r="Q1772" s="125"/>
      <c r="R1772" s="127"/>
      <c r="S1772" s="123"/>
      <c r="T1772" s="3"/>
      <c r="W1772" s="86"/>
      <c r="Y1772" s="75"/>
    </row>
    <row r="1773" spans="1:25" x14ac:dyDescent="0.25">
      <c r="A1773" s="75"/>
      <c r="C1773" s="81"/>
      <c r="D1773" s="81"/>
      <c r="I1773" s="81"/>
      <c r="K1773" s="82"/>
      <c r="L1773" s="123"/>
      <c r="M1773" s="3"/>
      <c r="N1773" s="3"/>
      <c r="O1773" s="3"/>
      <c r="P1773" s="125"/>
      <c r="Q1773" s="125"/>
      <c r="R1773" s="127"/>
      <c r="S1773" s="123"/>
      <c r="T1773" s="3"/>
      <c r="W1773" s="86"/>
      <c r="Y1773" s="75"/>
    </row>
    <row r="1774" spans="1:25" x14ac:dyDescent="0.25">
      <c r="A1774" s="75"/>
      <c r="C1774" s="81"/>
      <c r="D1774" s="81"/>
      <c r="I1774" s="81"/>
      <c r="K1774" s="82"/>
      <c r="L1774" s="123"/>
      <c r="M1774" s="3"/>
      <c r="N1774" s="3"/>
      <c r="O1774" s="3"/>
      <c r="P1774" s="125"/>
      <c r="Q1774" s="125"/>
      <c r="R1774" s="127"/>
      <c r="S1774" s="123"/>
      <c r="T1774" s="3"/>
      <c r="W1774" s="86"/>
      <c r="Y1774" s="75"/>
    </row>
    <row r="1775" spans="1:25" x14ac:dyDescent="0.25">
      <c r="A1775" s="75"/>
      <c r="C1775" s="81"/>
      <c r="D1775" s="81"/>
      <c r="I1775" s="81"/>
      <c r="K1775" s="82"/>
      <c r="L1775" s="123"/>
      <c r="M1775" s="3"/>
      <c r="N1775" s="3"/>
      <c r="O1775" s="3"/>
      <c r="P1775" s="125"/>
      <c r="Q1775" s="125"/>
      <c r="R1775" s="127"/>
      <c r="S1775" s="123"/>
      <c r="T1775" s="3"/>
      <c r="W1775" s="86"/>
      <c r="Y1775" s="75"/>
    </row>
    <row r="1776" spans="1:25" x14ac:dyDescent="0.25">
      <c r="A1776" s="75"/>
      <c r="C1776" s="81"/>
      <c r="D1776" s="81"/>
      <c r="I1776" s="81"/>
      <c r="K1776" s="82"/>
      <c r="L1776" s="123"/>
      <c r="M1776" s="3"/>
      <c r="N1776" s="3"/>
      <c r="O1776" s="3"/>
      <c r="P1776" s="125"/>
      <c r="Q1776" s="125"/>
      <c r="R1776" s="127"/>
      <c r="S1776" s="123"/>
      <c r="T1776" s="3"/>
      <c r="W1776" s="86"/>
      <c r="Y1776" s="75"/>
    </row>
    <row r="1777" spans="1:25" x14ac:dyDescent="0.25">
      <c r="A1777" s="75"/>
      <c r="C1777" s="81"/>
      <c r="D1777" s="81"/>
      <c r="I1777" s="81"/>
      <c r="K1777" s="82"/>
      <c r="L1777" s="123"/>
      <c r="M1777" s="3"/>
      <c r="N1777" s="3"/>
      <c r="O1777" s="3"/>
      <c r="P1777" s="125"/>
      <c r="Q1777" s="125"/>
      <c r="R1777" s="127"/>
      <c r="S1777" s="123"/>
      <c r="T1777" s="3"/>
      <c r="W1777" s="86"/>
      <c r="Y1777" s="75"/>
    </row>
    <row r="1778" spans="1:25" x14ac:dyDescent="0.25">
      <c r="A1778" s="75"/>
      <c r="C1778" s="81"/>
      <c r="D1778" s="81"/>
      <c r="I1778" s="81"/>
      <c r="K1778" s="82"/>
      <c r="L1778" s="123"/>
      <c r="M1778" s="3"/>
      <c r="N1778" s="3"/>
      <c r="O1778" s="3"/>
      <c r="P1778" s="125"/>
      <c r="Q1778" s="125"/>
      <c r="R1778" s="127"/>
      <c r="S1778" s="123"/>
      <c r="T1778" s="3"/>
      <c r="W1778" s="86"/>
      <c r="Y1778" s="75"/>
    </row>
    <row r="1779" spans="1:25" x14ac:dyDescent="0.25">
      <c r="A1779" s="75"/>
      <c r="C1779" s="81"/>
      <c r="D1779" s="81"/>
      <c r="I1779" s="81"/>
      <c r="K1779" s="82"/>
      <c r="L1779" s="123"/>
      <c r="M1779" s="3"/>
      <c r="N1779" s="3"/>
      <c r="O1779" s="3"/>
      <c r="P1779" s="125"/>
      <c r="Q1779" s="125"/>
      <c r="R1779" s="127"/>
      <c r="S1779" s="123"/>
      <c r="T1779" s="3"/>
      <c r="W1779" s="86"/>
      <c r="Y1779" s="75"/>
    </row>
    <row r="1780" spans="1:25" x14ac:dyDescent="0.25">
      <c r="A1780" s="75"/>
      <c r="C1780" s="81"/>
      <c r="D1780" s="81"/>
      <c r="I1780" s="81"/>
      <c r="K1780" s="82"/>
      <c r="L1780" s="123"/>
      <c r="M1780" s="3"/>
      <c r="N1780" s="3"/>
      <c r="O1780" s="3"/>
      <c r="P1780" s="125"/>
      <c r="Q1780" s="125"/>
      <c r="R1780" s="127"/>
      <c r="S1780" s="123"/>
      <c r="T1780" s="3"/>
      <c r="W1780" s="86"/>
      <c r="Y1780" s="75"/>
    </row>
    <row r="1781" spans="1:25" x14ac:dyDescent="0.25">
      <c r="A1781" s="75"/>
      <c r="C1781" s="81"/>
      <c r="D1781" s="81"/>
      <c r="I1781" s="81"/>
      <c r="K1781" s="82"/>
      <c r="L1781" s="123"/>
      <c r="M1781" s="3"/>
      <c r="N1781" s="3"/>
      <c r="O1781" s="3"/>
      <c r="P1781" s="125"/>
      <c r="Q1781" s="125"/>
      <c r="R1781" s="127"/>
      <c r="S1781" s="123"/>
      <c r="T1781" s="3"/>
      <c r="W1781" s="86"/>
      <c r="Y1781" s="75"/>
    </row>
    <row r="1782" spans="1:25" x14ac:dyDescent="0.25">
      <c r="A1782" s="75"/>
      <c r="C1782" s="81"/>
      <c r="D1782" s="81"/>
      <c r="I1782" s="81"/>
      <c r="K1782" s="82"/>
      <c r="L1782" s="123"/>
      <c r="M1782" s="3"/>
      <c r="N1782" s="3"/>
      <c r="O1782" s="3"/>
      <c r="P1782" s="125"/>
      <c r="Q1782" s="125"/>
      <c r="R1782" s="127"/>
      <c r="S1782" s="123"/>
      <c r="T1782" s="3"/>
      <c r="W1782" s="86"/>
      <c r="Y1782" s="75"/>
    </row>
    <row r="1783" spans="1:25" x14ac:dyDescent="0.25">
      <c r="A1783" s="75"/>
      <c r="C1783" s="81"/>
      <c r="D1783" s="81"/>
      <c r="I1783" s="81"/>
      <c r="K1783" s="82"/>
      <c r="L1783" s="123"/>
      <c r="M1783" s="3"/>
      <c r="N1783" s="3"/>
      <c r="O1783" s="3"/>
      <c r="P1783" s="125"/>
      <c r="Q1783" s="125"/>
      <c r="R1783" s="127"/>
      <c r="S1783" s="123"/>
      <c r="T1783" s="3"/>
      <c r="W1783" s="86"/>
      <c r="Y1783" s="75"/>
    </row>
    <row r="1784" spans="1:25" x14ac:dyDescent="0.25">
      <c r="A1784" s="75"/>
      <c r="C1784" s="81"/>
      <c r="D1784" s="81"/>
      <c r="I1784" s="81"/>
      <c r="K1784" s="82"/>
      <c r="L1784" s="123"/>
      <c r="M1784" s="3"/>
      <c r="N1784" s="3"/>
      <c r="O1784" s="3"/>
      <c r="P1784" s="125"/>
      <c r="Q1784" s="125"/>
      <c r="R1784" s="127"/>
      <c r="S1784" s="123"/>
      <c r="T1784" s="3"/>
      <c r="W1784" s="86"/>
      <c r="Y1784" s="75"/>
    </row>
    <row r="1785" spans="1:25" x14ac:dyDescent="0.25">
      <c r="A1785" s="75"/>
      <c r="C1785" s="81"/>
      <c r="D1785" s="81"/>
      <c r="I1785" s="81"/>
      <c r="K1785" s="82"/>
      <c r="L1785" s="123"/>
      <c r="M1785" s="3"/>
      <c r="N1785" s="3"/>
      <c r="O1785" s="3"/>
      <c r="P1785" s="125"/>
      <c r="Q1785" s="125"/>
      <c r="R1785" s="127"/>
      <c r="S1785" s="123"/>
      <c r="T1785" s="3"/>
      <c r="W1785" s="86"/>
      <c r="Y1785" s="75"/>
    </row>
    <row r="1786" spans="1:25" x14ac:dyDescent="0.25">
      <c r="A1786" s="75"/>
      <c r="C1786" s="81"/>
      <c r="D1786" s="81"/>
      <c r="I1786" s="81"/>
      <c r="K1786" s="82"/>
      <c r="L1786" s="123"/>
      <c r="M1786" s="3"/>
      <c r="N1786" s="3"/>
      <c r="O1786" s="3"/>
      <c r="P1786" s="125"/>
      <c r="Q1786" s="125"/>
      <c r="R1786" s="127"/>
      <c r="S1786" s="123"/>
      <c r="T1786" s="3"/>
      <c r="W1786" s="86"/>
      <c r="Y1786" s="75"/>
    </row>
    <row r="1787" spans="1:25" x14ac:dyDescent="0.25">
      <c r="A1787" s="75"/>
      <c r="C1787" s="81"/>
      <c r="D1787" s="81"/>
      <c r="I1787" s="81"/>
      <c r="K1787" s="82"/>
      <c r="L1787" s="123"/>
      <c r="M1787" s="3"/>
      <c r="N1787" s="3"/>
      <c r="O1787" s="3"/>
      <c r="P1787" s="125"/>
      <c r="Q1787" s="125"/>
      <c r="R1787" s="127"/>
      <c r="S1787" s="123"/>
      <c r="T1787" s="3"/>
      <c r="W1787" s="86"/>
      <c r="Y1787" s="75"/>
    </row>
    <row r="1788" spans="1:25" x14ac:dyDescent="0.25">
      <c r="A1788" s="75"/>
      <c r="C1788" s="81"/>
      <c r="D1788" s="81"/>
      <c r="I1788" s="81"/>
      <c r="K1788" s="82"/>
      <c r="L1788" s="123"/>
      <c r="M1788" s="3"/>
      <c r="N1788" s="3"/>
      <c r="O1788" s="3"/>
      <c r="P1788" s="125"/>
      <c r="Q1788" s="125"/>
      <c r="R1788" s="127"/>
      <c r="S1788" s="123"/>
      <c r="T1788" s="3"/>
      <c r="W1788" s="86"/>
      <c r="Y1788" s="75"/>
    </row>
    <row r="1789" spans="1:25" x14ac:dyDescent="0.25">
      <c r="A1789" s="75"/>
      <c r="C1789" s="81"/>
      <c r="D1789" s="81"/>
      <c r="I1789" s="81"/>
      <c r="K1789" s="82"/>
      <c r="L1789" s="123"/>
      <c r="M1789" s="3"/>
      <c r="N1789" s="3"/>
      <c r="O1789" s="3"/>
      <c r="P1789" s="125"/>
      <c r="Q1789" s="125"/>
      <c r="R1789" s="127"/>
      <c r="S1789" s="123"/>
      <c r="T1789" s="3"/>
      <c r="W1789" s="86"/>
      <c r="Y1789" s="75"/>
    </row>
    <row r="1790" spans="1:25" x14ac:dyDescent="0.25">
      <c r="A1790" s="75"/>
      <c r="C1790" s="81"/>
      <c r="D1790" s="81"/>
      <c r="I1790" s="81"/>
      <c r="K1790" s="82"/>
      <c r="L1790" s="123"/>
      <c r="M1790" s="3"/>
      <c r="N1790" s="3"/>
      <c r="O1790" s="3"/>
      <c r="P1790" s="125"/>
      <c r="Q1790" s="125"/>
      <c r="R1790" s="127"/>
      <c r="S1790" s="123"/>
      <c r="T1790" s="3"/>
      <c r="W1790" s="86"/>
      <c r="Y1790" s="75"/>
    </row>
    <row r="1791" spans="1:25" x14ac:dyDescent="0.25">
      <c r="A1791" s="75"/>
      <c r="C1791" s="81"/>
      <c r="D1791" s="81"/>
      <c r="I1791" s="81"/>
      <c r="K1791" s="82"/>
      <c r="L1791" s="123"/>
      <c r="M1791" s="3"/>
      <c r="N1791" s="3"/>
      <c r="O1791" s="3"/>
      <c r="P1791" s="125"/>
      <c r="Q1791" s="125"/>
      <c r="R1791" s="127"/>
      <c r="S1791" s="123"/>
      <c r="T1791" s="3"/>
      <c r="W1791" s="86"/>
      <c r="Y1791" s="75"/>
    </row>
    <row r="1792" spans="1:25" x14ac:dyDescent="0.25">
      <c r="A1792" s="75"/>
      <c r="C1792" s="81"/>
      <c r="D1792" s="81"/>
      <c r="I1792" s="81"/>
      <c r="K1792" s="82"/>
      <c r="L1792" s="123"/>
      <c r="M1792" s="3"/>
      <c r="N1792" s="3"/>
      <c r="O1792" s="3"/>
      <c r="P1792" s="125"/>
      <c r="Q1792" s="125"/>
      <c r="R1792" s="127"/>
      <c r="S1792" s="123"/>
      <c r="T1792" s="3"/>
      <c r="W1792" s="86"/>
      <c r="Y1792" s="75"/>
    </row>
    <row r="1793" spans="1:25" x14ac:dyDescent="0.25">
      <c r="A1793" s="75"/>
      <c r="C1793" s="81"/>
      <c r="D1793" s="81"/>
      <c r="I1793" s="81"/>
      <c r="K1793" s="82"/>
      <c r="L1793" s="123"/>
      <c r="M1793" s="3"/>
      <c r="N1793" s="3"/>
      <c r="O1793" s="3"/>
      <c r="P1793" s="125"/>
      <c r="Q1793" s="125"/>
      <c r="R1793" s="127"/>
      <c r="S1793" s="123"/>
      <c r="T1793" s="3"/>
      <c r="W1793" s="86"/>
      <c r="Y1793" s="75"/>
    </row>
    <row r="1794" spans="1:25" x14ac:dyDescent="0.25">
      <c r="A1794" s="75"/>
      <c r="C1794" s="81"/>
      <c r="D1794" s="81"/>
      <c r="I1794" s="81"/>
      <c r="K1794" s="82"/>
      <c r="L1794" s="123"/>
      <c r="M1794" s="3"/>
      <c r="N1794" s="3"/>
      <c r="O1794" s="3"/>
      <c r="P1794" s="125"/>
      <c r="Q1794" s="125"/>
      <c r="R1794" s="127"/>
      <c r="S1794" s="123"/>
      <c r="T1794" s="3"/>
      <c r="W1794" s="86"/>
      <c r="Y1794" s="75"/>
    </row>
    <row r="1795" spans="1:25" x14ac:dyDescent="0.25">
      <c r="A1795" s="75"/>
      <c r="C1795" s="81"/>
      <c r="D1795" s="81"/>
      <c r="I1795" s="81"/>
      <c r="K1795" s="82"/>
      <c r="L1795" s="123"/>
      <c r="M1795" s="3"/>
      <c r="N1795" s="3"/>
      <c r="O1795" s="3"/>
      <c r="P1795" s="125"/>
      <c r="Q1795" s="125"/>
      <c r="R1795" s="127"/>
      <c r="S1795" s="123"/>
      <c r="T1795" s="3"/>
      <c r="W1795" s="86"/>
      <c r="Y1795" s="75"/>
    </row>
    <row r="1796" spans="1:25" x14ac:dyDescent="0.25">
      <c r="A1796" s="75"/>
      <c r="C1796" s="81"/>
      <c r="D1796" s="81"/>
      <c r="I1796" s="81"/>
      <c r="K1796" s="82"/>
      <c r="L1796" s="123"/>
      <c r="M1796" s="3"/>
      <c r="N1796" s="3"/>
      <c r="O1796" s="3"/>
      <c r="P1796" s="125"/>
      <c r="Q1796" s="125"/>
      <c r="R1796" s="127"/>
      <c r="S1796" s="123"/>
      <c r="T1796" s="3"/>
      <c r="W1796" s="86"/>
      <c r="Y1796" s="75"/>
    </row>
    <row r="1797" spans="1:25" x14ac:dyDescent="0.25">
      <c r="A1797" s="75"/>
      <c r="C1797" s="81"/>
      <c r="D1797" s="81"/>
      <c r="I1797" s="81"/>
      <c r="K1797" s="82"/>
      <c r="L1797" s="123"/>
      <c r="M1797" s="3"/>
      <c r="N1797" s="3"/>
      <c r="O1797" s="3"/>
      <c r="P1797" s="125"/>
      <c r="Q1797" s="125"/>
      <c r="R1797" s="127"/>
      <c r="S1797" s="123"/>
      <c r="T1797" s="3"/>
      <c r="W1797" s="86"/>
      <c r="Y1797" s="75"/>
    </row>
    <row r="1798" spans="1:25" x14ac:dyDescent="0.25">
      <c r="A1798" s="75"/>
      <c r="C1798" s="81"/>
      <c r="D1798" s="81"/>
      <c r="I1798" s="81"/>
      <c r="K1798" s="82"/>
      <c r="L1798" s="123"/>
      <c r="M1798" s="3"/>
      <c r="N1798" s="3"/>
      <c r="O1798" s="3"/>
      <c r="P1798" s="125"/>
      <c r="Q1798" s="125"/>
      <c r="R1798" s="127"/>
      <c r="S1798" s="123"/>
      <c r="T1798" s="3"/>
      <c r="W1798" s="86"/>
      <c r="Y1798" s="75"/>
    </row>
    <row r="1799" spans="1:25" x14ac:dyDescent="0.25">
      <c r="A1799" s="75"/>
      <c r="C1799" s="81"/>
      <c r="D1799" s="81"/>
      <c r="I1799" s="81"/>
      <c r="K1799" s="82"/>
      <c r="L1799" s="123"/>
      <c r="M1799" s="3"/>
      <c r="N1799" s="3"/>
      <c r="O1799" s="3"/>
      <c r="P1799" s="125"/>
      <c r="Q1799" s="125"/>
      <c r="R1799" s="127"/>
      <c r="S1799" s="123"/>
      <c r="T1799" s="3"/>
      <c r="W1799" s="86"/>
      <c r="Y1799" s="75"/>
    </row>
    <row r="1800" spans="1:25" x14ac:dyDescent="0.25">
      <c r="A1800" s="75"/>
      <c r="C1800" s="81"/>
      <c r="D1800" s="81"/>
      <c r="I1800" s="81"/>
      <c r="K1800" s="82"/>
      <c r="L1800" s="123"/>
      <c r="M1800" s="3"/>
      <c r="N1800" s="3"/>
      <c r="O1800" s="3"/>
      <c r="P1800" s="125"/>
      <c r="Q1800" s="125"/>
      <c r="R1800" s="127"/>
      <c r="S1800" s="123"/>
      <c r="T1800" s="3"/>
      <c r="W1800" s="86"/>
      <c r="Y1800" s="75"/>
    </row>
    <row r="1801" spans="1:25" x14ac:dyDescent="0.25">
      <c r="A1801" s="75"/>
      <c r="C1801" s="81"/>
      <c r="D1801" s="81"/>
      <c r="I1801" s="81"/>
      <c r="K1801" s="82"/>
      <c r="L1801" s="123"/>
      <c r="M1801" s="3"/>
      <c r="N1801" s="3"/>
      <c r="O1801" s="3"/>
      <c r="P1801" s="125"/>
      <c r="Q1801" s="125"/>
      <c r="R1801" s="127"/>
      <c r="S1801" s="123"/>
      <c r="T1801" s="3"/>
      <c r="W1801" s="86"/>
      <c r="Y1801" s="75"/>
    </row>
    <row r="1802" spans="1:25" x14ac:dyDescent="0.25">
      <c r="A1802" s="75"/>
      <c r="C1802" s="81"/>
      <c r="D1802" s="81"/>
      <c r="I1802" s="81"/>
      <c r="K1802" s="82"/>
      <c r="L1802" s="123"/>
      <c r="M1802" s="3"/>
      <c r="N1802" s="3"/>
      <c r="O1802" s="3"/>
      <c r="P1802" s="125"/>
      <c r="Q1802" s="125"/>
      <c r="R1802" s="127"/>
      <c r="S1802" s="123"/>
      <c r="T1802" s="3"/>
      <c r="W1802" s="86"/>
      <c r="Y1802" s="75"/>
    </row>
    <row r="1803" spans="1:25" x14ac:dyDescent="0.25">
      <c r="A1803" s="75"/>
      <c r="C1803" s="81"/>
      <c r="D1803" s="81"/>
      <c r="I1803" s="81"/>
      <c r="K1803" s="82"/>
      <c r="L1803" s="123"/>
      <c r="M1803" s="3"/>
      <c r="N1803" s="3"/>
      <c r="O1803" s="3"/>
      <c r="P1803" s="125"/>
      <c r="Q1803" s="125"/>
      <c r="R1803" s="127"/>
      <c r="S1803" s="123"/>
      <c r="T1803" s="3"/>
      <c r="W1803" s="86"/>
      <c r="Y1803" s="75"/>
    </row>
    <row r="1804" spans="1:25" x14ac:dyDescent="0.25">
      <c r="A1804" s="75"/>
      <c r="C1804" s="81"/>
      <c r="D1804" s="81"/>
      <c r="I1804" s="81"/>
      <c r="K1804" s="82"/>
      <c r="L1804" s="123"/>
      <c r="M1804" s="3"/>
      <c r="N1804" s="3"/>
      <c r="O1804" s="3"/>
      <c r="P1804" s="125"/>
      <c r="Q1804" s="125"/>
      <c r="R1804" s="127"/>
      <c r="S1804" s="123"/>
      <c r="T1804" s="3"/>
      <c r="W1804" s="86"/>
      <c r="Y1804" s="75"/>
    </row>
    <row r="1805" spans="1:25" x14ac:dyDescent="0.25">
      <c r="A1805" s="75"/>
      <c r="C1805" s="81"/>
      <c r="D1805" s="81"/>
      <c r="I1805" s="81"/>
      <c r="K1805" s="82"/>
      <c r="L1805" s="123"/>
      <c r="M1805" s="3"/>
      <c r="N1805" s="3"/>
      <c r="O1805" s="3"/>
      <c r="P1805" s="125"/>
      <c r="Q1805" s="125"/>
      <c r="R1805" s="127"/>
      <c r="S1805" s="123"/>
      <c r="T1805" s="3"/>
      <c r="W1805" s="86"/>
      <c r="Y1805" s="75"/>
    </row>
    <row r="1806" spans="1:25" x14ac:dyDescent="0.25">
      <c r="A1806" s="75"/>
      <c r="C1806" s="81"/>
      <c r="D1806" s="81"/>
      <c r="I1806" s="81"/>
      <c r="K1806" s="82"/>
      <c r="L1806" s="123"/>
      <c r="M1806" s="3"/>
      <c r="N1806" s="3"/>
      <c r="O1806" s="3"/>
      <c r="P1806" s="125"/>
      <c r="Q1806" s="125"/>
      <c r="R1806" s="127"/>
      <c r="S1806" s="123"/>
      <c r="T1806" s="3"/>
      <c r="W1806" s="86"/>
      <c r="Y1806" s="75"/>
    </row>
    <row r="1807" spans="1:25" x14ac:dyDescent="0.25">
      <c r="A1807" s="75"/>
      <c r="C1807" s="81"/>
      <c r="D1807" s="81"/>
      <c r="I1807" s="81"/>
      <c r="K1807" s="82"/>
      <c r="L1807" s="123"/>
      <c r="M1807" s="3"/>
      <c r="N1807" s="3"/>
      <c r="O1807" s="3"/>
      <c r="P1807" s="125"/>
      <c r="Q1807" s="125"/>
      <c r="R1807" s="127"/>
      <c r="S1807" s="123"/>
      <c r="T1807" s="3"/>
      <c r="W1807" s="86"/>
      <c r="Y1807" s="75"/>
    </row>
    <row r="1808" spans="1:25" x14ac:dyDescent="0.25">
      <c r="A1808" s="75"/>
      <c r="C1808" s="81"/>
      <c r="D1808" s="81"/>
      <c r="I1808" s="81"/>
      <c r="K1808" s="82"/>
      <c r="L1808" s="123"/>
      <c r="M1808" s="3"/>
      <c r="N1808" s="3"/>
      <c r="O1808" s="3"/>
      <c r="P1808" s="125"/>
      <c r="Q1808" s="125"/>
      <c r="R1808" s="127"/>
      <c r="S1808" s="123"/>
      <c r="T1808" s="3"/>
      <c r="W1808" s="86"/>
      <c r="Y1808" s="75"/>
    </row>
    <row r="1809" spans="1:25" x14ac:dyDescent="0.25">
      <c r="A1809" s="75"/>
      <c r="C1809" s="81"/>
      <c r="D1809" s="81"/>
      <c r="I1809" s="81"/>
      <c r="K1809" s="82"/>
      <c r="L1809" s="123"/>
      <c r="M1809" s="3"/>
      <c r="N1809" s="3"/>
      <c r="O1809" s="3"/>
      <c r="P1809" s="125"/>
      <c r="Q1809" s="125"/>
      <c r="R1809" s="127"/>
      <c r="S1809" s="123"/>
      <c r="T1809" s="3"/>
      <c r="W1809" s="86"/>
      <c r="Y1809" s="75"/>
    </row>
    <row r="1810" spans="1:25" x14ac:dyDescent="0.25">
      <c r="A1810" s="75"/>
      <c r="C1810" s="81"/>
      <c r="D1810" s="81"/>
      <c r="I1810" s="81"/>
      <c r="K1810" s="82"/>
      <c r="L1810" s="123"/>
      <c r="M1810" s="3"/>
      <c r="N1810" s="3"/>
      <c r="O1810" s="3"/>
      <c r="P1810" s="125"/>
      <c r="Q1810" s="125"/>
      <c r="R1810" s="127"/>
      <c r="S1810" s="123"/>
      <c r="T1810" s="3"/>
      <c r="W1810" s="86"/>
      <c r="Y1810" s="75"/>
    </row>
    <row r="1811" spans="1:25" x14ac:dyDescent="0.25">
      <c r="A1811" s="75"/>
      <c r="C1811" s="81"/>
      <c r="D1811" s="81"/>
      <c r="I1811" s="81"/>
      <c r="K1811" s="82"/>
      <c r="L1811" s="123"/>
      <c r="M1811" s="3"/>
      <c r="N1811" s="3"/>
      <c r="O1811" s="3"/>
      <c r="P1811" s="125"/>
      <c r="Q1811" s="125"/>
      <c r="R1811" s="127"/>
      <c r="S1811" s="123"/>
      <c r="T1811" s="3"/>
      <c r="W1811" s="86"/>
      <c r="Y1811" s="75"/>
    </row>
    <row r="1812" spans="1:25" x14ac:dyDescent="0.25">
      <c r="A1812" s="75"/>
      <c r="C1812" s="81"/>
      <c r="D1812" s="81"/>
      <c r="I1812" s="81"/>
      <c r="K1812" s="82"/>
      <c r="L1812" s="123"/>
      <c r="M1812" s="3"/>
      <c r="N1812" s="3"/>
      <c r="O1812" s="3"/>
      <c r="P1812" s="125"/>
      <c r="Q1812" s="125"/>
      <c r="R1812" s="127"/>
      <c r="S1812" s="123"/>
      <c r="T1812" s="3"/>
      <c r="W1812" s="86"/>
      <c r="Y1812" s="75"/>
    </row>
    <row r="1813" spans="1:25" x14ac:dyDescent="0.25">
      <c r="A1813" s="75"/>
      <c r="C1813" s="81"/>
      <c r="D1813" s="81"/>
      <c r="I1813" s="81"/>
      <c r="K1813" s="82"/>
      <c r="L1813" s="123"/>
      <c r="M1813" s="3"/>
      <c r="N1813" s="3"/>
      <c r="O1813" s="3"/>
      <c r="P1813" s="125"/>
      <c r="Q1813" s="125"/>
      <c r="R1813" s="127"/>
      <c r="S1813" s="123"/>
      <c r="T1813" s="3"/>
      <c r="W1813" s="86"/>
      <c r="Y1813" s="75"/>
    </row>
    <row r="1814" spans="1:25" x14ac:dyDescent="0.25">
      <c r="A1814" s="75"/>
      <c r="C1814" s="81"/>
      <c r="D1814" s="81"/>
      <c r="I1814" s="81"/>
      <c r="K1814" s="82"/>
      <c r="L1814" s="123"/>
      <c r="M1814" s="3"/>
      <c r="N1814" s="3"/>
      <c r="O1814" s="3"/>
      <c r="P1814" s="125"/>
      <c r="Q1814" s="125"/>
      <c r="R1814" s="127"/>
      <c r="S1814" s="123"/>
      <c r="T1814" s="3"/>
      <c r="W1814" s="86"/>
      <c r="Y1814" s="75"/>
    </row>
    <row r="1815" spans="1:25" x14ac:dyDescent="0.25">
      <c r="A1815" s="75"/>
      <c r="C1815" s="81"/>
      <c r="D1815" s="81"/>
      <c r="I1815" s="81"/>
      <c r="K1815" s="82"/>
      <c r="L1815" s="123"/>
      <c r="M1815" s="3"/>
      <c r="N1815" s="3"/>
      <c r="O1815" s="3"/>
      <c r="P1815" s="125"/>
      <c r="Q1815" s="125"/>
      <c r="R1815" s="127"/>
      <c r="S1815" s="123"/>
      <c r="T1815" s="3"/>
      <c r="W1815" s="86"/>
      <c r="Y1815" s="75"/>
    </row>
    <row r="1816" spans="1:25" x14ac:dyDescent="0.25">
      <c r="A1816" s="75"/>
      <c r="C1816" s="81"/>
      <c r="D1816" s="81"/>
      <c r="I1816" s="81"/>
      <c r="K1816" s="82"/>
      <c r="L1816" s="123"/>
      <c r="M1816" s="3"/>
      <c r="N1816" s="3"/>
      <c r="O1816" s="3"/>
      <c r="P1816" s="125"/>
      <c r="Q1816" s="125"/>
      <c r="R1816" s="127"/>
      <c r="S1816" s="123"/>
      <c r="T1816" s="3"/>
      <c r="W1816" s="86"/>
      <c r="Y1816" s="75"/>
    </row>
    <row r="1817" spans="1:25" x14ac:dyDescent="0.25">
      <c r="A1817" s="75"/>
      <c r="C1817" s="81"/>
      <c r="D1817" s="81"/>
      <c r="I1817" s="81"/>
      <c r="K1817" s="82"/>
      <c r="L1817" s="123"/>
      <c r="M1817" s="3"/>
      <c r="N1817" s="3"/>
      <c r="O1817" s="3"/>
      <c r="P1817" s="125"/>
      <c r="Q1817" s="125"/>
      <c r="R1817" s="127"/>
      <c r="S1817" s="123"/>
      <c r="T1817" s="3"/>
      <c r="W1817" s="86"/>
      <c r="Y1817" s="75"/>
    </row>
    <row r="1818" spans="1:25" x14ac:dyDescent="0.25">
      <c r="A1818" s="75"/>
      <c r="C1818" s="81"/>
      <c r="D1818" s="81"/>
      <c r="I1818" s="81"/>
      <c r="K1818" s="82"/>
      <c r="L1818" s="123"/>
      <c r="M1818" s="3"/>
      <c r="N1818" s="3"/>
      <c r="O1818" s="3"/>
      <c r="P1818" s="125"/>
      <c r="Q1818" s="125"/>
      <c r="R1818" s="127"/>
      <c r="S1818" s="123"/>
      <c r="T1818" s="3"/>
      <c r="W1818" s="86"/>
      <c r="Y1818" s="75"/>
    </row>
    <row r="1819" spans="1:25" x14ac:dyDescent="0.25">
      <c r="A1819" s="75"/>
      <c r="C1819" s="81"/>
      <c r="D1819" s="81"/>
      <c r="I1819" s="81"/>
      <c r="K1819" s="82"/>
      <c r="L1819" s="123"/>
      <c r="M1819" s="3"/>
      <c r="N1819" s="3"/>
      <c r="O1819" s="3"/>
      <c r="P1819" s="125"/>
      <c r="Q1819" s="125"/>
      <c r="R1819" s="127"/>
      <c r="S1819" s="123"/>
      <c r="T1819" s="3"/>
      <c r="W1819" s="86"/>
      <c r="Y1819" s="75"/>
    </row>
    <row r="1820" spans="1:25" x14ac:dyDescent="0.25">
      <c r="A1820" s="75"/>
      <c r="C1820" s="81"/>
      <c r="D1820" s="81"/>
      <c r="I1820" s="81"/>
      <c r="K1820" s="82"/>
      <c r="L1820" s="123"/>
      <c r="M1820" s="3"/>
      <c r="N1820" s="3"/>
      <c r="O1820" s="3"/>
      <c r="P1820" s="125"/>
      <c r="Q1820" s="125"/>
      <c r="R1820" s="127"/>
      <c r="S1820" s="123"/>
      <c r="T1820" s="3"/>
      <c r="W1820" s="86"/>
      <c r="Y1820" s="75"/>
    </row>
    <row r="1821" spans="1:25" x14ac:dyDescent="0.25">
      <c r="A1821" s="75"/>
      <c r="C1821" s="81"/>
      <c r="D1821" s="81"/>
      <c r="I1821" s="81"/>
      <c r="K1821" s="82"/>
      <c r="L1821" s="123"/>
      <c r="M1821" s="3"/>
      <c r="N1821" s="3"/>
      <c r="O1821" s="3"/>
      <c r="P1821" s="125"/>
      <c r="Q1821" s="125"/>
      <c r="R1821" s="127"/>
      <c r="S1821" s="123"/>
      <c r="T1821" s="3"/>
      <c r="W1821" s="86"/>
      <c r="Y1821" s="75"/>
    </row>
    <row r="1822" spans="1:25" x14ac:dyDescent="0.25">
      <c r="A1822" s="75"/>
      <c r="C1822" s="81"/>
      <c r="D1822" s="81"/>
      <c r="I1822" s="81"/>
      <c r="K1822" s="82"/>
      <c r="L1822" s="123"/>
      <c r="M1822" s="3"/>
      <c r="N1822" s="3"/>
      <c r="O1822" s="3"/>
      <c r="P1822" s="125"/>
      <c r="Q1822" s="125"/>
      <c r="R1822" s="127"/>
      <c r="S1822" s="123"/>
      <c r="T1822" s="3"/>
      <c r="W1822" s="86"/>
      <c r="Y1822" s="75"/>
    </row>
    <row r="1823" spans="1:25" x14ac:dyDescent="0.25">
      <c r="A1823" s="75"/>
      <c r="C1823" s="81"/>
      <c r="D1823" s="81"/>
      <c r="I1823" s="81"/>
      <c r="K1823" s="82"/>
      <c r="L1823" s="123"/>
      <c r="M1823" s="3"/>
      <c r="N1823" s="3"/>
      <c r="O1823" s="3"/>
      <c r="P1823" s="125"/>
      <c r="Q1823" s="125"/>
      <c r="R1823" s="127"/>
      <c r="S1823" s="123"/>
      <c r="T1823" s="3"/>
      <c r="W1823" s="86"/>
      <c r="Y1823" s="75"/>
    </row>
    <row r="1824" spans="1:25" x14ac:dyDescent="0.25">
      <c r="A1824" s="75"/>
      <c r="C1824" s="81"/>
      <c r="D1824" s="81"/>
      <c r="I1824" s="81"/>
      <c r="K1824" s="82"/>
      <c r="L1824" s="123"/>
      <c r="M1824" s="3"/>
      <c r="N1824" s="3"/>
      <c r="O1824" s="3"/>
      <c r="P1824" s="125"/>
      <c r="Q1824" s="125"/>
      <c r="R1824" s="127"/>
      <c r="S1824" s="123"/>
      <c r="T1824" s="3"/>
      <c r="W1824" s="86"/>
      <c r="Y1824" s="75"/>
    </row>
    <row r="1825" spans="1:25" x14ac:dyDescent="0.25">
      <c r="A1825" s="75"/>
      <c r="C1825" s="81"/>
      <c r="D1825" s="81"/>
      <c r="I1825" s="81"/>
      <c r="K1825" s="82"/>
      <c r="L1825" s="123"/>
      <c r="M1825" s="3"/>
      <c r="N1825" s="3"/>
      <c r="O1825" s="3"/>
      <c r="P1825" s="125"/>
      <c r="Q1825" s="125"/>
      <c r="R1825" s="127"/>
      <c r="S1825" s="123"/>
      <c r="T1825" s="3"/>
      <c r="W1825" s="86"/>
      <c r="Y1825" s="75"/>
    </row>
    <row r="1826" spans="1:25" x14ac:dyDescent="0.25">
      <c r="A1826" s="75"/>
      <c r="C1826" s="81"/>
      <c r="D1826" s="81"/>
      <c r="I1826" s="81"/>
      <c r="K1826" s="82"/>
      <c r="L1826" s="123"/>
      <c r="M1826" s="3"/>
      <c r="N1826" s="3"/>
      <c r="O1826" s="3"/>
      <c r="P1826" s="125"/>
      <c r="Q1826" s="125"/>
      <c r="R1826" s="127"/>
      <c r="S1826" s="123"/>
      <c r="T1826" s="3"/>
      <c r="W1826" s="86"/>
      <c r="Y1826" s="75"/>
    </row>
    <row r="1827" spans="1:25" x14ac:dyDescent="0.25">
      <c r="A1827" s="75"/>
      <c r="C1827" s="81"/>
      <c r="D1827" s="81"/>
      <c r="I1827" s="81"/>
      <c r="K1827" s="82"/>
      <c r="L1827" s="123"/>
      <c r="M1827" s="3"/>
      <c r="N1827" s="3"/>
      <c r="O1827" s="3"/>
      <c r="P1827" s="125"/>
      <c r="Q1827" s="125"/>
      <c r="R1827" s="127"/>
      <c r="S1827" s="123"/>
      <c r="T1827" s="3"/>
      <c r="W1827" s="86"/>
      <c r="Y1827" s="75"/>
    </row>
    <row r="1828" spans="1:25" x14ac:dyDescent="0.25">
      <c r="A1828" s="75"/>
      <c r="C1828" s="81"/>
      <c r="D1828" s="81"/>
      <c r="I1828" s="81"/>
      <c r="K1828" s="82"/>
      <c r="L1828" s="123"/>
      <c r="M1828" s="3"/>
      <c r="N1828" s="3"/>
      <c r="O1828" s="3"/>
      <c r="P1828" s="125"/>
      <c r="Q1828" s="125"/>
      <c r="R1828" s="127"/>
      <c r="S1828" s="123"/>
      <c r="T1828" s="3"/>
      <c r="W1828" s="86"/>
      <c r="Y1828" s="75"/>
    </row>
    <row r="1829" spans="1:25" x14ac:dyDescent="0.25">
      <c r="A1829" s="75"/>
      <c r="C1829" s="81"/>
      <c r="D1829" s="81"/>
      <c r="I1829" s="81"/>
      <c r="K1829" s="82"/>
      <c r="L1829" s="123"/>
      <c r="M1829" s="3"/>
      <c r="N1829" s="3"/>
      <c r="O1829" s="3"/>
      <c r="P1829" s="125"/>
      <c r="Q1829" s="125"/>
      <c r="R1829" s="127"/>
      <c r="S1829" s="123"/>
      <c r="T1829" s="3"/>
      <c r="W1829" s="86"/>
      <c r="Y1829" s="75"/>
    </row>
    <row r="1830" spans="1:25" x14ac:dyDescent="0.25">
      <c r="A1830" s="75"/>
      <c r="C1830" s="81"/>
      <c r="D1830" s="81"/>
      <c r="I1830" s="81"/>
      <c r="K1830" s="82"/>
      <c r="L1830" s="123"/>
      <c r="M1830" s="3"/>
      <c r="N1830" s="3"/>
      <c r="O1830" s="3"/>
      <c r="P1830" s="125"/>
      <c r="Q1830" s="125"/>
      <c r="R1830" s="127"/>
      <c r="S1830" s="123"/>
      <c r="T1830" s="3"/>
      <c r="W1830" s="86"/>
      <c r="Y1830" s="75"/>
    </row>
    <row r="1831" spans="1:25" x14ac:dyDescent="0.25">
      <c r="A1831" s="75"/>
      <c r="C1831" s="81"/>
      <c r="D1831" s="81"/>
      <c r="I1831" s="81"/>
      <c r="K1831" s="82"/>
      <c r="L1831" s="123"/>
      <c r="M1831" s="3"/>
      <c r="N1831" s="3"/>
      <c r="O1831" s="3"/>
      <c r="P1831" s="125"/>
      <c r="Q1831" s="125"/>
      <c r="R1831" s="127"/>
      <c r="S1831" s="123"/>
      <c r="T1831" s="3"/>
      <c r="W1831" s="86"/>
      <c r="Y1831" s="75"/>
    </row>
    <row r="1832" spans="1:25" x14ac:dyDescent="0.25">
      <c r="A1832" s="75"/>
      <c r="C1832" s="81"/>
      <c r="D1832" s="81"/>
      <c r="I1832" s="81"/>
      <c r="K1832" s="82"/>
      <c r="L1832" s="123"/>
      <c r="M1832" s="3"/>
      <c r="N1832" s="3"/>
      <c r="O1832" s="3"/>
      <c r="P1832" s="125"/>
      <c r="Q1832" s="125"/>
      <c r="R1832" s="127"/>
      <c r="S1832" s="123"/>
      <c r="T1832" s="3"/>
      <c r="W1832" s="86"/>
      <c r="Y1832" s="75"/>
    </row>
    <row r="1833" spans="1:25" x14ac:dyDescent="0.25">
      <c r="A1833" s="75"/>
      <c r="C1833" s="81"/>
      <c r="D1833" s="81"/>
      <c r="I1833" s="81"/>
      <c r="K1833" s="82"/>
      <c r="L1833" s="123"/>
      <c r="M1833" s="3"/>
      <c r="N1833" s="3"/>
      <c r="O1833" s="3"/>
      <c r="P1833" s="125"/>
      <c r="Q1833" s="125"/>
      <c r="R1833" s="127"/>
      <c r="S1833" s="123"/>
      <c r="T1833" s="3"/>
      <c r="W1833" s="86"/>
      <c r="Y1833" s="75"/>
    </row>
    <row r="1834" spans="1:25" x14ac:dyDescent="0.25">
      <c r="A1834" s="75"/>
      <c r="C1834" s="81"/>
      <c r="D1834" s="81"/>
      <c r="I1834" s="81"/>
      <c r="K1834" s="82"/>
      <c r="L1834" s="123"/>
      <c r="M1834" s="3"/>
      <c r="N1834" s="3"/>
      <c r="O1834" s="3"/>
      <c r="P1834" s="125"/>
      <c r="Q1834" s="125"/>
      <c r="R1834" s="127"/>
      <c r="S1834" s="123"/>
      <c r="T1834" s="3"/>
      <c r="W1834" s="86"/>
      <c r="Y1834" s="75"/>
    </row>
    <row r="1835" spans="1:25" x14ac:dyDescent="0.25">
      <c r="A1835" s="75"/>
      <c r="C1835" s="81"/>
      <c r="D1835" s="81"/>
      <c r="I1835" s="81"/>
      <c r="K1835" s="82"/>
      <c r="L1835" s="123"/>
      <c r="M1835" s="3"/>
      <c r="N1835" s="3"/>
      <c r="O1835" s="3"/>
      <c r="P1835" s="125"/>
      <c r="Q1835" s="125"/>
      <c r="R1835" s="127"/>
      <c r="S1835" s="123"/>
      <c r="T1835" s="3"/>
      <c r="W1835" s="86"/>
      <c r="Y1835" s="75"/>
    </row>
    <row r="1836" spans="1:25" x14ac:dyDescent="0.25">
      <c r="A1836" s="75"/>
      <c r="C1836" s="81"/>
      <c r="D1836" s="81"/>
      <c r="I1836" s="81"/>
      <c r="K1836" s="82"/>
      <c r="L1836" s="123"/>
      <c r="M1836" s="3"/>
      <c r="N1836" s="3"/>
      <c r="O1836" s="3"/>
      <c r="P1836" s="125"/>
      <c r="Q1836" s="125"/>
      <c r="R1836" s="127"/>
      <c r="S1836" s="123"/>
      <c r="T1836" s="3"/>
      <c r="W1836" s="86"/>
      <c r="Y1836" s="75"/>
    </row>
    <row r="1837" spans="1:25" x14ac:dyDescent="0.25">
      <c r="A1837" s="75"/>
      <c r="C1837" s="81"/>
      <c r="D1837" s="81"/>
      <c r="I1837" s="81"/>
      <c r="K1837" s="82"/>
      <c r="L1837" s="123"/>
      <c r="M1837" s="3"/>
      <c r="N1837" s="3"/>
      <c r="O1837" s="3"/>
      <c r="P1837" s="125"/>
      <c r="Q1837" s="125"/>
      <c r="R1837" s="127"/>
      <c r="S1837" s="123"/>
      <c r="T1837" s="3"/>
      <c r="W1837" s="86"/>
      <c r="Y1837" s="75"/>
    </row>
    <row r="1838" spans="1:25" x14ac:dyDescent="0.25">
      <c r="A1838" s="75"/>
      <c r="C1838" s="81"/>
      <c r="D1838" s="81"/>
      <c r="I1838" s="81"/>
      <c r="K1838" s="82"/>
      <c r="L1838" s="123"/>
      <c r="M1838" s="3"/>
      <c r="N1838" s="3"/>
      <c r="O1838" s="3"/>
      <c r="P1838" s="125"/>
      <c r="Q1838" s="125"/>
      <c r="R1838" s="127"/>
      <c r="S1838" s="123"/>
      <c r="T1838" s="3"/>
      <c r="W1838" s="86"/>
      <c r="Y1838" s="75"/>
    </row>
    <row r="1839" spans="1:25" x14ac:dyDescent="0.25">
      <c r="A1839" s="75"/>
      <c r="C1839" s="81"/>
      <c r="D1839" s="81"/>
      <c r="I1839" s="81"/>
      <c r="K1839" s="82"/>
      <c r="L1839" s="123"/>
      <c r="M1839" s="3"/>
      <c r="N1839" s="3"/>
      <c r="O1839" s="3"/>
      <c r="P1839" s="125"/>
      <c r="Q1839" s="125"/>
      <c r="R1839" s="127"/>
      <c r="S1839" s="123"/>
      <c r="T1839" s="3"/>
      <c r="W1839" s="86"/>
      <c r="Y1839" s="75"/>
    </row>
    <row r="1840" spans="1:25" x14ac:dyDescent="0.25">
      <c r="A1840" s="75"/>
      <c r="C1840" s="81"/>
      <c r="D1840" s="81"/>
      <c r="I1840" s="81"/>
      <c r="K1840" s="82"/>
      <c r="L1840" s="123"/>
      <c r="M1840" s="3"/>
      <c r="N1840" s="3"/>
      <c r="O1840" s="3"/>
      <c r="P1840" s="125"/>
      <c r="Q1840" s="125"/>
      <c r="R1840" s="127"/>
      <c r="S1840" s="123"/>
      <c r="T1840" s="3"/>
      <c r="W1840" s="86"/>
      <c r="Y1840" s="75"/>
    </row>
    <row r="1841" spans="1:25" x14ac:dyDescent="0.25">
      <c r="A1841" s="75"/>
      <c r="C1841" s="81"/>
      <c r="D1841" s="81"/>
      <c r="I1841" s="81"/>
      <c r="K1841" s="82"/>
      <c r="L1841" s="123"/>
      <c r="M1841" s="3"/>
      <c r="N1841" s="3"/>
      <c r="O1841" s="3"/>
      <c r="P1841" s="125"/>
      <c r="Q1841" s="125"/>
      <c r="R1841" s="127"/>
      <c r="S1841" s="123"/>
      <c r="T1841" s="3"/>
      <c r="W1841" s="86"/>
      <c r="Y1841" s="75"/>
    </row>
    <row r="1842" spans="1:25" x14ac:dyDescent="0.25">
      <c r="A1842" s="75"/>
      <c r="C1842" s="81"/>
      <c r="D1842" s="81"/>
      <c r="I1842" s="81"/>
      <c r="K1842" s="82"/>
      <c r="L1842" s="123"/>
      <c r="M1842" s="3"/>
      <c r="N1842" s="3"/>
      <c r="O1842" s="3"/>
      <c r="P1842" s="125"/>
      <c r="Q1842" s="125"/>
      <c r="R1842" s="127"/>
      <c r="S1842" s="123"/>
      <c r="T1842" s="3"/>
      <c r="W1842" s="86"/>
      <c r="Y1842" s="75"/>
    </row>
    <row r="1843" spans="1:25" x14ac:dyDescent="0.25">
      <c r="A1843" s="75"/>
      <c r="C1843" s="81"/>
      <c r="D1843" s="81"/>
      <c r="I1843" s="81"/>
      <c r="K1843" s="82"/>
      <c r="L1843" s="123"/>
      <c r="M1843" s="3"/>
      <c r="N1843" s="3"/>
      <c r="O1843" s="3"/>
      <c r="P1843" s="125"/>
      <c r="Q1843" s="125"/>
      <c r="R1843" s="127"/>
      <c r="S1843" s="123"/>
      <c r="T1843" s="3"/>
      <c r="W1843" s="86"/>
      <c r="Y1843" s="75"/>
    </row>
    <row r="1844" spans="1:25" x14ac:dyDescent="0.25">
      <c r="A1844" s="75"/>
      <c r="C1844" s="81"/>
      <c r="D1844" s="81"/>
      <c r="I1844" s="81"/>
      <c r="K1844" s="82"/>
      <c r="L1844" s="123"/>
      <c r="M1844" s="3"/>
      <c r="N1844" s="3"/>
      <c r="O1844" s="3"/>
      <c r="P1844" s="125"/>
      <c r="Q1844" s="125"/>
      <c r="R1844" s="127"/>
      <c r="S1844" s="123"/>
      <c r="T1844" s="3"/>
      <c r="W1844" s="86"/>
      <c r="Y1844" s="75"/>
    </row>
    <row r="1845" spans="1:25" x14ac:dyDescent="0.25">
      <c r="A1845" s="75"/>
      <c r="C1845" s="81"/>
      <c r="D1845" s="81"/>
      <c r="I1845" s="81"/>
      <c r="K1845" s="82"/>
      <c r="L1845" s="123"/>
      <c r="M1845" s="3"/>
      <c r="N1845" s="3"/>
      <c r="O1845" s="3"/>
      <c r="P1845" s="125"/>
      <c r="Q1845" s="125"/>
      <c r="R1845" s="127"/>
      <c r="S1845" s="123"/>
      <c r="T1845" s="3"/>
      <c r="W1845" s="86"/>
      <c r="Y1845" s="75"/>
    </row>
    <row r="1846" spans="1:25" x14ac:dyDescent="0.25">
      <c r="A1846" s="75"/>
      <c r="C1846" s="81"/>
      <c r="D1846" s="81"/>
      <c r="I1846" s="81"/>
      <c r="K1846" s="82"/>
      <c r="L1846" s="123"/>
      <c r="M1846" s="3"/>
      <c r="N1846" s="3"/>
      <c r="O1846" s="3"/>
      <c r="P1846" s="125"/>
      <c r="Q1846" s="125"/>
      <c r="R1846" s="127"/>
      <c r="S1846" s="123"/>
      <c r="T1846" s="3"/>
      <c r="W1846" s="86"/>
      <c r="Y1846" s="75"/>
    </row>
    <row r="1847" spans="1:25" x14ac:dyDescent="0.25">
      <c r="A1847" s="75"/>
      <c r="C1847" s="81"/>
      <c r="D1847" s="81"/>
      <c r="I1847" s="81"/>
      <c r="K1847" s="82"/>
      <c r="L1847" s="123"/>
      <c r="M1847" s="3"/>
      <c r="N1847" s="3"/>
      <c r="O1847" s="3"/>
      <c r="P1847" s="125"/>
      <c r="Q1847" s="125"/>
      <c r="R1847" s="127"/>
      <c r="S1847" s="123"/>
      <c r="T1847" s="3"/>
      <c r="W1847" s="86"/>
      <c r="Y1847" s="75"/>
    </row>
    <row r="1848" spans="1:25" x14ac:dyDescent="0.25">
      <c r="A1848" s="75"/>
      <c r="C1848" s="81"/>
      <c r="D1848" s="81"/>
      <c r="I1848" s="81"/>
      <c r="K1848" s="82"/>
      <c r="L1848" s="123"/>
      <c r="M1848" s="3"/>
      <c r="N1848" s="3"/>
      <c r="O1848" s="3"/>
      <c r="P1848" s="125"/>
      <c r="Q1848" s="125"/>
      <c r="R1848" s="127"/>
      <c r="S1848" s="123"/>
      <c r="T1848" s="3"/>
      <c r="W1848" s="86"/>
      <c r="Y1848" s="75"/>
    </row>
    <row r="1849" spans="1:25" x14ac:dyDescent="0.25">
      <c r="A1849" s="75"/>
      <c r="C1849" s="81"/>
      <c r="D1849" s="81"/>
      <c r="I1849" s="81"/>
      <c r="K1849" s="82"/>
      <c r="L1849" s="123"/>
      <c r="M1849" s="3"/>
      <c r="N1849" s="3"/>
      <c r="O1849" s="3"/>
      <c r="P1849" s="125"/>
      <c r="Q1849" s="125"/>
      <c r="R1849" s="127"/>
      <c r="S1849" s="123"/>
      <c r="T1849" s="3"/>
      <c r="W1849" s="86"/>
      <c r="Y1849" s="75"/>
    </row>
    <row r="1850" spans="1:25" x14ac:dyDescent="0.25">
      <c r="A1850" s="75"/>
      <c r="C1850" s="81"/>
      <c r="D1850" s="81"/>
      <c r="I1850" s="81"/>
      <c r="K1850" s="82"/>
      <c r="L1850" s="123"/>
      <c r="M1850" s="3"/>
      <c r="N1850" s="3"/>
      <c r="O1850" s="3"/>
      <c r="P1850" s="125"/>
      <c r="Q1850" s="125"/>
      <c r="R1850" s="127"/>
      <c r="S1850" s="123"/>
      <c r="T1850" s="3"/>
      <c r="W1850" s="86"/>
      <c r="Y1850" s="75"/>
    </row>
    <row r="1851" spans="1:25" x14ac:dyDescent="0.25">
      <c r="A1851" s="75"/>
      <c r="C1851" s="81"/>
      <c r="D1851" s="81"/>
      <c r="I1851" s="81"/>
      <c r="K1851" s="82"/>
      <c r="L1851" s="123"/>
      <c r="M1851" s="3"/>
      <c r="N1851" s="3"/>
      <c r="O1851" s="3"/>
      <c r="P1851" s="125"/>
      <c r="Q1851" s="125"/>
      <c r="R1851" s="127"/>
      <c r="S1851" s="123"/>
      <c r="T1851" s="3"/>
      <c r="W1851" s="86"/>
      <c r="Y1851" s="75"/>
    </row>
    <row r="1852" spans="1:25" x14ac:dyDescent="0.25">
      <c r="A1852" s="75"/>
      <c r="C1852" s="81"/>
      <c r="D1852" s="81"/>
      <c r="I1852" s="81"/>
      <c r="K1852" s="82"/>
      <c r="L1852" s="123"/>
      <c r="M1852" s="3"/>
      <c r="N1852" s="3"/>
      <c r="O1852" s="3"/>
      <c r="P1852" s="125"/>
      <c r="Q1852" s="125"/>
      <c r="R1852" s="127"/>
      <c r="S1852" s="123"/>
      <c r="T1852" s="3"/>
      <c r="W1852" s="86"/>
      <c r="Y1852" s="75"/>
    </row>
    <row r="1853" spans="1:25" x14ac:dyDescent="0.25">
      <c r="A1853" s="75"/>
      <c r="C1853" s="81"/>
      <c r="D1853" s="81"/>
      <c r="I1853" s="81"/>
      <c r="K1853" s="82"/>
      <c r="L1853" s="123"/>
      <c r="M1853" s="3"/>
      <c r="N1853" s="3"/>
      <c r="O1853" s="3"/>
      <c r="P1853" s="125"/>
      <c r="Q1853" s="125"/>
      <c r="R1853" s="127"/>
      <c r="S1853" s="123"/>
      <c r="T1853" s="3"/>
      <c r="W1853" s="86"/>
      <c r="Y1853" s="75"/>
    </row>
    <row r="1854" spans="1:25" x14ac:dyDescent="0.25">
      <c r="A1854" s="75"/>
      <c r="C1854" s="81"/>
      <c r="D1854" s="81"/>
      <c r="I1854" s="81"/>
      <c r="K1854" s="82"/>
      <c r="L1854" s="123"/>
      <c r="M1854" s="3"/>
      <c r="N1854" s="3"/>
      <c r="O1854" s="3"/>
      <c r="P1854" s="125"/>
      <c r="Q1854" s="125"/>
      <c r="R1854" s="127"/>
      <c r="S1854" s="123"/>
      <c r="T1854" s="3"/>
      <c r="W1854" s="86"/>
      <c r="Y1854" s="75"/>
    </row>
    <row r="1855" spans="1:25" x14ac:dyDescent="0.25">
      <c r="A1855" s="75"/>
      <c r="C1855" s="81"/>
      <c r="D1855" s="81"/>
      <c r="I1855" s="81"/>
      <c r="K1855" s="82"/>
      <c r="L1855" s="123"/>
      <c r="M1855" s="3"/>
      <c r="N1855" s="3"/>
      <c r="O1855" s="3"/>
      <c r="P1855" s="125"/>
      <c r="Q1855" s="125"/>
      <c r="R1855" s="127"/>
      <c r="S1855" s="123"/>
      <c r="T1855" s="3"/>
      <c r="W1855" s="86"/>
      <c r="Y1855" s="75"/>
    </row>
    <row r="1856" spans="1:25" x14ac:dyDescent="0.25">
      <c r="A1856" s="75"/>
      <c r="C1856" s="81"/>
      <c r="D1856" s="81"/>
      <c r="I1856" s="81"/>
      <c r="K1856" s="82"/>
      <c r="L1856" s="123"/>
      <c r="M1856" s="3"/>
      <c r="N1856" s="3"/>
      <c r="O1856" s="3"/>
      <c r="P1856" s="125"/>
      <c r="Q1856" s="125"/>
      <c r="R1856" s="127"/>
      <c r="S1856" s="123"/>
      <c r="T1856" s="3"/>
      <c r="W1856" s="86"/>
      <c r="Y1856" s="75"/>
    </row>
    <row r="1857" spans="1:25" x14ac:dyDescent="0.25">
      <c r="A1857" s="75"/>
      <c r="C1857" s="81"/>
      <c r="D1857" s="81"/>
      <c r="I1857" s="81"/>
      <c r="K1857" s="82"/>
      <c r="L1857" s="123"/>
      <c r="M1857" s="3"/>
      <c r="N1857" s="3"/>
      <c r="O1857" s="3"/>
      <c r="P1857" s="125"/>
      <c r="Q1857" s="125"/>
      <c r="R1857" s="127"/>
      <c r="S1857" s="123"/>
      <c r="T1857" s="3"/>
      <c r="W1857" s="86"/>
      <c r="Y1857" s="75"/>
    </row>
    <row r="1858" spans="1:25" x14ac:dyDescent="0.25">
      <c r="A1858" s="75"/>
      <c r="C1858" s="81"/>
      <c r="D1858" s="81"/>
      <c r="I1858" s="81"/>
      <c r="K1858" s="82"/>
      <c r="L1858" s="123"/>
      <c r="M1858" s="3"/>
      <c r="N1858" s="3"/>
      <c r="O1858" s="3"/>
      <c r="P1858" s="125"/>
      <c r="Q1858" s="125"/>
      <c r="R1858" s="127"/>
      <c r="S1858" s="123"/>
      <c r="T1858" s="3"/>
      <c r="W1858" s="86"/>
      <c r="Y1858" s="75"/>
    </row>
    <row r="1859" spans="1:25" x14ac:dyDescent="0.25">
      <c r="A1859" s="75"/>
      <c r="C1859" s="81"/>
      <c r="D1859" s="81"/>
      <c r="I1859" s="81"/>
      <c r="K1859" s="82"/>
      <c r="L1859" s="123"/>
      <c r="M1859" s="3"/>
      <c r="N1859" s="3"/>
      <c r="O1859" s="3"/>
      <c r="P1859" s="125"/>
      <c r="Q1859" s="125"/>
      <c r="R1859" s="127"/>
      <c r="S1859" s="123"/>
      <c r="T1859" s="3"/>
      <c r="W1859" s="86"/>
      <c r="Y1859" s="75"/>
    </row>
    <row r="1860" spans="1:25" x14ac:dyDescent="0.25">
      <c r="A1860" s="75"/>
      <c r="C1860" s="81"/>
      <c r="D1860" s="81"/>
      <c r="I1860" s="81"/>
      <c r="K1860" s="82"/>
      <c r="L1860" s="123"/>
      <c r="M1860" s="3"/>
      <c r="N1860" s="3"/>
      <c r="O1860" s="3"/>
      <c r="P1860" s="125"/>
      <c r="Q1860" s="125"/>
      <c r="R1860" s="127"/>
      <c r="S1860" s="123"/>
      <c r="T1860" s="3"/>
      <c r="W1860" s="86"/>
      <c r="Y1860" s="75"/>
    </row>
    <row r="1861" spans="1:25" x14ac:dyDescent="0.25">
      <c r="A1861" s="75"/>
      <c r="C1861" s="81"/>
      <c r="D1861" s="81"/>
      <c r="I1861" s="81"/>
      <c r="K1861" s="82"/>
      <c r="L1861" s="123"/>
      <c r="M1861" s="3"/>
      <c r="N1861" s="3"/>
      <c r="O1861" s="3"/>
      <c r="P1861" s="125"/>
      <c r="Q1861" s="125"/>
      <c r="R1861" s="127"/>
      <c r="S1861" s="123"/>
      <c r="T1861" s="3"/>
      <c r="W1861" s="86"/>
      <c r="Y1861" s="75"/>
    </row>
    <row r="1862" spans="1:25" x14ac:dyDescent="0.25">
      <c r="A1862" s="75"/>
      <c r="C1862" s="81"/>
      <c r="D1862" s="81"/>
      <c r="I1862" s="81"/>
      <c r="K1862" s="82"/>
      <c r="L1862" s="123"/>
      <c r="M1862" s="3"/>
      <c r="N1862" s="3"/>
      <c r="O1862" s="3"/>
      <c r="P1862" s="125"/>
      <c r="Q1862" s="125"/>
      <c r="R1862" s="127"/>
      <c r="S1862" s="123"/>
      <c r="T1862" s="3"/>
      <c r="W1862" s="86"/>
      <c r="Y1862" s="75"/>
    </row>
    <row r="1863" spans="1:25" x14ac:dyDescent="0.25">
      <c r="A1863" s="75"/>
      <c r="C1863" s="81"/>
      <c r="D1863" s="81"/>
      <c r="I1863" s="81"/>
      <c r="K1863" s="82"/>
      <c r="L1863" s="123"/>
      <c r="M1863" s="3"/>
      <c r="N1863" s="3"/>
      <c r="O1863" s="3"/>
      <c r="P1863" s="125"/>
      <c r="Q1863" s="125"/>
      <c r="R1863" s="127"/>
      <c r="S1863" s="123"/>
      <c r="T1863" s="3"/>
      <c r="W1863" s="86"/>
      <c r="Y1863" s="75"/>
    </row>
    <row r="1864" spans="1:25" x14ac:dyDescent="0.25">
      <c r="A1864" s="75"/>
      <c r="C1864" s="81"/>
      <c r="D1864" s="81"/>
      <c r="I1864" s="81"/>
      <c r="K1864" s="82"/>
      <c r="L1864" s="123"/>
      <c r="M1864" s="3"/>
      <c r="N1864" s="3"/>
      <c r="O1864" s="3"/>
      <c r="P1864" s="125"/>
      <c r="Q1864" s="125"/>
      <c r="R1864" s="127"/>
      <c r="S1864" s="123"/>
      <c r="T1864" s="3"/>
      <c r="W1864" s="86"/>
      <c r="Y1864" s="75"/>
    </row>
    <row r="1865" spans="1:25" x14ac:dyDescent="0.25">
      <c r="A1865" s="75"/>
      <c r="C1865" s="81"/>
      <c r="D1865" s="81"/>
      <c r="I1865" s="81"/>
      <c r="K1865" s="82"/>
      <c r="L1865" s="123"/>
      <c r="M1865" s="3"/>
      <c r="N1865" s="3"/>
      <c r="O1865" s="3"/>
      <c r="P1865" s="125"/>
      <c r="Q1865" s="125"/>
      <c r="R1865" s="127"/>
      <c r="S1865" s="123"/>
      <c r="T1865" s="3"/>
      <c r="W1865" s="86"/>
      <c r="Y1865" s="75"/>
    </row>
    <row r="1866" spans="1:25" x14ac:dyDescent="0.25">
      <c r="A1866" s="75"/>
      <c r="C1866" s="81"/>
      <c r="D1866" s="81"/>
      <c r="I1866" s="81"/>
      <c r="K1866" s="82"/>
      <c r="L1866" s="123"/>
      <c r="M1866" s="3"/>
      <c r="N1866" s="3"/>
      <c r="O1866" s="3"/>
      <c r="P1866" s="125"/>
      <c r="Q1866" s="125"/>
      <c r="R1866" s="127"/>
      <c r="S1866" s="123"/>
      <c r="T1866" s="3"/>
      <c r="W1866" s="86"/>
      <c r="Y1866" s="75"/>
    </row>
    <row r="1867" spans="1:25" x14ac:dyDescent="0.25">
      <c r="A1867" s="75"/>
      <c r="C1867" s="81"/>
      <c r="D1867" s="81"/>
      <c r="I1867" s="81"/>
      <c r="K1867" s="82"/>
      <c r="L1867" s="123"/>
      <c r="M1867" s="3"/>
      <c r="N1867" s="3"/>
      <c r="O1867" s="3"/>
      <c r="P1867" s="125"/>
      <c r="Q1867" s="125"/>
      <c r="R1867" s="127"/>
      <c r="S1867" s="123"/>
      <c r="T1867" s="3"/>
      <c r="W1867" s="86"/>
      <c r="Y1867" s="75"/>
    </row>
    <row r="1868" spans="1:25" x14ac:dyDescent="0.25">
      <c r="A1868" s="75"/>
      <c r="C1868" s="81"/>
      <c r="D1868" s="81"/>
      <c r="I1868" s="81"/>
      <c r="K1868" s="82"/>
      <c r="L1868" s="123"/>
      <c r="M1868" s="3"/>
      <c r="N1868" s="3"/>
      <c r="O1868" s="3"/>
      <c r="P1868" s="125"/>
      <c r="Q1868" s="125"/>
      <c r="R1868" s="127"/>
      <c r="S1868" s="123"/>
      <c r="T1868" s="3"/>
      <c r="W1868" s="86"/>
      <c r="Y1868" s="75"/>
    </row>
    <row r="1869" spans="1:25" x14ac:dyDescent="0.25">
      <c r="A1869" s="75"/>
      <c r="C1869" s="81"/>
      <c r="D1869" s="81"/>
      <c r="I1869" s="81"/>
      <c r="K1869" s="82"/>
      <c r="L1869" s="123"/>
      <c r="M1869" s="3"/>
      <c r="N1869" s="3"/>
      <c r="O1869" s="3"/>
      <c r="P1869" s="125"/>
      <c r="Q1869" s="125"/>
      <c r="R1869" s="127"/>
      <c r="S1869" s="123"/>
      <c r="T1869" s="3"/>
      <c r="W1869" s="86"/>
      <c r="Y1869" s="75"/>
    </row>
    <row r="1870" spans="1:25" x14ac:dyDescent="0.25">
      <c r="A1870" s="75"/>
      <c r="C1870" s="81"/>
      <c r="D1870" s="81"/>
      <c r="I1870" s="81"/>
      <c r="K1870" s="82"/>
      <c r="L1870" s="123"/>
      <c r="M1870" s="3"/>
      <c r="N1870" s="3"/>
      <c r="O1870" s="3"/>
      <c r="P1870" s="125"/>
      <c r="Q1870" s="125"/>
      <c r="R1870" s="127"/>
      <c r="S1870" s="123"/>
      <c r="T1870" s="3"/>
      <c r="W1870" s="86"/>
      <c r="Y1870" s="75"/>
    </row>
    <row r="1871" spans="1:25" x14ac:dyDescent="0.25">
      <c r="A1871" s="75"/>
      <c r="C1871" s="81"/>
      <c r="D1871" s="81"/>
      <c r="I1871" s="81"/>
      <c r="K1871" s="82"/>
      <c r="L1871" s="123"/>
      <c r="M1871" s="3"/>
      <c r="N1871" s="3"/>
      <c r="O1871" s="3"/>
      <c r="P1871" s="125"/>
      <c r="Q1871" s="125"/>
      <c r="R1871" s="127"/>
      <c r="S1871" s="123"/>
      <c r="T1871" s="3"/>
      <c r="W1871" s="86"/>
      <c r="Y1871" s="75"/>
    </row>
    <row r="1872" spans="1:25" x14ac:dyDescent="0.25">
      <c r="A1872" s="75"/>
      <c r="C1872" s="81"/>
      <c r="D1872" s="81"/>
      <c r="I1872" s="81"/>
      <c r="K1872" s="82"/>
      <c r="L1872" s="123"/>
      <c r="M1872" s="3"/>
      <c r="N1872" s="3"/>
      <c r="O1872" s="3"/>
      <c r="P1872" s="125"/>
      <c r="Q1872" s="125"/>
      <c r="R1872" s="127"/>
      <c r="S1872" s="123"/>
      <c r="T1872" s="3"/>
      <c r="W1872" s="86"/>
      <c r="Y1872" s="75"/>
    </row>
    <row r="1873" spans="1:25" x14ac:dyDescent="0.25">
      <c r="A1873" s="75"/>
      <c r="C1873" s="81"/>
      <c r="D1873" s="81"/>
      <c r="I1873" s="81"/>
      <c r="K1873" s="82"/>
      <c r="L1873" s="123"/>
      <c r="M1873" s="3"/>
      <c r="N1873" s="3"/>
      <c r="O1873" s="3"/>
      <c r="P1873" s="125"/>
      <c r="Q1873" s="125"/>
      <c r="R1873" s="127"/>
      <c r="S1873" s="123"/>
      <c r="T1873" s="3"/>
      <c r="W1873" s="86"/>
      <c r="Y1873" s="75"/>
    </row>
    <row r="1874" spans="1:25" x14ac:dyDescent="0.25">
      <c r="A1874" s="75"/>
      <c r="C1874" s="81"/>
      <c r="D1874" s="81"/>
      <c r="I1874" s="81"/>
      <c r="K1874" s="82"/>
      <c r="L1874" s="123"/>
      <c r="M1874" s="3"/>
      <c r="N1874" s="3"/>
      <c r="O1874" s="3"/>
      <c r="P1874" s="125"/>
      <c r="Q1874" s="125"/>
      <c r="R1874" s="127"/>
      <c r="S1874" s="123"/>
      <c r="T1874" s="3"/>
      <c r="W1874" s="86"/>
      <c r="Y1874" s="75"/>
    </row>
    <row r="1875" spans="1:25" x14ac:dyDescent="0.25">
      <c r="A1875" s="75"/>
      <c r="C1875" s="81"/>
      <c r="D1875" s="81"/>
      <c r="I1875" s="81"/>
      <c r="K1875" s="82"/>
      <c r="L1875" s="123"/>
      <c r="M1875" s="3"/>
      <c r="N1875" s="3"/>
      <c r="O1875" s="3"/>
      <c r="P1875" s="125"/>
      <c r="Q1875" s="125"/>
      <c r="R1875" s="127"/>
      <c r="S1875" s="123"/>
      <c r="T1875" s="3"/>
      <c r="W1875" s="86"/>
      <c r="Y1875" s="75"/>
    </row>
    <row r="1876" spans="1:25" x14ac:dyDescent="0.25">
      <c r="A1876" s="75"/>
      <c r="C1876" s="81"/>
      <c r="D1876" s="81"/>
      <c r="I1876" s="81"/>
      <c r="K1876" s="82"/>
      <c r="L1876" s="123"/>
      <c r="M1876" s="3"/>
      <c r="N1876" s="3"/>
      <c r="O1876" s="3"/>
      <c r="P1876" s="125"/>
      <c r="Q1876" s="125"/>
      <c r="R1876" s="127"/>
      <c r="S1876" s="123"/>
      <c r="T1876" s="3"/>
      <c r="W1876" s="86"/>
      <c r="Y1876" s="75"/>
    </row>
    <row r="1877" spans="1:25" x14ac:dyDescent="0.25">
      <c r="A1877" s="75"/>
      <c r="C1877" s="81"/>
      <c r="D1877" s="81"/>
      <c r="I1877" s="81"/>
      <c r="K1877" s="82"/>
      <c r="L1877" s="123"/>
      <c r="M1877" s="3"/>
      <c r="N1877" s="3"/>
      <c r="O1877" s="3"/>
      <c r="P1877" s="125"/>
      <c r="Q1877" s="125"/>
      <c r="R1877" s="127"/>
      <c r="S1877" s="123"/>
      <c r="T1877" s="3"/>
      <c r="W1877" s="86"/>
      <c r="Y1877" s="75"/>
    </row>
    <row r="1878" spans="1:25" x14ac:dyDescent="0.25">
      <c r="A1878" s="75"/>
      <c r="C1878" s="81"/>
      <c r="D1878" s="81"/>
      <c r="I1878" s="81"/>
      <c r="K1878" s="82"/>
      <c r="L1878" s="123"/>
      <c r="M1878" s="3"/>
      <c r="N1878" s="3"/>
      <c r="O1878" s="3"/>
      <c r="P1878" s="125"/>
      <c r="Q1878" s="125"/>
      <c r="R1878" s="127"/>
      <c r="S1878" s="123"/>
      <c r="T1878" s="3"/>
      <c r="W1878" s="86"/>
      <c r="Y1878" s="75"/>
    </row>
    <row r="1879" spans="1:25" x14ac:dyDescent="0.25">
      <c r="A1879" s="75"/>
      <c r="C1879" s="81"/>
      <c r="D1879" s="81"/>
      <c r="I1879" s="81"/>
      <c r="K1879" s="82"/>
      <c r="L1879" s="123"/>
      <c r="M1879" s="3"/>
      <c r="N1879" s="3"/>
      <c r="O1879" s="3"/>
      <c r="P1879" s="125"/>
      <c r="Q1879" s="125"/>
      <c r="R1879" s="127"/>
      <c r="S1879" s="123"/>
      <c r="T1879" s="3"/>
      <c r="W1879" s="86"/>
      <c r="Y1879" s="75"/>
    </row>
    <row r="1880" spans="1:25" x14ac:dyDescent="0.25">
      <c r="A1880" s="75"/>
      <c r="C1880" s="81"/>
      <c r="D1880" s="81"/>
      <c r="I1880" s="81"/>
      <c r="K1880" s="82"/>
      <c r="L1880" s="123"/>
      <c r="M1880" s="3"/>
      <c r="N1880" s="3"/>
      <c r="O1880" s="3"/>
      <c r="P1880" s="125"/>
      <c r="Q1880" s="125"/>
      <c r="R1880" s="127"/>
      <c r="S1880" s="123"/>
      <c r="T1880" s="3"/>
      <c r="W1880" s="86"/>
      <c r="Y1880" s="75"/>
    </row>
    <row r="1881" spans="1:25" x14ac:dyDescent="0.25">
      <c r="A1881" s="75"/>
      <c r="C1881" s="81"/>
      <c r="D1881" s="81"/>
      <c r="I1881" s="81"/>
      <c r="K1881" s="82"/>
      <c r="L1881" s="123"/>
      <c r="M1881" s="3"/>
      <c r="N1881" s="3"/>
      <c r="O1881" s="3"/>
      <c r="P1881" s="125"/>
      <c r="Q1881" s="125"/>
      <c r="R1881" s="127"/>
      <c r="S1881" s="123"/>
      <c r="T1881" s="3"/>
      <c r="W1881" s="86"/>
      <c r="Y1881" s="75"/>
    </row>
    <row r="1882" spans="1:25" x14ac:dyDescent="0.25">
      <c r="A1882" s="75"/>
      <c r="C1882" s="81"/>
      <c r="D1882" s="81"/>
      <c r="I1882" s="81"/>
      <c r="K1882" s="82"/>
      <c r="L1882" s="123"/>
      <c r="M1882" s="3"/>
      <c r="N1882" s="3"/>
      <c r="O1882" s="3"/>
      <c r="P1882" s="125"/>
      <c r="Q1882" s="125"/>
      <c r="R1882" s="127"/>
      <c r="S1882" s="123"/>
      <c r="T1882" s="3"/>
      <c r="W1882" s="86"/>
      <c r="Y1882" s="75"/>
    </row>
    <row r="1883" spans="1:25" x14ac:dyDescent="0.25">
      <c r="A1883" s="75"/>
      <c r="C1883" s="81"/>
      <c r="D1883" s="81"/>
      <c r="I1883" s="81"/>
      <c r="K1883" s="82"/>
      <c r="L1883" s="123"/>
      <c r="M1883" s="3"/>
      <c r="N1883" s="3"/>
      <c r="O1883" s="3"/>
      <c r="P1883" s="125"/>
      <c r="Q1883" s="125"/>
      <c r="R1883" s="127"/>
      <c r="S1883" s="123"/>
      <c r="T1883" s="3"/>
      <c r="W1883" s="86"/>
      <c r="Y1883" s="75"/>
    </row>
    <row r="1884" spans="1:25" x14ac:dyDescent="0.25">
      <c r="A1884" s="75"/>
      <c r="C1884" s="81"/>
      <c r="D1884" s="81"/>
      <c r="I1884" s="81"/>
      <c r="K1884" s="82"/>
      <c r="L1884" s="123"/>
      <c r="M1884" s="3"/>
      <c r="N1884" s="3"/>
      <c r="O1884" s="3"/>
      <c r="P1884" s="125"/>
      <c r="Q1884" s="125"/>
      <c r="R1884" s="127"/>
      <c r="S1884" s="123"/>
      <c r="T1884" s="3"/>
      <c r="W1884" s="86"/>
      <c r="Y1884" s="75"/>
    </row>
    <row r="1885" spans="1:25" x14ac:dyDescent="0.25">
      <c r="A1885" s="75"/>
      <c r="C1885" s="81"/>
      <c r="D1885" s="81"/>
      <c r="I1885" s="81"/>
      <c r="K1885" s="82"/>
      <c r="L1885" s="123"/>
      <c r="M1885" s="3"/>
      <c r="N1885" s="3"/>
      <c r="O1885" s="3"/>
      <c r="P1885" s="125"/>
      <c r="Q1885" s="125"/>
      <c r="R1885" s="127"/>
      <c r="S1885" s="123"/>
      <c r="T1885" s="3"/>
      <c r="W1885" s="86"/>
      <c r="Y1885" s="75"/>
    </row>
    <row r="1886" spans="1:25" x14ac:dyDescent="0.25">
      <c r="A1886" s="75"/>
      <c r="C1886" s="81"/>
      <c r="D1886" s="81"/>
      <c r="I1886" s="81"/>
      <c r="K1886" s="82"/>
      <c r="L1886" s="123"/>
      <c r="M1886" s="3"/>
      <c r="N1886" s="3"/>
      <c r="O1886" s="3"/>
      <c r="P1886" s="125"/>
      <c r="Q1886" s="125"/>
      <c r="R1886" s="127"/>
      <c r="S1886" s="123"/>
      <c r="T1886" s="3"/>
      <c r="W1886" s="86"/>
      <c r="Y1886" s="75"/>
    </row>
    <row r="1887" spans="1:25" x14ac:dyDescent="0.25">
      <c r="A1887" s="75"/>
      <c r="C1887" s="81"/>
      <c r="D1887" s="81"/>
      <c r="I1887" s="81"/>
      <c r="K1887" s="82"/>
      <c r="L1887" s="123"/>
      <c r="M1887" s="3"/>
      <c r="N1887" s="3"/>
      <c r="O1887" s="3"/>
      <c r="P1887" s="125"/>
      <c r="Q1887" s="125"/>
      <c r="R1887" s="127"/>
      <c r="S1887" s="123"/>
      <c r="T1887" s="3"/>
      <c r="W1887" s="86"/>
      <c r="Y1887" s="75"/>
    </row>
    <row r="1888" spans="1:25" x14ac:dyDescent="0.25">
      <c r="A1888" s="75"/>
      <c r="C1888" s="81"/>
      <c r="D1888" s="81"/>
      <c r="I1888" s="81"/>
      <c r="K1888" s="82"/>
      <c r="L1888" s="123"/>
      <c r="M1888" s="3"/>
      <c r="N1888" s="3"/>
      <c r="O1888" s="3"/>
      <c r="P1888" s="125"/>
      <c r="Q1888" s="125"/>
      <c r="R1888" s="127"/>
      <c r="S1888" s="123"/>
      <c r="T1888" s="3"/>
      <c r="W1888" s="86"/>
      <c r="Y1888" s="75"/>
    </row>
    <row r="1889" spans="1:25" x14ac:dyDescent="0.25">
      <c r="A1889" s="75"/>
      <c r="C1889" s="81"/>
      <c r="D1889" s="81"/>
      <c r="I1889" s="81"/>
      <c r="K1889" s="82"/>
      <c r="L1889" s="123"/>
      <c r="M1889" s="3"/>
      <c r="N1889" s="3"/>
      <c r="O1889" s="3"/>
      <c r="P1889" s="125"/>
      <c r="Q1889" s="125"/>
      <c r="R1889" s="127"/>
      <c r="S1889" s="123"/>
      <c r="T1889" s="3"/>
      <c r="W1889" s="86"/>
      <c r="Y1889" s="75"/>
    </row>
    <row r="1890" spans="1:25" x14ac:dyDescent="0.25">
      <c r="A1890" s="75"/>
      <c r="C1890" s="81"/>
      <c r="D1890" s="81"/>
      <c r="I1890" s="81"/>
      <c r="K1890" s="82"/>
      <c r="L1890" s="123"/>
      <c r="M1890" s="3"/>
      <c r="N1890" s="3"/>
      <c r="O1890" s="3"/>
      <c r="P1890" s="125"/>
      <c r="Q1890" s="125"/>
      <c r="R1890" s="127"/>
      <c r="S1890" s="123"/>
      <c r="T1890" s="3"/>
      <c r="W1890" s="86"/>
      <c r="Y1890" s="75"/>
    </row>
    <row r="1891" spans="1:25" x14ac:dyDescent="0.25">
      <c r="A1891" s="75"/>
      <c r="C1891" s="81"/>
      <c r="D1891" s="81"/>
      <c r="I1891" s="81"/>
      <c r="K1891" s="82"/>
      <c r="L1891" s="123"/>
      <c r="M1891" s="3"/>
      <c r="N1891" s="3"/>
      <c r="O1891" s="3"/>
      <c r="P1891" s="125"/>
      <c r="Q1891" s="125"/>
      <c r="R1891" s="127"/>
      <c r="S1891" s="123"/>
      <c r="T1891" s="3"/>
      <c r="W1891" s="86"/>
      <c r="Y1891" s="75"/>
    </row>
    <row r="1892" spans="1:25" x14ac:dyDescent="0.25">
      <c r="A1892" s="75"/>
      <c r="C1892" s="81"/>
      <c r="D1892" s="81"/>
      <c r="I1892" s="81"/>
      <c r="K1892" s="82"/>
      <c r="L1892" s="123"/>
      <c r="M1892" s="3"/>
      <c r="N1892" s="3"/>
      <c r="O1892" s="3"/>
      <c r="P1892" s="125"/>
      <c r="Q1892" s="125"/>
      <c r="R1892" s="127"/>
      <c r="S1892" s="123"/>
      <c r="T1892" s="3"/>
      <c r="W1892" s="86"/>
      <c r="Y1892" s="75"/>
    </row>
    <row r="1893" spans="1:25" x14ac:dyDescent="0.25">
      <c r="A1893" s="75"/>
      <c r="C1893" s="81"/>
      <c r="D1893" s="81"/>
      <c r="I1893" s="81"/>
      <c r="K1893" s="82"/>
      <c r="L1893" s="123"/>
      <c r="M1893" s="3"/>
      <c r="N1893" s="3"/>
      <c r="O1893" s="3"/>
      <c r="P1893" s="125"/>
      <c r="Q1893" s="125"/>
      <c r="R1893" s="127"/>
      <c r="S1893" s="123"/>
      <c r="T1893" s="3"/>
      <c r="W1893" s="86"/>
      <c r="Y1893" s="75"/>
    </row>
    <row r="1894" spans="1:25" x14ac:dyDescent="0.25">
      <c r="A1894" s="75"/>
      <c r="C1894" s="81"/>
      <c r="D1894" s="81"/>
      <c r="I1894" s="81"/>
      <c r="K1894" s="82"/>
      <c r="L1894" s="123"/>
      <c r="M1894" s="3"/>
      <c r="N1894" s="3"/>
      <c r="O1894" s="3"/>
      <c r="P1894" s="125"/>
      <c r="Q1894" s="125"/>
      <c r="R1894" s="127"/>
      <c r="S1894" s="123"/>
      <c r="T1894" s="3"/>
      <c r="W1894" s="86"/>
      <c r="Y1894" s="75"/>
    </row>
    <row r="1895" spans="1:25" x14ac:dyDescent="0.25">
      <c r="A1895" s="75"/>
      <c r="C1895" s="81"/>
      <c r="D1895" s="81"/>
      <c r="I1895" s="81"/>
      <c r="K1895" s="82"/>
      <c r="L1895" s="123"/>
      <c r="M1895" s="3"/>
      <c r="N1895" s="3"/>
      <c r="O1895" s="3"/>
      <c r="P1895" s="125"/>
      <c r="Q1895" s="125"/>
      <c r="R1895" s="127"/>
      <c r="S1895" s="123"/>
      <c r="T1895" s="3"/>
      <c r="W1895" s="86"/>
      <c r="Y1895" s="75"/>
    </row>
    <row r="1896" spans="1:25" x14ac:dyDescent="0.25">
      <c r="A1896" s="75"/>
      <c r="C1896" s="81"/>
      <c r="D1896" s="81"/>
      <c r="I1896" s="81"/>
      <c r="K1896" s="82"/>
      <c r="L1896" s="123"/>
      <c r="M1896" s="3"/>
      <c r="N1896" s="3"/>
      <c r="O1896" s="3"/>
      <c r="P1896" s="125"/>
      <c r="Q1896" s="125"/>
      <c r="R1896" s="127"/>
      <c r="S1896" s="123"/>
      <c r="T1896" s="3"/>
      <c r="W1896" s="86"/>
      <c r="Y1896" s="75"/>
    </row>
    <row r="1897" spans="1:25" x14ac:dyDescent="0.25">
      <c r="A1897" s="75"/>
      <c r="C1897" s="81"/>
      <c r="D1897" s="81"/>
      <c r="I1897" s="81"/>
      <c r="K1897" s="82"/>
      <c r="L1897" s="123"/>
      <c r="M1897" s="3"/>
      <c r="N1897" s="3"/>
      <c r="O1897" s="3"/>
      <c r="P1897" s="125"/>
      <c r="Q1897" s="125"/>
      <c r="R1897" s="127"/>
      <c r="S1897" s="123"/>
      <c r="T1897" s="3"/>
      <c r="W1897" s="86"/>
      <c r="Y1897" s="75"/>
    </row>
    <row r="1898" spans="1:25" x14ac:dyDescent="0.25">
      <c r="A1898" s="75"/>
      <c r="C1898" s="81"/>
      <c r="D1898" s="81"/>
      <c r="I1898" s="81"/>
      <c r="K1898" s="82"/>
      <c r="L1898" s="123"/>
      <c r="M1898" s="3"/>
      <c r="N1898" s="3"/>
      <c r="O1898" s="3"/>
      <c r="P1898" s="125"/>
      <c r="Q1898" s="125"/>
      <c r="R1898" s="127"/>
      <c r="S1898" s="123"/>
      <c r="T1898" s="3"/>
      <c r="W1898" s="86"/>
      <c r="Y1898" s="75"/>
    </row>
    <row r="1899" spans="1:25" x14ac:dyDescent="0.25">
      <c r="A1899" s="75"/>
      <c r="C1899" s="81"/>
      <c r="D1899" s="81"/>
      <c r="I1899" s="81"/>
      <c r="K1899" s="82"/>
      <c r="L1899" s="123"/>
      <c r="M1899" s="3"/>
      <c r="N1899" s="3"/>
      <c r="O1899" s="3"/>
      <c r="P1899" s="125"/>
      <c r="Q1899" s="125"/>
      <c r="R1899" s="127"/>
      <c r="S1899" s="123"/>
      <c r="T1899" s="3"/>
      <c r="W1899" s="86"/>
      <c r="Y1899" s="75"/>
    </row>
    <row r="1900" spans="1:25" x14ac:dyDescent="0.25">
      <c r="A1900" s="75"/>
      <c r="C1900" s="81"/>
      <c r="D1900" s="81"/>
      <c r="I1900" s="81"/>
      <c r="K1900" s="82"/>
      <c r="L1900" s="123"/>
      <c r="M1900" s="3"/>
      <c r="N1900" s="3"/>
      <c r="O1900" s="3"/>
      <c r="P1900" s="125"/>
      <c r="Q1900" s="125"/>
      <c r="R1900" s="127"/>
      <c r="S1900" s="123"/>
      <c r="T1900" s="3"/>
      <c r="W1900" s="86"/>
      <c r="Y1900" s="75"/>
    </row>
    <row r="1901" spans="1:25" x14ac:dyDescent="0.25">
      <c r="A1901" s="75"/>
      <c r="C1901" s="81"/>
      <c r="D1901" s="81"/>
      <c r="I1901" s="81"/>
      <c r="K1901" s="82"/>
      <c r="L1901" s="123"/>
      <c r="M1901" s="3"/>
      <c r="N1901" s="3"/>
      <c r="O1901" s="3"/>
      <c r="P1901" s="125"/>
      <c r="Q1901" s="125"/>
      <c r="R1901" s="127"/>
      <c r="S1901" s="123"/>
      <c r="T1901" s="3"/>
      <c r="W1901" s="86"/>
      <c r="Y1901" s="75"/>
    </row>
    <row r="1902" spans="1:25" x14ac:dyDescent="0.25">
      <c r="A1902" s="75"/>
      <c r="C1902" s="81"/>
      <c r="D1902" s="81"/>
      <c r="I1902" s="81"/>
      <c r="K1902" s="82"/>
      <c r="L1902" s="123"/>
      <c r="M1902" s="3"/>
      <c r="N1902" s="3"/>
      <c r="O1902" s="3"/>
      <c r="P1902" s="125"/>
      <c r="Q1902" s="125"/>
      <c r="R1902" s="127"/>
      <c r="S1902" s="123"/>
      <c r="T1902" s="3"/>
      <c r="W1902" s="86"/>
      <c r="Y1902" s="75"/>
    </row>
    <row r="1903" spans="1:25" x14ac:dyDescent="0.25">
      <c r="A1903" s="75"/>
      <c r="C1903" s="81"/>
      <c r="D1903" s="81"/>
      <c r="I1903" s="81"/>
      <c r="K1903" s="82"/>
      <c r="L1903" s="123"/>
      <c r="M1903" s="3"/>
      <c r="N1903" s="3"/>
      <c r="O1903" s="3"/>
      <c r="P1903" s="125"/>
      <c r="Q1903" s="125"/>
      <c r="R1903" s="127"/>
      <c r="S1903" s="123"/>
      <c r="T1903" s="3"/>
      <c r="W1903" s="86"/>
      <c r="Y1903" s="75"/>
    </row>
    <row r="1904" spans="1:25" x14ac:dyDescent="0.25">
      <c r="A1904" s="75"/>
      <c r="C1904" s="81"/>
      <c r="D1904" s="81"/>
      <c r="I1904" s="81"/>
      <c r="K1904" s="82"/>
      <c r="L1904" s="123"/>
      <c r="M1904" s="3"/>
      <c r="N1904" s="3"/>
      <c r="O1904" s="3"/>
      <c r="P1904" s="125"/>
      <c r="Q1904" s="125"/>
      <c r="R1904" s="127"/>
      <c r="S1904" s="123"/>
      <c r="T1904" s="3"/>
      <c r="W1904" s="86"/>
      <c r="Y1904" s="75"/>
    </row>
    <row r="1905" spans="1:25" x14ac:dyDescent="0.25">
      <c r="A1905" s="75"/>
      <c r="C1905" s="81"/>
      <c r="D1905" s="81"/>
      <c r="I1905" s="81"/>
      <c r="K1905" s="82"/>
      <c r="L1905" s="123"/>
      <c r="M1905" s="3"/>
      <c r="N1905" s="3"/>
      <c r="O1905" s="3"/>
      <c r="P1905" s="125"/>
      <c r="Q1905" s="125"/>
      <c r="R1905" s="127"/>
      <c r="S1905" s="123"/>
      <c r="T1905" s="3"/>
      <c r="W1905" s="86"/>
      <c r="Y1905" s="75"/>
    </row>
    <row r="1906" spans="1:25" x14ac:dyDescent="0.25">
      <c r="A1906" s="75"/>
      <c r="C1906" s="81"/>
      <c r="D1906" s="81"/>
      <c r="I1906" s="81"/>
      <c r="K1906" s="82"/>
      <c r="L1906" s="123"/>
      <c r="M1906" s="3"/>
      <c r="N1906" s="3"/>
      <c r="O1906" s="3"/>
      <c r="P1906" s="125"/>
      <c r="Q1906" s="125"/>
      <c r="R1906" s="127"/>
      <c r="S1906" s="123"/>
      <c r="T1906" s="3"/>
      <c r="W1906" s="86"/>
      <c r="Y1906" s="75"/>
    </row>
    <row r="1907" spans="1:25" x14ac:dyDescent="0.25">
      <c r="A1907" s="75"/>
      <c r="C1907" s="81"/>
      <c r="D1907" s="81"/>
      <c r="I1907" s="81"/>
      <c r="K1907" s="82"/>
      <c r="L1907" s="123"/>
      <c r="M1907" s="3"/>
      <c r="N1907" s="3"/>
      <c r="O1907" s="3"/>
      <c r="P1907" s="125"/>
      <c r="Q1907" s="125"/>
      <c r="R1907" s="127"/>
      <c r="S1907" s="123"/>
      <c r="T1907" s="3"/>
      <c r="W1907" s="86"/>
      <c r="Y1907" s="75"/>
    </row>
    <row r="1908" spans="1:25" x14ac:dyDescent="0.25">
      <c r="A1908" s="75"/>
      <c r="C1908" s="81"/>
      <c r="D1908" s="81"/>
      <c r="I1908" s="81"/>
      <c r="K1908" s="82"/>
      <c r="L1908" s="123"/>
      <c r="M1908" s="3"/>
      <c r="N1908" s="3"/>
      <c r="O1908" s="3"/>
      <c r="P1908" s="125"/>
      <c r="Q1908" s="125"/>
      <c r="R1908" s="127"/>
      <c r="S1908" s="123"/>
      <c r="T1908" s="3"/>
      <c r="W1908" s="86"/>
      <c r="Y1908" s="75"/>
    </row>
    <row r="1909" spans="1:25" x14ac:dyDescent="0.25">
      <c r="A1909" s="75"/>
      <c r="C1909" s="81"/>
      <c r="D1909" s="81"/>
      <c r="I1909" s="81"/>
      <c r="K1909" s="82"/>
      <c r="L1909" s="123"/>
      <c r="M1909" s="3"/>
      <c r="N1909" s="3"/>
      <c r="O1909" s="3"/>
      <c r="P1909" s="125"/>
      <c r="Q1909" s="125"/>
      <c r="R1909" s="127"/>
      <c r="S1909" s="123"/>
      <c r="T1909" s="3"/>
      <c r="W1909" s="86"/>
      <c r="Y1909" s="75"/>
    </row>
    <row r="1910" spans="1:25" x14ac:dyDescent="0.25">
      <c r="A1910" s="75"/>
      <c r="C1910" s="81"/>
      <c r="D1910" s="81"/>
      <c r="I1910" s="81"/>
      <c r="K1910" s="82"/>
      <c r="L1910" s="123"/>
      <c r="M1910" s="3"/>
      <c r="N1910" s="3"/>
      <c r="O1910" s="3"/>
      <c r="P1910" s="125"/>
      <c r="Q1910" s="125"/>
      <c r="R1910" s="127"/>
      <c r="S1910" s="123"/>
      <c r="T1910" s="3"/>
      <c r="W1910" s="86"/>
      <c r="Y1910" s="75"/>
    </row>
    <row r="1911" spans="1:25" x14ac:dyDescent="0.25">
      <c r="A1911" s="75"/>
      <c r="C1911" s="81"/>
      <c r="D1911" s="81"/>
      <c r="I1911" s="81"/>
      <c r="K1911" s="82"/>
      <c r="L1911" s="123"/>
      <c r="M1911" s="3"/>
      <c r="N1911" s="3"/>
      <c r="O1911" s="3"/>
      <c r="P1911" s="125"/>
      <c r="Q1911" s="125"/>
      <c r="R1911" s="127"/>
      <c r="S1911" s="123"/>
      <c r="T1911" s="3"/>
      <c r="W1911" s="86"/>
      <c r="Y1911" s="75"/>
    </row>
    <row r="1912" spans="1:25" x14ac:dyDescent="0.25">
      <c r="A1912" s="75"/>
      <c r="C1912" s="81"/>
      <c r="D1912" s="81"/>
      <c r="I1912" s="81"/>
      <c r="K1912" s="82"/>
      <c r="L1912" s="123"/>
      <c r="M1912" s="3"/>
      <c r="N1912" s="3"/>
      <c r="O1912" s="3"/>
      <c r="P1912" s="125"/>
      <c r="Q1912" s="125"/>
      <c r="R1912" s="127"/>
      <c r="S1912" s="123"/>
      <c r="T1912" s="3"/>
      <c r="W1912" s="86"/>
      <c r="Y1912" s="75"/>
    </row>
    <row r="1913" spans="1:25" x14ac:dyDescent="0.25">
      <c r="A1913" s="75"/>
      <c r="C1913" s="81"/>
      <c r="D1913" s="81"/>
      <c r="I1913" s="81"/>
      <c r="K1913" s="82"/>
      <c r="L1913" s="123"/>
      <c r="M1913" s="3"/>
      <c r="N1913" s="3"/>
      <c r="O1913" s="3"/>
      <c r="P1913" s="125"/>
      <c r="Q1913" s="125"/>
      <c r="R1913" s="127"/>
      <c r="S1913" s="123"/>
      <c r="T1913" s="3"/>
      <c r="W1913" s="86"/>
      <c r="Y1913" s="75"/>
    </row>
    <row r="1914" spans="1:25" x14ac:dyDescent="0.25">
      <c r="A1914" s="75"/>
      <c r="C1914" s="81"/>
      <c r="D1914" s="81"/>
      <c r="I1914" s="81"/>
      <c r="K1914" s="82"/>
      <c r="L1914" s="123"/>
      <c r="M1914" s="3"/>
      <c r="N1914" s="3"/>
      <c r="O1914" s="3"/>
      <c r="P1914" s="125"/>
      <c r="Q1914" s="125"/>
      <c r="R1914" s="127"/>
      <c r="S1914" s="123"/>
      <c r="T1914" s="3"/>
      <c r="W1914" s="86"/>
      <c r="Y1914" s="75"/>
    </row>
    <row r="1915" spans="1:25" x14ac:dyDescent="0.25">
      <c r="A1915" s="75"/>
      <c r="C1915" s="81"/>
      <c r="D1915" s="81"/>
      <c r="I1915" s="81"/>
      <c r="K1915" s="82"/>
      <c r="L1915" s="123"/>
      <c r="M1915" s="3"/>
      <c r="N1915" s="3"/>
      <c r="O1915" s="3"/>
      <c r="P1915" s="125"/>
      <c r="Q1915" s="125"/>
      <c r="R1915" s="127"/>
      <c r="S1915" s="123"/>
      <c r="T1915" s="3"/>
      <c r="W1915" s="86"/>
      <c r="Y1915" s="75"/>
    </row>
    <row r="1916" spans="1:25" x14ac:dyDescent="0.25">
      <c r="A1916" s="75"/>
      <c r="C1916" s="81"/>
      <c r="D1916" s="81"/>
      <c r="I1916" s="81"/>
      <c r="K1916" s="82"/>
      <c r="L1916" s="123"/>
      <c r="M1916" s="3"/>
      <c r="N1916" s="3"/>
      <c r="O1916" s="3"/>
      <c r="P1916" s="125"/>
      <c r="Q1916" s="125"/>
      <c r="R1916" s="127"/>
      <c r="S1916" s="123"/>
      <c r="T1916" s="3"/>
      <c r="W1916" s="86"/>
      <c r="Y1916" s="75"/>
    </row>
    <row r="1917" spans="1:25" x14ac:dyDescent="0.25">
      <c r="A1917" s="75"/>
      <c r="C1917" s="81"/>
      <c r="D1917" s="81"/>
      <c r="I1917" s="81"/>
      <c r="K1917" s="82"/>
      <c r="L1917" s="123"/>
      <c r="M1917" s="3"/>
      <c r="N1917" s="3"/>
      <c r="O1917" s="3"/>
      <c r="P1917" s="125"/>
      <c r="Q1917" s="125"/>
      <c r="R1917" s="127"/>
      <c r="S1917" s="123"/>
      <c r="T1917" s="3"/>
      <c r="W1917" s="86"/>
      <c r="Y1917" s="75"/>
    </row>
    <row r="1918" spans="1:25" x14ac:dyDescent="0.25">
      <c r="A1918" s="75"/>
      <c r="C1918" s="81"/>
      <c r="D1918" s="81"/>
      <c r="I1918" s="81"/>
      <c r="K1918" s="82"/>
      <c r="L1918" s="123"/>
      <c r="M1918" s="3"/>
      <c r="N1918" s="3"/>
      <c r="O1918" s="3"/>
      <c r="P1918" s="125"/>
      <c r="Q1918" s="125"/>
      <c r="R1918" s="127"/>
      <c r="S1918" s="123"/>
      <c r="T1918" s="3"/>
      <c r="W1918" s="86"/>
      <c r="Y1918" s="75"/>
    </row>
    <row r="1919" spans="1:25" x14ac:dyDescent="0.25">
      <c r="A1919" s="75"/>
      <c r="C1919" s="81"/>
      <c r="D1919" s="81"/>
      <c r="I1919" s="81"/>
      <c r="K1919" s="82"/>
      <c r="L1919" s="123"/>
      <c r="M1919" s="3"/>
      <c r="N1919" s="3"/>
      <c r="O1919" s="3"/>
      <c r="P1919" s="125"/>
      <c r="Q1919" s="125"/>
      <c r="R1919" s="127"/>
      <c r="S1919" s="123"/>
      <c r="T1919" s="3"/>
      <c r="W1919" s="86"/>
      <c r="Y1919" s="75"/>
    </row>
    <row r="1920" spans="1:25" x14ac:dyDescent="0.25">
      <c r="A1920" s="75"/>
      <c r="C1920" s="81"/>
      <c r="D1920" s="81"/>
      <c r="I1920" s="81"/>
      <c r="K1920" s="82"/>
      <c r="L1920" s="123"/>
      <c r="M1920" s="3"/>
      <c r="N1920" s="3"/>
      <c r="O1920" s="3"/>
      <c r="P1920" s="125"/>
      <c r="Q1920" s="125"/>
      <c r="R1920" s="127"/>
      <c r="S1920" s="123"/>
      <c r="T1920" s="3"/>
      <c r="W1920" s="86"/>
      <c r="Y1920" s="75"/>
    </row>
    <row r="1921" spans="1:25" x14ac:dyDescent="0.25">
      <c r="A1921" s="75"/>
      <c r="C1921" s="81"/>
      <c r="D1921" s="81"/>
      <c r="I1921" s="81"/>
      <c r="K1921" s="82"/>
      <c r="L1921" s="123"/>
      <c r="M1921" s="3"/>
      <c r="N1921" s="3"/>
      <c r="O1921" s="3"/>
      <c r="P1921" s="125"/>
      <c r="Q1921" s="125"/>
      <c r="R1921" s="127"/>
      <c r="S1921" s="123"/>
      <c r="T1921" s="3"/>
      <c r="W1921" s="86"/>
      <c r="Y1921" s="75"/>
    </row>
    <row r="1922" spans="1:25" x14ac:dyDescent="0.25">
      <c r="A1922" s="75"/>
      <c r="C1922" s="81"/>
      <c r="D1922" s="81"/>
      <c r="I1922" s="81"/>
      <c r="K1922" s="82"/>
      <c r="L1922" s="123"/>
      <c r="M1922" s="3"/>
      <c r="N1922" s="3"/>
      <c r="O1922" s="3"/>
      <c r="P1922" s="125"/>
      <c r="Q1922" s="125"/>
      <c r="R1922" s="127"/>
      <c r="S1922" s="123"/>
      <c r="T1922" s="3"/>
      <c r="W1922" s="86"/>
      <c r="Y1922" s="75"/>
    </row>
    <row r="1923" spans="1:25" x14ac:dyDescent="0.25">
      <c r="A1923" s="75"/>
      <c r="C1923" s="81"/>
      <c r="D1923" s="81"/>
      <c r="I1923" s="81"/>
      <c r="K1923" s="82"/>
      <c r="L1923" s="123"/>
      <c r="M1923" s="3"/>
      <c r="N1923" s="3"/>
      <c r="O1923" s="3"/>
      <c r="P1923" s="125"/>
      <c r="Q1923" s="125"/>
      <c r="R1923" s="127"/>
      <c r="S1923" s="123"/>
      <c r="T1923" s="3"/>
      <c r="W1923" s="86"/>
      <c r="Y1923" s="75"/>
    </row>
    <row r="1924" spans="1:25" x14ac:dyDescent="0.25">
      <c r="A1924" s="75"/>
      <c r="C1924" s="81"/>
      <c r="D1924" s="81"/>
      <c r="I1924" s="81"/>
      <c r="K1924" s="82"/>
      <c r="L1924" s="123"/>
      <c r="M1924" s="3"/>
      <c r="N1924" s="3"/>
      <c r="O1924" s="3"/>
      <c r="P1924" s="125"/>
      <c r="Q1924" s="125"/>
      <c r="R1924" s="127"/>
      <c r="S1924" s="123"/>
      <c r="T1924" s="3"/>
      <c r="W1924" s="86"/>
      <c r="Y1924" s="75"/>
    </row>
    <row r="1925" spans="1:25" x14ac:dyDescent="0.25">
      <c r="A1925" s="75"/>
      <c r="C1925" s="81"/>
      <c r="D1925" s="81"/>
      <c r="I1925" s="81"/>
      <c r="K1925" s="82"/>
      <c r="L1925" s="123"/>
      <c r="M1925" s="3"/>
      <c r="N1925" s="3"/>
      <c r="O1925" s="3"/>
      <c r="P1925" s="125"/>
      <c r="Q1925" s="125"/>
      <c r="R1925" s="127"/>
      <c r="S1925" s="123"/>
      <c r="T1925" s="3"/>
      <c r="W1925" s="86"/>
      <c r="Y1925" s="75"/>
    </row>
    <row r="1926" spans="1:25" x14ac:dyDescent="0.25">
      <c r="A1926" s="75"/>
      <c r="C1926" s="81"/>
      <c r="D1926" s="81"/>
      <c r="I1926" s="81"/>
      <c r="K1926" s="82"/>
      <c r="L1926" s="123"/>
      <c r="M1926" s="3"/>
      <c r="N1926" s="3"/>
      <c r="O1926" s="3"/>
      <c r="P1926" s="125"/>
      <c r="Q1926" s="125"/>
      <c r="R1926" s="127"/>
      <c r="S1926" s="123"/>
      <c r="T1926" s="3"/>
      <c r="W1926" s="86"/>
      <c r="Y1926" s="75"/>
    </row>
    <row r="1927" spans="1:25" x14ac:dyDescent="0.25">
      <c r="A1927" s="75"/>
      <c r="C1927" s="81"/>
      <c r="D1927" s="81"/>
      <c r="I1927" s="81"/>
      <c r="K1927" s="82"/>
      <c r="L1927" s="123"/>
      <c r="M1927" s="3"/>
      <c r="N1927" s="3"/>
      <c r="O1927" s="3"/>
      <c r="P1927" s="125"/>
      <c r="Q1927" s="125"/>
      <c r="R1927" s="127"/>
      <c r="S1927" s="123"/>
      <c r="T1927" s="3"/>
      <c r="W1927" s="86"/>
      <c r="Y1927" s="75"/>
    </row>
    <row r="1928" spans="1:25" x14ac:dyDescent="0.25">
      <c r="A1928" s="75"/>
      <c r="C1928" s="81"/>
      <c r="D1928" s="81"/>
      <c r="I1928" s="81"/>
      <c r="K1928" s="82"/>
      <c r="L1928" s="123"/>
      <c r="M1928" s="3"/>
      <c r="N1928" s="3"/>
      <c r="O1928" s="3"/>
      <c r="P1928" s="125"/>
      <c r="Q1928" s="125"/>
      <c r="R1928" s="127"/>
      <c r="S1928" s="123"/>
      <c r="T1928" s="3"/>
      <c r="W1928" s="86"/>
      <c r="Y1928" s="75"/>
    </row>
    <row r="1929" spans="1:25" x14ac:dyDescent="0.25">
      <c r="A1929" s="75"/>
      <c r="C1929" s="81"/>
      <c r="D1929" s="81"/>
      <c r="I1929" s="81"/>
      <c r="K1929" s="82"/>
      <c r="L1929" s="123"/>
      <c r="M1929" s="3"/>
      <c r="N1929" s="3"/>
      <c r="O1929" s="3"/>
      <c r="P1929" s="125"/>
      <c r="Q1929" s="125"/>
      <c r="R1929" s="127"/>
      <c r="S1929" s="123"/>
      <c r="T1929" s="3"/>
      <c r="W1929" s="86"/>
      <c r="Y1929" s="75"/>
    </row>
    <row r="1930" spans="1:25" x14ac:dyDescent="0.25">
      <c r="A1930" s="75"/>
      <c r="C1930" s="81"/>
      <c r="D1930" s="81"/>
      <c r="I1930" s="81"/>
      <c r="K1930" s="82"/>
      <c r="L1930" s="123"/>
      <c r="M1930" s="3"/>
      <c r="N1930" s="3"/>
      <c r="O1930" s="3"/>
      <c r="P1930" s="125"/>
      <c r="Q1930" s="125"/>
      <c r="R1930" s="127"/>
      <c r="S1930" s="123"/>
      <c r="T1930" s="3"/>
      <c r="W1930" s="86"/>
      <c r="Y1930" s="75"/>
    </row>
    <row r="1931" spans="1:25" x14ac:dyDescent="0.25">
      <c r="A1931" s="75"/>
      <c r="C1931" s="81"/>
      <c r="D1931" s="81"/>
      <c r="I1931" s="81"/>
      <c r="K1931" s="82"/>
      <c r="L1931" s="123"/>
      <c r="M1931" s="3"/>
      <c r="N1931" s="3"/>
      <c r="O1931" s="3"/>
      <c r="P1931" s="125"/>
      <c r="Q1931" s="125"/>
      <c r="R1931" s="127"/>
      <c r="S1931" s="123"/>
      <c r="T1931" s="3"/>
      <c r="W1931" s="86"/>
      <c r="Y1931" s="75"/>
    </row>
    <row r="1932" spans="1:25" x14ac:dyDescent="0.25">
      <c r="A1932" s="75"/>
      <c r="C1932" s="81"/>
      <c r="D1932" s="81"/>
      <c r="I1932" s="81"/>
      <c r="K1932" s="82"/>
      <c r="L1932" s="123"/>
      <c r="M1932" s="3"/>
      <c r="N1932" s="3"/>
      <c r="O1932" s="3"/>
      <c r="P1932" s="125"/>
      <c r="Q1932" s="125"/>
      <c r="R1932" s="127"/>
      <c r="S1932" s="123"/>
      <c r="T1932" s="3"/>
      <c r="W1932" s="86"/>
      <c r="Y1932" s="75"/>
    </row>
    <row r="1933" spans="1:25" x14ac:dyDescent="0.25">
      <c r="A1933" s="75"/>
      <c r="C1933" s="81"/>
      <c r="D1933" s="81"/>
      <c r="I1933" s="81"/>
      <c r="K1933" s="82"/>
      <c r="L1933" s="123"/>
      <c r="M1933" s="3"/>
      <c r="N1933" s="3"/>
      <c r="O1933" s="3"/>
      <c r="P1933" s="125"/>
      <c r="Q1933" s="125"/>
      <c r="R1933" s="127"/>
      <c r="S1933" s="123"/>
      <c r="T1933" s="3"/>
      <c r="W1933" s="86"/>
      <c r="Y1933" s="75"/>
    </row>
    <row r="1934" spans="1:25" x14ac:dyDescent="0.25">
      <c r="A1934" s="75"/>
      <c r="C1934" s="81"/>
      <c r="D1934" s="81"/>
      <c r="I1934" s="81"/>
      <c r="K1934" s="82"/>
      <c r="L1934" s="123"/>
      <c r="M1934" s="3"/>
      <c r="N1934" s="3"/>
      <c r="O1934" s="3"/>
      <c r="P1934" s="125"/>
      <c r="Q1934" s="125"/>
      <c r="R1934" s="127"/>
      <c r="S1934" s="123"/>
      <c r="T1934" s="3"/>
      <c r="W1934" s="86"/>
      <c r="Y1934" s="75"/>
    </row>
    <row r="1935" spans="1:25" x14ac:dyDescent="0.25">
      <c r="A1935" s="75"/>
      <c r="C1935" s="81"/>
      <c r="D1935" s="81"/>
      <c r="I1935" s="81"/>
      <c r="K1935" s="82"/>
      <c r="L1935" s="123"/>
      <c r="M1935" s="3"/>
      <c r="N1935" s="3"/>
      <c r="O1935" s="3"/>
      <c r="P1935" s="125"/>
      <c r="Q1935" s="125"/>
      <c r="R1935" s="127"/>
      <c r="S1935" s="123"/>
      <c r="T1935" s="3"/>
      <c r="W1935" s="86"/>
      <c r="Y1935" s="75"/>
    </row>
    <row r="1936" spans="1:25" x14ac:dyDescent="0.25">
      <c r="A1936" s="75"/>
      <c r="C1936" s="81"/>
      <c r="D1936" s="81"/>
      <c r="I1936" s="81"/>
      <c r="K1936" s="82"/>
      <c r="L1936" s="123"/>
      <c r="M1936" s="3"/>
      <c r="N1936" s="3"/>
      <c r="O1936" s="3"/>
      <c r="P1936" s="125"/>
      <c r="Q1936" s="125"/>
      <c r="R1936" s="127"/>
      <c r="S1936" s="123"/>
      <c r="T1936" s="3"/>
      <c r="W1936" s="86"/>
      <c r="Y1936" s="75"/>
    </row>
    <row r="1937" spans="1:25" x14ac:dyDescent="0.25">
      <c r="A1937" s="75"/>
      <c r="C1937" s="81"/>
      <c r="D1937" s="81"/>
      <c r="I1937" s="81"/>
      <c r="K1937" s="82"/>
      <c r="L1937" s="123"/>
      <c r="M1937" s="3"/>
      <c r="N1937" s="3"/>
      <c r="O1937" s="3"/>
      <c r="P1937" s="125"/>
      <c r="Q1937" s="125"/>
      <c r="R1937" s="127"/>
      <c r="S1937" s="123"/>
      <c r="T1937" s="3"/>
      <c r="W1937" s="86"/>
      <c r="Y1937" s="75"/>
    </row>
    <row r="1938" spans="1:25" x14ac:dyDescent="0.25">
      <c r="A1938" s="75"/>
      <c r="C1938" s="81"/>
      <c r="D1938" s="81"/>
      <c r="I1938" s="81"/>
      <c r="K1938" s="82"/>
      <c r="L1938" s="123"/>
      <c r="M1938" s="3"/>
      <c r="N1938" s="3"/>
      <c r="O1938" s="3"/>
      <c r="P1938" s="125"/>
      <c r="Q1938" s="125"/>
      <c r="R1938" s="127"/>
      <c r="S1938" s="123"/>
      <c r="T1938" s="3"/>
      <c r="W1938" s="86"/>
      <c r="Y1938" s="75"/>
    </row>
    <row r="1939" spans="1:25" x14ac:dyDescent="0.25">
      <c r="A1939" s="75"/>
      <c r="C1939" s="81"/>
      <c r="D1939" s="81"/>
      <c r="I1939" s="81"/>
      <c r="K1939" s="82"/>
      <c r="L1939" s="123"/>
      <c r="M1939" s="3"/>
      <c r="N1939" s="3"/>
      <c r="O1939" s="3"/>
      <c r="P1939" s="125"/>
      <c r="Q1939" s="125"/>
      <c r="R1939" s="127"/>
      <c r="S1939" s="123"/>
      <c r="T1939" s="3"/>
      <c r="W1939" s="86"/>
      <c r="Y1939" s="75"/>
    </row>
    <row r="1940" spans="1:25" x14ac:dyDescent="0.25">
      <c r="A1940" s="75"/>
      <c r="C1940" s="81"/>
      <c r="D1940" s="81"/>
      <c r="I1940" s="81"/>
      <c r="K1940" s="82"/>
      <c r="L1940" s="123"/>
      <c r="M1940" s="3"/>
      <c r="N1940" s="3"/>
      <c r="O1940" s="3"/>
      <c r="P1940" s="125"/>
      <c r="Q1940" s="125"/>
      <c r="R1940" s="127"/>
      <c r="S1940" s="123"/>
      <c r="T1940" s="3"/>
      <c r="W1940" s="86"/>
      <c r="Y1940" s="75"/>
    </row>
    <row r="1941" spans="1:25" x14ac:dyDescent="0.25">
      <c r="A1941" s="75"/>
      <c r="C1941" s="81"/>
      <c r="D1941" s="81"/>
      <c r="I1941" s="81"/>
      <c r="K1941" s="82"/>
      <c r="L1941" s="123"/>
      <c r="M1941" s="3"/>
      <c r="N1941" s="3"/>
      <c r="O1941" s="3"/>
      <c r="P1941" s="125"/>
      <c r="Q1941" s="125"/>
      <c r="R1941" s="127"/>
      <c r="S1941" s="123"/>
      <c r="T1941" s="3"/>
      <c r="W1941" s="86"/>
      <c r="Y1941" s="75"/>
    </row>
    <row r="1942" spans="1:25" x14ac:dyDescent="0.25">
      <c r="A1942" s="75"/>
      <c r="C1942" s="81"/>
      <c r="D1942" s="81"/>
      <c r="I1942" s="81"/>
      <c r="K1942" s="82"/>
      <c r="L1942" s="123"/>
      <c r="M1942" s="3"/>
      <c r="N1942" s="3"/>
      <c r="O1942" s="3"/>
      <c r="P1942" s="125"/>
      <c r="Q1942" s="125"/>
      <c r="R1942" s="127"/>
      <c r="S1942" s="123"/>
      <c r="T1942" s="3"/>
      <c r="W1942" s="86"/>
      <c r="Y1942" s="75"/>
    </row>
    <row r="1943" spans="1:25" x14ac:dyDescent="0.25">
      <c r="A1943" s="75"/>
      <c r="C1943" s="81"/>
      <c r="D1943" s="81"/>
      <c r="I1943" s="81"/>
      <c r="K1943" s="82"/>
      <c r="L1943" s="123"/>
      <c r="M1943" s="3"/>
      <c r="N1943" s="3"/>
      <c r="O1943" s="3"/>
      <c r="P1943" s="125"/>
      <c r="Q1943" s="125"/>
      <c r="R1943" s="127"/>
      <c r="S1943" s="123"/>
      <c r="T1943" s="3"/>
      <c r="W1943" s="86"/>
      <c r="Y1943" s="75"/>
    </row>
    <row r="1944" spans="1:25" x14ac:dyDescent="0.25">
      <c r="A1944" s="75"/>
      <c r="C1944" s="81"/>
      <c r="D1944" s="81"/>
      <c r="I1944" s="81"/>
      <c r="K1944" s="82"/>
      <c r="L1944" s="123"/>
      <c r="M1944" s="3"/>
      <c r="N1944" s="3"/>
      <c r="O1944" s="3"/>
      <c r="P1944" s="125"/>
      <c r="Q1944" s="125"/>
      <c r="R1944" s="127"/>
      <c r="S1944" s="123"/>
      <c r="T1944" s="3"/>
      <c r="W1944" s="86"/>
      <c r="Y1944" s="75"/>
    </row>
    <row r="1945" spans="1:25" x14ac:dyDescent="0.25">
      <c r="A1945" s="75"/>
      <c r="C1945" s="81"/>
      <c r="D1945" s="81"/>
      <c r="I1945" s="81"/>
      <c r="K1945" s="82"/>
      <c r="L1945" s="123"/>
      <c r="M1945" s="3"/>
      <c r="N1945" s="3"/>
      <c r="O1945" s="3"/>
      <c r="P1945" s="125"/>
      <c r="Q1945" s="125"/>
      <c r="R1945" s="127"/>
      <c r="S1945" s="123"/>
      <c r="T1945" s="3"/>
      <c r="W1945" s="86"/>
      <c r="Y1945" s="75"/>
    </row>
    <row r="1946" spans="1:25" x14ac:dyDescent="0.25">
      <c r="A1946" s="75"/>
      <c r="C1946" s="81"/>
      <c r="D1946" s="81"/>
      <c r="I1946" s="81"/>
      <c r="K1946" s="82"/>
      <c r="L1946" s="123"/>
      <c r="M1946" s="3"/>
      <c r="N1946" s="3"/>
      <c r="O1946" s="3"/>
      <c r="P1946" s="125"/>
      <c r="Q1946" s="125"/>
      <c r="R1946" s="127"/>
      <c r="S1946" s="123"/>
      <c r="T1946" s="3"/>
      <c r="W1946" s="86"/>
      <c r="Y1946" s="75"/>
    </row>
    <row r="1947" spans="1:25" x14ac:dyDescent="0.25">
      <c r="A1947" s="75"/>
      <c r="C1947" s="81"/>
      <c r="D1947" s="81"/>
      <c r="I1947" s="81"/>
      <c r="K1947" s="82"/>
      <c r="L1947" s="123"/>
      <c r="M1947" s="3"/>
      <c r="N1947" s="3"/>
      <c r="O1947" s="3"/>
      <c r="P1947" s="125"/>
      <c r="Q1947" s="125"/>
      <c r="R1947" s="127"/>
      <c r="S1947" s="123"/>
      <c r="T1947" s="3"/>
      <c r="W1947" s="86"/>
      <c r="Y1947" s="75"/>
    </row>
    <row r="1948" spans="1:25" x14ac:dyDescent="0.25">
      <c r="A1948" s="75"/>
      <c r="C1948" s="81"/>
      <c r="D1948" s="81"/>
      <c r="I1948" s="81"/>
      <c r="K1948" s="82"/>
      <c r="L1948" s="123"/>
      <c r="M1948" s="3"/>
      <c r="N1948" s="3"/>
      <c r="O1948" s="3"/>
      <c r="P1948" s="125"/>
      <c r="Q1948" s="125"/>
      <c r="R1948" s="127"/>
      <c r="S1948" s="123"/>
      <c r="T1948" s="3"/>
      <c r="W1948" s="86"/>
      <c r="Y1948" s="75"/>
    </row>
    <row r="1949" spans="1:25" x14ac:dyDescent="0.25">
      <c r="A1949" s="75"/>
      <c r="C1949" s="81"/>
      <c r="D1949" s="81"/>
      <c r="I1949" s="81"/>
      <c r="K1949" s="82"/>
      <c r="L1949" s="123"/>
      <c r="M1949" s="3"/>
      <c r="N1949" s="3"/>
      <c r="O1949" s="3"/>
      <c r="P1949" s="125"/>
      <c r="Q1949" s="125"/>
      <c r="R1949" s="127"/>
      <c r="S1949" s="123"/>
      <c r="T1949" s="3"/>
      <c r="W1949" s="86"/>
      <c r="Y1949" s="75"/>
    </row>
    <row r="1950" spans="1:25" x14ac:dyDescent="0.25">
      <c r="A1950" s="75"/>
      <c r="C1950" s="81"/>
      <c r="D1950" s="81"/>
      <c r="I1950" s="81"/>
      <c r="K1950" s="82"/>
      <c r="L1950" s="123"/>
      <c r="M1950" s="3"/>
      <c r="N1950" s="3"/>
      <c r="O1950" s="3"/>
      <c r="P1950" s="125"/>
      <c r="Q1950" s="125"/>
      <c r="R1950" s="127"/>
      <c r="S1950" s="123"/>
      <c r="T1950" s="3"/>
      <c r="W1950" s="86"/>
      <c r="Y1950" s="75"/>
    </row>
    <row r="1951" spans="1:25" x14ac:dyDescent="0.25">
      <c r="A1951" s="75"/>
      <c r="C1951" s="81"/>
      <c r="D1951" s="81"/>
      <c r="I1951" s="81"/>
      <c r="K1951" s="82"/>
      <c r="L1951" s="123"/>
      <c r="M1951" s="3"/>
      <c r="N1951" s="3"/>
      <c r="O1951" s="3"/>
      <c r="P1951" s="125"/>
      <c r="Q1951" s="125"/>
      <c r="R1951" s="127"/>
      <c r="S1951" s="123"/>
      <c r="T1951" s="3"/>
      <c r="W1951" s="86"/>
      <c r="Y1951" s="75"/>
    </row>
    <row r="1952" spans="1:25" x14ac:dyDescent="0.25">
      <c r="A1952" s="75"/>
      <c r="C1952" s="81"/>
      <c r="D1952" s="81"/>
      <c r="I1952" s="81"/>
      <c r="K1952" s="82"/>
      <c r="L1952" s="123"/>
      <c r="M1952" s="3"/>
      <c r="N1952" s="3"/>
      <c r="O1952" s="3"/>
      <c r="P1952" s="125"/>
      <c r="Q1952" s="125"/>
      <c r="R1952" s="127"/>
      <c r="S1952" s="123"/>
      <c r="T1952" s="3"/>
      <c r="W1952" s="86"/>
      <c r="Y1952" s="75"/>
    </row>
    <row r="1953" spans="1:25" x14ac:dyDescent="0.25">
      <c r="A1953" s="75"/>
      <c r="C1953" s="81"/>
      <c r="D1953" s="81"/>
      <c r="I1953" s="81"/>
      <c r="K1953" s="82"/>
      <c r="L1953" s="123"/>
      <c r="M1953" s="3"/>
      <c r="N1953" s="3"/>
      <c r="O1953" s="3"/>
      <c r="P1953" s="125"/>
      <c r="Q1953" s="125"/>
      <c r="R1953" s="127"/>
      <c r="S1953" s="123"/>
      <c r="T1953" s="3"/>
      <c r="W1953" s="86"/>
      <c r="Y1953" s="75"/>
    </row>
    <row r="1954" spans="1:25" x14ac:dyDescent="0.25">
      <c r="A1954" s="75"/>
      <c r="C1954" s="81"/>
      <c r="D1954" s="81"/>
      <c r="I1954" s="81"/>
      <c r="K1954" s="82"/>
      <c r="L1954" s="123"/>
      <c r="M1954" s="3"/>
      <c r="N1954" s="3"/>
      <c r="O1954" s="3"/>
      <c r="P1954" s="125"/>
      <c r="Q1954" s="125"/>
      <c r="R1954" s="127"/>
      <c r="S1954" s="123"/>
      <c r="T1954" s="3"/>
      <c r="W1954" s="86"/>
      <c r="Y1954" s="75"/>
    </row>
    <row r="1955" spans="1:25" x14ac:dyDescent="0.25">
      <c r="A1955" s="75"/>
      <c r="C1955" s="81"/>
      <c r="D1955" s="81"/>
      <c r="I1955" s="81"/>
      <c r="K1955" s="82"/>
      <c r="L1955" s="123"/>
      <c r="M1955" s="3"/>
      <c r="N1955" s="3"/>
      <c r="O1955" s="3"/>
      <c r="P1955" s="125"/>
      <c r="Q1955" s="125"/>
      <c r="R1955" s="127"/>
      <c r="S1955" s="123"/>
      <c r="T1955" s="3"/>
      <c r="W1955" s="86"/>
      <c r="Y1955" s="75"/>
    </row>
    <row r="1956" spans="1:25" x14ac:dyDescent="0.25">
      <c r="A1956" s="75"/>
      <c r="C1956" s="81"/>
      <c r="D1956" s="81"/>
      <c r="I1956" s="81"/>
      <c r="K1956" s="82"/>
      <c r="L1956" s="123"/>
      <c r="M1956" s="3"/>
      <c r="N1956" s="3"/>
      <c r="O1956" s="3"/>
      <c r="P1956" s="125"/>
      <c r="Q1956" s="125"/>
      <c r="R1956" s="127"/>
      <c r="S1956" s="123"/>
      <c r="T1956" s="3"/>
      <c r="W1956" s="86"/>
      <c r="Y1956" s="75"/>
    </row>
    <row r="1957" spans="1:25" x14ac:dyDescent="0.25">
      <c r="A1957" s="75"/>
      <c r="C1957" s="81"/>
      <c r="D1957" s="81"/>
      <c r="I1957" s="81"/>
      <c r="K1957" s="82"/>
      <c r="L1957" s="123"/>
      <c r="M1957" s="3"/>
      <c r="N1957" s="3"/>
      <c r="O1957" s="3"/>
      <c r="P1957" s="125"/>
      <c r="Q1957" s="125"/>
      <c r="R1957" s="127"/>
      <c r="S1957" s="123"/>
      <c r="T1957" s="3"/>
      <c r="W1957" s="86"/>
      <c r="Y1957" s="75"/>
    </row>
    <row r="1958" spans="1:25" x14ac:dyDescent="0.25">
      <c r="A1958" s="75"/>
      <c r="C1958" s="81"/>
      <c r="D1958" s="81"/>
      <c r="I1958" s="81"/>
      <c r="K1958" s="82"/>
      <c r="L1958" s="123"/>
      <c r="M1958" s="3"/>
      <c r="N1958" s="3"/>
      <c r="O1958" s="3"/>
      <c r="P1958" s="125"/>
      <c r="Q1958" s="125"/>
      <c r="R1958" s="127"/>
      <c r="S1958" s="123"/>
      <c r="T1958" s="3"/>
      <c r="W1958" s="86"/>
      <c r="Y1958" s="75"/>
    </row>
    <row r="1959" spans="1:25" x14ac:dyDescent="0.25">
      <c r="A1959" s="75"/>
      <c r="C1959" s="81"/>
      <c r="D1959" s="81"/>
      <c r="I1959" s="81"/>
      <c r="K1959" s="82"/>
      <c r="L1959" s="123"/>
      <c r="M1959" s="3"/>
      <c r="N1959" s="3"/>
      <c r="O1959" s="3"/>
      <c r="P1959" s="125"/>
      <c r="Q1959" s="125"/>
      <c r="R1959" s="127"/>
      <c r="S1959" s="123"/>
      <c r="T1959" s="3"/>
      <c r="W1959" s="86"/>
      <c r="Y1959" s="75"/>
    </row>
    <row r="1960" spans="1:25" x14ac:dyDescent="0.25">
      <c r="A1960" s="75"/>
      <c r="C1960" s="81"/>
      <c r="D1960" s="81"/>
      <c r="I1960" s="81"/>
      <c r="K1960" s="82"/>
      <c r="L1960" s="123"/>
      <c r="M1960" s="3"/>
      <c r="N1960" s="3"/>
      <c r="O1960" s="3"/>
      <c r="P1960" s="125"/>
      <c r="Q1960" s="125"/>
      <c r="R1960" s="127"/>
      <c r="S1960" s="123"/>
      <c r="T1960" s="3"/>
      <c r="W1960" s="86"/>
      <c r="Y1960" s="75"/>
    </row>
    <row r="1961" spans="1:25" x14ac:dyDescent="0.25">
      <c r="A1961" s="75"/>
      <c r="C1961" s="81"/>
      <c r="D1961" s="81"/>
      <c r="I1961" s="81"/>
      <c r="K1961" s="82"/>
      <c r="L1961" s="123"/>
      <c r="M1961" s="3"/>
      <c r="N1961" s="3"/>
      <c r="O1961" s="3"/>
      <c r="P1961" s="125"/>
      <c r="Q1961" s="125"/>
      <c r="R1961" s="127"/>
      <c r="S1961" s="123"/>
      <c r="T1961" s="3"/>
      <c r="W1961" s="86"/>
      <c r="Y1961" s="75"/>
    </row>
    <row r="1962" spans="1:25" x14ac:dyDescent="0.25">
      <c r="A1962" s="75"/>
      <c r="C1962" s="81"/>
      <c r="D1962" s="81"/>
      <c r="I1962" s="81"/>
      <c r="K1962" s="82"/>
      <c r="L1962" s="123"/>
      <c r="M1962" s="3"/>
      <c r="N1962" s="3"/>
      <c r="O1962" s="3"/>
      <c r="P1962" s="125"/>
      <c r="Q1962" s="125"/>
      <c r="R1962" s="127"/>
      <c r="S1962" s="123"/>
      <c r="T1962" s="3"/>
      <c r="W1962" s="86"/>
      <c r="Y1962" s="75"/>
    </row>
    <row r="1963" spans="1:25" x14ac:dyDescent="0.25">
      <c r="A1963" s="75"/>
      <c r="C1963" s="81"/>
      <c r="D1963" s="81"/>
      <c r="I1963" s="81"/>
      <c r="K1963" s="82"/>
      <c r="L1963" s="123"/>
      <c r="M1963" s="3"/>
      <c r="N1963" s="3"/>
      <c r="O1963" s="3"/>
      <c r="P1963" s="125"/>
      <c r="Q1963" s="125"/>
      <c r="R1963" s="127"/>
      <c r="S1963" s="123"/>
      <c r="T1963" s="3"/>
      <c r="W1963" s="86"/>
      <c r="Y1963" s="75"/>
    </row>
    <row r="1964" spans="1:25" x14ac:dyDescent="0.25">
      <c r="A1964" s="75"/>
      <c r="C1964" s="81"/>
      <c r="D1964" s="81"/>
      <c r="I1964" s="81"/>
      <c r="K1964" s="82"/>
      <c r="L1964" s="123"/>
      <c r="M1964" s="3"/>
      <c r="N1964" s="3"/>
      <c r="O1964" s="3"/>
      <c r="P1964" s="125"/>
      <c r="Q1964" s="125"/>
      <c r="R1964" s="127"/>
      <c r="S1964" s="123"/>
      <c r="T1964" s="3"/>
      <c r="W1964" s="86"/>
      <c r="Y1964" s="75"/>
    </row>
    <row r="1965" spans="1:25" x14ac:dyDescent="0.25">
      <c r="A1965" s="75"/>
      <c r="C1965" s="81"/>
      <c r="D1965" s="81"/>
      <c r="I1965" s="81"/>
      <c r="K1965" s="82"/>
      <c r="L1965" s="123"/>
      <c r="M1965" s="3"/>
      <c r="N1965" s="3"/>
      <c r="O1965" s="3"/>
      <c r="P1965" s="125"/>
      <c r="Q1965" s="125"/>
      <c r="R1965" s="127"/>
      <c r="S1965" s="123"/>
      <c r="T1965" s="3"/>
      <c r="W1965" s="86"/>
      <c r="Y1965" s="75"/>
    </row>
    <row r="1966" spans="1:25" x14ac:dyDescent="0.25">
      <c r="A1966" s="75"/>
      <c r="C1966" s="81"/>
      <c r="D1966" s="81"/>
      <c r="I1966" s="81"/>
      <c r="K1966" s="82"/>
      <c r="L1966" s="123"/>
      <c r="M1966" s="3"/>
      <c r="N1966" s="3"/>
      <c r="O1966" s="3"/>
      <c r="P1966" s="125"/>
      <c r="Q1966" s="125"/>
      <c r="R1966" s="127"/>
      <c r="S1966" s="123"/>
      <c r="T1966" s="3"/>
      <c r="W1966" s="86"/>
      <c r="Y1966" s="75"/>
    </row>
    <row r="1967" spans="1:25" x14ac:dyDescent="0.25">
      <c r="A1967" s="75"/>
      <c r="C1967" s="81"/>
      <c r="D1967" s="81"/>
      <c r="I1967" s="81"/>
      <c r="K1967" s="82"/>
      <c r="L1967" s="123"/>
      <c r="M1967" s="3"/>
      <c r="N1967" s="3"/>
      <c r="O1967" s="3"/>
      <c r="P1967" s="125"/>
      <c r="Q1967" s="125"/>
      <c r="R1967" s="127"/>
      <c r="S1967" s="123"/>
      <c r="T1967" s="3"/>
      <c r="W1967" s="86"/>
      <c r="Y1967" s="75"/>
    </row>
    <row r="1968" spans="1:25" x14ac:dyDescent="0.25">
      <c r="A1968" s="75"/>
      <c r="C1968" s="81"/>
      <c r="D1968" s="81"/>
      <c r="I1968" s="81"/>
      <c r="K1968" s="82"/>
      <c r="L1968" s="123"/>
      <c r="M1968" s="3"/>
      <c r="N1968" s="3"/>
      <c r="O1968" s="3"/>
      <c r="P1968" s="125"/>
      <c r="Q1968" s="125"/>
      <c r="R1968" s="127"/>
      <c r="S1968" s="123"/>
      <c r="T1968" s="3"/>
      <c r="W1968" s="86"/>
      <c r="Y1968" s="75"/>
    </row>
    <row r="1969" spans="1:25" x14ac:dyDescent="0.25">
      <c r="A1969" s="75"/>
      <c r="C1969" s="81"/>
      <c r="D1969" s="81"/>
      <c r="I1969" s="81"/>
      <c r="K1969" s="82"/>
      <c r="L1969" s="123"/>
      <c r="M1969" s="3"/>
      <c r="N1969" s="3"/>
      <c r="O1969" s="3"/>
      <c r="P1969" s="125"/>
      <c r="Q1969" s="125"/>
      <c r="R1969" s="127"/>
      <c r="S1969" s="123"/>
      <c r="T1969" s="3"/>
      <c r="W1969" s="86"/>
      <c r="Y1969" s="75"/>
    </row>
    <row r="1970" spans="1:25" x14ac:dyDescent="0.25">
      <c r="A1970" s="75"/>
      <c r="C1970" s="81"/>
      <c r="D1970" s="81"/>
      <c r="I1970" s="81"/>
      <c r="K1970" s="82"/>
      <c r="L1970" s="123"/>
      <c r="M1970" s="3"/>
      <c r="N1970" s="3"/>
      <c r="O1970" s="3"/>
      <c r="P1970" s="125"/>
      <c r="Q1970" s="125"/>
      <c r="R1970" s="127"/>
      <c r="S1970" s="123"/>
      <c r="T1970" s="3"/>
      <c r="W1970" s="86"/>
      <c r="Y1970" s="75"/>
    </row>
    <row r="1971" spans="1:25" x14ac:dyDescent="0.25">
      <c r="A1971" s="75"/>
      <c r="C1971" s="81"/>
      <c r="D1971" s="81"/>
      <c r="I1971" s="81"/>
      <c r="K1971" s="82"/>
      <c r="L1971" s="123"/>
      <c r="M1971" s="3"/>
      <c r="N1971" s="3"/>
      <c r="O1971" s="3"/>
      <c r="P1971" s="125"/>
      <c r="Q1971" s="125"/>
      <c r="R1971" s="127"/>
      <c r="S1971" s="123"/>
      <c r="T1971" s="3"/>
      <c r="W1971" s="86"/>
      <c r="Y1971" s="75"/>
    </row>
    <row r="1972" spans="1:25" x14ac:dyDescent="0.25">
      <c r="A1972" s="75"/>
      <c r="C1972" s="81"/>
      <c r="D1972" s="81"/>
      <c r="I1972" s="81"/>
      <c r="K1972" s="82"/>
      <c r="L1972" s="123"/>
      <c r="M1972" s="3"/>
      <c r="N1972" s="3"/>
      <c r="O1972" s="3"/>
      <c r="P1972" s="125"/>
      <c r="Q1972" s="125"/>
      <c r="R1972" s="127"/>
      <c r="S1972" s="123"/>
      <c r="T1972" s="3"/>
      <c r="W1972" s="86"/>
      <c r="Y1972" s="75"/>
    </row>
    <row r="1973" spans="1:25" x14ac:dyDescent="0.25">
      <c r="A1973" s="75"/>
      <c r="C1973" s="81"/>
      <c r="D1973" s="81"/>
      <c r="I1973" s="81"/>
      <c r="K1973" s="82"/>
      <c r="L1973" s="123"/>
      <c r="M1973" s="3"/>
      <c r="N1973" s="3"/>
      <c r="O1973" s="3"/>
      <c r="P1973" s="125"/>
      <c r="Q1973" s="125"/>
      <c r="R1973" s="127"/>
      <c r="S1973" s="123"/>
      <c r="T1973" s="3"/>
      <c r="W1973" s="86"/>
      <c r="Y1973" s="75"/>
    </row>
    <row r="1974" spans="1:25" x14ac:dyDescent="0.25">
      <c r="A1974" s="75"/>
      <c r="C1974" s="81"/>
      <c r="D1974" s="81"/>
      <c r="I1974" s="81"/>
      <c r="K1974" s="82"/>
      <c r="L1974" s="123"/>
      <c r="M1974" s="3"/>
      <c r="N1974" s="3"/>
      <c r="O1974" s="3"/>
      <c r="P1974" s="125"/>
      <c r="Q1974" s="125"/>
      <c r="R1974" s="127"/>
      <c r="S1974" s="123"/>
      <c r="T1974" s="3"/>
      <c r="W1974" s="86"/>
      <c r="Y1974" s="75"/>
    </row>
    <row r="1975" spans="1:25" x14ac:dyDescent="0.25">
      <c r="A1975" s="75"/>
      <c r="C1975" s="81"/>
      <c r="D1975" s="81"/>
      <c r="I1975" s="81"/>
      <c r="K1975" s="82"/>
      <c r="L1975" s="123"/>
      <c r="M1975" s="3"/>
      <c r="N1975" s="3"/>
      <c r="O1975" s="3"/>
      <c r="P1975" s="125"/>
      <c r="Q1975" s="125"/>
      <c r="R1975" s="127"/>
      <c r="S1975" s="123"/>
      <c r="T1975" s="3"/>
      <c r="W1975" s="86"/>
      <c r="Y1975" s="75"/>
    </row>
    <row r="1976" spans="1:25" x14ac:dyDescent="0.25">
      <c r="A1976" s="75"/>
      <c r="C1976" s="81"/>
      <c r="D1976" s="81"/>
      <c r="I1976" s="81"/>
      <c r="K1976" s="82"/>
      <c r="L1976" s="123"/>
      <c r="M1976" s="3"/>
      <c r="N1976" s="3"/>
      <c r="O1976" s="3"/>
      <c r="P1976" s="125"/>
      <c r="Q1976" s="125"/>
      <c r="R1976" s="127"/>
      <c r="S1976" s="123"/>
      <c r="T1976" s="3"/>
      <c r="W1976" s="86"/>
      <c r="Y1976" s="75"/>
    </row>
    <row r="1977" spans="1:25" x14ac:dyDescent="0.25">
      <c r="A1977" s="75"/>
      <c r="C1977" s="81"/>
      <c r="D1977" s="81"/>
      <c r="I1977" s="81"/>
      <c r="K1977" s="82"/>
      <c r="L1977" s="123"/>
      <c r="M1977" s="3"/>
      <c r="N1977" s="3"/>
      <c r="O1977" s="3"/>
      <c r="P1977" s="125"/>
      <c r="Q1977" s="125"/>
      <c r="R1977" s="127"/>
      <c r="S1977" s="123"/>
      <c r="T1977" s="3"/>
      <c r="W1977" s="86"/>
      <c r="Y1977" s="75"/>
    </row>
    <row r="1978" spans="1:25" x14ac:dyDescent="0.25">
      <c r="A1978" s="75"/>
      <c r="C1978" s="81"/>
      <c r="D1978" s="81"/>
      <c r="I1978" s="81"/>
      <c r="K1978" s="82"/>
      <c r="L1978" s="123"/>
      <c r="M1978" s="3"/>
      <c r="N1978" s="3"/>
      <c r="O1978" s="3"/>
      <c r="P1978" s="125"/>
      <c r="Q1978" s="125"/>
      <c r="R1978" s="127"/>
      <c r="S1978" s="123"/>
      <c r="T1978" s="3"/>
      <c r="W1978" s="86"/>
      <c r="Y1978" s="75"/>
    </row>
    <row r="1979" spans="1:25" x14ac:dyDescent="0.25">
      <c r="A1979" s="75"/>
      <c r="C1979" s="81"/>
      <c r="D1979" s="81"/>
      <c r="I1979" s="81"/>
      <c r="K1979" s="82"/>
      <c r="L1979" s="123"/>
      <c r="M1979" s="3"/>
      <c r="N1979" s="3"/>
      <c r="O1979" s="3"/>
      <c r="P1979" s="125"/>
      <c r="Q1979" s="125"/>
      <c r="R1979" s="127"/>
      <c r="S1979" s="123"/>
      <c r="T1979" s="3"/>
      <c r="W1979" s="86"/>
      <c r="Y1979" s="75"/>
    </row>
    <row r="1980" spans="1:25" x14ac:dyDescent="0.25">
      <c r="A1980" s="75"/>
      <c r="C1980" s="81"/>
      <c r="D1980" s="81"/>
      <c r="I1980" s="81"/>
      <c r="K1980" s="82"/>
      <c r="L1980" s="123"/>
      <c r="M1980" s="3"/>
      <c r="N1980" s="3"/>
      <c r="O1980" s="3"/>
      <c r="P1980" s="125"/>
      <c r="Q1980" s="125"/>
      <c r="R1980" s="127"/>
      <c r="S1980" s="123"/>
      <c r="T1980" s="3"/>
      <c r="W1980" s="86"/>
      <c r="Y1980" s="75"/>
    </row>
    <row r="1981" spans="1:25" x14ac:dyDescent="0.25">
      <c r="A1981" s="75"/>
      <c r="C1981" s="81"/>
      <c r="D1981" s="81"/>
      <c r="I1981" s="81"/>
      <c r="K1981" s="82"/>
      <c r="L1981" s="123"/>
      <c r="M1981" s="3"/>
      <c r="N1981" s="3"/>
      <c r="O1981" s="3"/>
      <c r="P1981" s="125"/>
      <c r="Q1981" s="125"/>
      <c r="R1981" s="127"/>
      <c r="S1981" s="123"/>
      <c r="T1981" s="3"/>
      <c r="W1981" s="86"/>
      <c r="Y1981" s="75"/>
    </row>
    <row r="1982" spans="1:25" x14ac:dyDescent="0.25">
      <c r="A1982" s="75"/>
      <c r="C1982" s="81"/>
      <c r="D1982" s="81"/>
      <c r="I1982" s="81"/>
      <c r="K1982" s="82"/>
      <c r="L1982" s="123"/>
      <c r="M1982" s="3"/>
      <c r="N1982" s="3"/>
      <c r="O1982" s="3"/>
      <c r="P1982" s="125"/>
      <c r="Q1982" s="125"/>
      <c r="R1982" s="127"/>
      <c r="S1982" s="123"/>
      <c r="T1982" s="3"/>
      <c r="W1982" s="86"/>
      <c r="Y1982" s="75"/>
    </row>
    <row r="1983" spans="1:25" x14ac:dyDescent="0.25">
      <c r="A1983" s="75"/>
      <c r="C1983" s="81"/>
      <c r="D1983" s="81"/>
      <c r="I1983" s="81"/>
      <c r="K1983" s="82"/>
      <c r="L1983" s="123"/>
      <c r="M1983" s="3"/>
      <c r="N1983" s="3"/>
      <c r="O1983" s="3"/>
      <c r="P1983" s="125"/>
      <c r="Q1983" s="125"/>
      <c r="R1983" s="127"/>
      <c r="S1983" s="123"/>
      <c r="T1983" s="3"/>
      <c r="W1983" s="86"/>
      <c r="Y1983" s="75"/>
    </row>
    <row r="1984" spans="1:25" x14ac:dyDescent="0.25">
      <c r="A1984" s="75"/>
      <c r="C1984" s="81"/>
      <c r="D1984" s="81"/>
      <c r="I1984" s="81"/>
      <c r="K1984" s="82"/>
      <c r="L1984" s="123"/>
      <c r="M1984" s="3"/>
      <c r="N1984" s="3"/>
      <c r="O1984" s="3"/>
      <c r="P1984" s="125"/>
      <c r="Q1984" s="125"/>
      <c r="R1984" s="127"/>
      <c r="S1984" s="123"/>
      <c r="T1984" s="3"/>
      <c r="W1984" s="86"/>
      <c r="Y1984" s="75"/>
    </row>
    <row r="1985" spans="1:25" x14ac:dyDescent="0.25">
      <c r="A1985" s="75"/>
      <c r="C1985" s="81"/>
      <c r="D1985" s="81"/>
      <c r="I1985" s="81"/>
      <c r="K1985" s="82"/>
      <c r="L1985" s="123"/>
      <c r="M1985" s="3"/>
      <c r="N1985" s="3"/>
      <c r="O1985" s="3"/>
      <c r="P1985" s="125"/>
      <c r="Q1985" s="125"/>
      <c r="R1985" s="127"/>
      <c r="S1985" s="123"/>
      <c r="T1985" s="3"/>
      <c r="W1985" s="86"/>
      <c r="Y1985" s="75"/>
    </row>
    <row r="1986" spans="1:25" x14ac:dyDescent="0.25">
      <c r="A1986" s="75"/>
      <c r="C1986" s="81"/>
      <c r="D1986" s="81"/>
      <c r="I1986" s="81"/>
      <c r="K1986" s="82"/>
      <c r="L1986" s="123"/>
      <c r="M1986" s="3"/>
      <c r="N1986" s="3"/>
      <c r="O1986" s="3"/>
      <c r="P1986" s="125"/>
      <c r="Q1986" s="125"/>
      <c r="R1986" s="127"/>
      <c r="S1986" s="123"/>
      <c r="T1986" s="3"/>
      <c r="W1986" s="86"/>
      <c r="Y1986" s="75"/>
    </row>
    <row r="1987" spans="1:25" x14ac:dyDescent="0.25">
      <c r="A1987" s="75"/>
      <c r="C1987" s="81"/>
      <c r="D1987" s="81"/>
      <c r="I1987" s="81"/>
      <c r="K1987" s="82"/>
      <c r="L1987" s="123"/>
      <c r="M1987" s="3"/>
      <c r="N1987" s="3"/>
      <c r="O1987" s="3"/>
      <c r="P1987" s="125"/>
      <c r="Q1987" s="125"/>
      <c r="R1987" s="127"/>
      <c r="S1987" s="123"/>
      <c r="T1987" s="3"/>
      <c r="W1987" s="86"/>
      <c r="Y1987" s="75"/>
    </row>
    <row r="1988" spans="1:25" x14ac:dyDescent="0.25">
      <c r="A1988" s="75"/>
      <c r="C1988" s="81"/>
      <c r="D1988" s="81"/>
      <c r="I1988" s="81"/>
      <c r="K1988" s="82"/>
      <c r="L1988" s="123"/>
      <c r="M1988" s="3"/>
      <c r="N1988" s="3"/>
      <c r="O1988" s="3"/>
      <c r="P1988" s="125"/>
      <c r="Q1988" s="125"/>
      <c r="R1988" s="127"/>
      <c r="S1988" s="123"/>
      <c r="T1988" s="3"/>
      <c r="W1988" s="86"/>
      <c r="Y1988" s="75"/>
    </row>
    <row r="1989" spans="1:25" x14ac:dyDescent="0.25">
      <c r="A1989" s="75"/>
      <c r="C1989" s="81"/>
      <c r="D1989" s="81"/>
      <c r="I1989" s="81"/>
      <c r="K1989" s="82"/>
      <c r="L1989" s="123"/>
      <c r="M1989" s="3"/>
      <c r="N1989" s="3"/>
      <c r="O1989" s="3"/>
      <c r="P1989" s="125"/>
      <c r="Q1989" s="125"/>
      <c r="R1989" s="127"/>
      <c r="S1989" s="123"/>
      <c r="T1989" s="3"/>
      <c r="W1989" s="86"/>
      <c r="Y1989" s="75"/>
    </row>
    <row r="1990" spans="1:25" x14ac:dyDescent="0.25">
      <c r="A1990" s="75"/>
      <c r="C1990" s="81"/>
      <c r="D1990" s="81"/>
      <c r="I1990" s="81"/>
      <c r="K1990" s="82"/>
      <c r="L1990" s="123"/>
      <c r="M1990" s="3"/>
      <c r="N1990" s="3"/>
      <c r="O1990" s="3"/>
      <c r="P1990" s="125"/>
      <c r="Q1990" s="125"/>
      <c r="R1990" s="127"/>
      <c r="S1990" s="123"/>
      <c r="T1990" s="3"/>
      <c r="W1990" s="86"/>
      <c r="Y1990" s="75"/>
    </row>
    <row r="1991" spans="1:25" x14ac:dyDescent="0.25">
      <c r="A1991" s="75"/>
      <c r="C1991" s="81"/>
      <c r="D1991" s="81"/>
      <c r="I1991" s="81"/>
      <c r="K1991" s="82"/>
      <c r="L1991" s="123"/>
      <c r="M1991" s="3"/>
      <c r="N1991" s="3"/>
      <c r="O1991" s="3"/>
      <c r="P1991" s="125"/>
      <c r="Q1991" s="125"/>
      <c r="R1991" s="127"/>
      <c r="S1991" s="123"/>
      <c r="T1991" s="3"/>
      <c r="W1991" s="86"/>
      <c r="Y1991" s="75"/>
    </row>
    <row r="1992" spans="1:25" x14ac:dyDescent="0.25">
      <c r="A1992" s="75"/>
      <c r="C1992" s="81"/>
      <c r="D1992" s="81"/>
      <c r="I1992" s="81"/>
      <c r="K1992" s="82"/>
      <c r="L1992" s="123"/>
      <c r="M1992" s="3"/>
      <c r="N1992" s="3"/>
      <c r="O1992" s="3"/>
      <c r="P1992" s="125"/>
      <c r="Q1992" s="125"/>
      <c r="R1992" s="127"/>
      <c r="S1992" s="123"/>
      <c r="T1992" s="3"/>
      <c r="W1992" s="86"/>
      <c r="Y1992" s="75"/>
    </row>
    <row r="1993" spans="1:25" x14ac:dyDescent="0.25">
      <c r="A1993" s="75"/>
      <c r="C1993" s="81"/>
      <c r="D1993" s="81"/>
      <c r="I1993" s="81"/>
      <c r="K1993" s="82"/>
      <c r="L1993" s="123"/>
      <c r="M1993" s="3"/>
      <c r="N1993" s="3"/>
      <c r="O1993" s="3"/>
      <c r="P1993" s="125"/>
      <c r="Q1993" s="125"/>
      <c r="R1993" s="127"/>
      <c r="S1993" s="123"/>
      <c r="T1993" s="3"/>
      <c r="W1993" s="86"/>
      <c r="Y1993" s="75"/>
    </row>
    <row r="1994" spans="1:25" x14ac:dyDescent="0.25">
      <c r="A1994" s="75"/>
      <c r="C1994" s="81"/>
      <c r="D1994" s="81"/>
      <c r="I1994" s="81"/>
      <c r="K1994" s="82"/>
      <c r="L1994" s="123"/>
      <c r="M1994" s="3"/>
      <c r="N1994" s="3"/>
      <c r="O1994" s="3"/>
      <c r="P1994" s="125"/>
      <c r="Q1994" s="125"/>
      <c r="R1994" s="127"/>
      <c r="S1994" s="123"/>
      <c r="T1994" s="3"/>
      <c r="W1994" s="86"/>
      <c r="Y1994" s="75"/>
    </row>
    <row r="1995" spans="1:25" x14ac:dyDescent="0.25">
      <c r="A1995" s="75"/>
      <c r="C1995" s="81"/>
      <c r="D1995" s="81"/>
      <c r="I1995" s="81"/>
      <c r="K1995" s="82"/>
      <c r="L1995" s="123"/>
      <c r="M1995" s="3"/>
      <c r="N1995" s="3"/>
      <c r="O1995" s="3"/>
      <c r="P1995" s="125"/>
      <c r="Q1995" s="125"/>
      <c r="R1995" s="127"/>
      <c r="S1995" s="123"/>
      <c r="T1995" s="3"/>
      <c r="W1995" s="86"/>
      <c r="Y1995" s="75"/>
    </row>
    <row r="1996" spans="1:25" x14ac:dyDescent="0.25">
      <c r="A1996" s="75"/>
      <c r="C1996" s="81"/>
      <c r="D1996" s="81"/>
      <c r="I1996" s="81"/>
      <c r="K1996" s="82"/>
      <c r="L1996" s="123"/>
      <c r="M1996" s="3"/>
      <c r="N1996" s="3"/>
      <c r="O1996" s="3"/>
      <c r="P1996" s="125"/>
      <c r="Q1996" s="125"/>
      <c r="R1996" s="127"/>
      <c r="S1996" s="123"/>
      <c r="T1996" s="3"/>
      <c r="W1996" s="86"/>
      <c r="Y1996" s="75"/>
    </row>
    <row r="1997" spans="1:25" x14ac:dyDescent="0.25">
      <c r="A1997" s="75"/>
      <c r="C1997" s="81"/>
      <c r="D1997" s="81"/>
      <c r="I1997" s="81"/>
      <c r="K1997" s="82"/>
      <c r="L1997" s="123"/>
      <c r="M1997" s="3"/>
      <c r="N1997" s="3"/>
      <c r="O1997" s="3"/>
      <c r="P1997" s="125"/>
      <c r="Q1997" s="125"/>
      <c r="R1997" s="127"/>
      <c r="S1997" s="123"/>
      <c r="T1997" s="3"/>
      <c r="W1997" s="86"/>
      <c r="Y1997" s="75"/>
    </row>
    <row r="1998" spans="1:25" x14ac:dyDescent="0.25">
      <c r="A1998" s="75"/>
      <c r="C1998" s="81"/>
      <c r="D1998" s="81"/>
      <c r="I1998" s="81"/>
      <c r="K1998" s="82"/>
      <c r="L1998" s="123"/>
      <c r="M1998" s="3"/>
      <c r="N1998" s="3"/>
      <c r="O1998" s="3"/>
      <c r="P1998" s="125"/>
      <c r="Q1998" s="125"/>
      <c r="R1998" s="127"/>
      <c r="S1998" s="123"/>
      <c r="T1998" s="3"/>
      <c r="W1998" s="86"/>
      <c r="Y1998" s="75"/>
    </row>
    <row r="1999" spans="1:25" x14ac:dyDescent="0.25">
      <c r="A1999" s="75"/>
      <c r="C1999" s="81"/>
      <c r="D1999" s="81"/>
      <c r="I1999" s="81"/>
      <c r="K1999" s="82"/>
      <c r="L1999" s="123"/>
      <c r="M1999" s="3"/>
      <c r="N1999" s="3"/>
      <c r="O1999" s="3"/>
      <c r="P1999" s="125"/>
      <c r="Q1999" s="125"/>
      <c r="R1999" s="127"/>
      <c r="S1999" s="123"/>
      <c r="T1999" s="3"/>
      <c r="W1999" s="86"/>
      <c r="Y1999" s="75"/>
    </row>
    <row r="2000" spans="1:25" x14ac:dyDescent="0.25">
      <c r="A2000" s="75"/>
      <c r="C2000" s="81"/>
      <c r="D2000" s="81"/>
      <c r="I2000" s="81"/>
      <c r="K2000" s="82"/>
      <c r="L2000" s="123"/>
      <c r="M2000" s="3"/>
      <c r="N2000" s="3"/>
      <c r="O2000" s="3"/>
      <c r="P2000" s="125"/>
      <c r="Q2000" s="125"/>
      <c r="R2000" s="127"/>
      <c r="S2000" s="123"/>
      <c r="T2000" s="3"/>
      <c r="W2000" s="86"/>
      <c r="Y2000" s="75"/>
    </row>
    <row r="2001" spans="1:25" x14ac:dyDescent="0.25">
      <c r="A2001" s="75"/>
      <c r="C2001" s="81"/>
      <c r="D2001" s="81"/>
      <c r="I2001" s="81"/>
      <c r="K2001" s="82"/>
      <c r="L2001" s="123"/>
      <c r="M2001" s="3"/>
      <c r="N2001" s="3"/>
      <c r="O2001" s="3"/>
      <c r="P2001" s="125"/>
      <c r="Q2001" s="125"/>
      <c r="R2001" s="127"/>
      <c r="S2001" s="123"/>
      <c r="T2001" s="3"/>
      <c r="W2001" s="86"/>
      <c r="Y2001" s="75"/>
    </row>
    <row r="2002" spans="1:25" x14ac:dyDescent="0.25">
      <c r="A2002" s="75"/>
      <c r="C2002" s="81"/>
      <c r="D2002" s="81"/>
      <c r="I2002" s="81"/>
      <c r="K2002" s="82"/>
      <c r="L2002" s="123"/>
      <c r="M2002" s="3"/>
      <c r="N2002" s="3"/>
      <c r="O2002" s="3"/>
      <c r="P2002" s="125"/>
      <c r="Q2002" s="125"/>
      <c r="R2002" s="127"/>
      <c r="S2002" s="123"/>
      <c r="T2002" s="3"/>
      <c r="W2002" s="86"/>
      <c r="Y2002" s="75"/>
    </row>
    <row r="2003" spans="1:25" x14ac:dyDescent="0.25">
      <c r="A2003" s="75"/>
      <c r="C2003" s="81"/>
      <c r="D2003" s="81"/>
      <c r="I2003" s="81"/>
      <c r="K2003" s="82"/>
      <c r="L2003" s="123"/>
      <c r="M2003" s="3"/>
      <c r="N2003" s="3"/>
      <c r="O2003" s="3"/>
      <c r="P2003" s="125"/>
      <c r="Q2003" s="125"/>
      <c r="R2003" s="127"/>
      <c r="S2003" s="123"/>
      <c r="T2003" s="3"/>
      <c r="W2003" s="86"/>
      <c r="Y2003" s="75"/>
    </row>
    <row r="2004" spans="1:25" x14ac:dyDescent="0.25">
      <c r="A2004" s="75"/>
      <c r="C2004" s="81"/>
      <c r="D2004" s="81"/>
      <c r="I2004" s="81"/>
      <c r="K2004" s="82"/>
      <c r="L2004" s="123"/>
      <c r="M2004" s="3"/>
      <c r="N2004" s="3"/>
      <c r="O2004" s="3"/>
      <c r="P2004" s="125"/>
      <c r="Q2004" s="125"/>
      <c r="R2004" s="127"/>
      <c r="S2004" s="123"/>
      <c r="T2004" s="3"/>
      <c r="W2004" s="86"/>
      <c r="Y2004" s="75"/>
    </row>
    <row r="2005" spans="1:25" x14ac:dyDescent="0.25">
      <c r="A2005" s="75"/>
      <c r="C2005" s="81"/>
      <c r="D2005" s="81"/>
      <c r="I2005" s="81"/>
      <c r="K2005" s="82"/>
      <c r="L2005" s="123"/>
      <c r="M2005" s="3"/>
      <c r="N2005" s="3"/>
      <c r="O2005" s="3"/>
      <c r="P2005" s="125"/>
      <c r="Q2005" s="125"/>
      <c r="R2005" s="127"/>
      <c r="S2005" s="123"/>
      <c r="T2005" s="3"/>
      <c r="W2005" s="86"/>
      <c r="Y2005" s="75"/>
    </row>
    <row r="2006" spans="1:25" x14ac:dyDescent="0.25">
      <c r="A2006" s="75"/>
      <c r="C2006" s="81"/>
      <c r="D2006" s="81"/>
      <c r="I2006" s="81"/>
      <c r="K2006" s="82"/>
      <c r="L2006" s="123"/>
      <c r="M2006" s="3"/>
      <c r="N2006" s="3"/>
      <c r="O2006" s="3"/>
      <c r="P2006" s="125"/>
      <c r="Q2006" s="125"/>
      <c r="R2006" s="127"/>
      <c r="S2006" s="123"/>
      <c r="T2006" s="3"/>
      <c r="W2006" s="86"/>
      <c r="Y2006" s="75"/>
    </row>
    <row r="2007" spans="1:25" x14ac:dyDescent="0.25">
      <c r="A2007" s="75"/>
      <c r="C2007" s="81"/>
      <c r="D2007" s="81"/>
      <c r="I2007" s="81"/>
      <c r="K2007" s="82"/>
      <c r="L2007" s="123"/>
      <c r="M2007" s="3"/>
      <c r="N2007" s="3"/>
      <c r="O2007" s="3"/>
      <c r="P2007" s="125"/>
      <c r="Q2007" s="125"/>
      <c r="R2007" s="127"/>
      <c r="S2007" s="123"/>
      <c r="T2007" s="3"/>
      <c r="W2007" s="86"/>
      <c r="Y2007" s="75"/>
    </row>
    <row r="2008" spans="1:25" x14ac:dyDescent="0.25">
      <c r="A2008" s="75"/>
      <c r="C2008" s="81"/>
      <c r="D2008" s="81"/>
      <c r="I2008" s="81"/>
      <c r="K2008" s="82"/>
      <c r="L2008" s="123"/>
      <c r="M2008" s="3"/>
      <c r="N2008" s="3"/>
      <c r="O2008" s="3"/>
      <c r="P2008" s="125"/>
      <c r="Q2008" s="125"/>
      <c r="R2008" s="127"/>
      <c r="S2008" s="123"/>
      <c r="T2008" s="3"/>
      <c r="W2008" s="86"/>
      <c r="Y2008" s="75"/>
    </row>
    <row r="2009" spans="1:25" x14ac:dyDescent="0.25">
      <c r="A2009" s="75"/>
      <c r="C2009" s="81"/>
      <c r="D2009" s="81"/>
      <c r="I2009" s="81"/>
      <c r="K2009" s="82"/>
      <c r="L2009" s="123"/>
      <c r="M2009" s="3"/>
      <c r="N2009" s="3"/>
      <c r="O2009" s="3"/>
      <c r="P2009" s="125"/>
      <c r="Q2009" s="125"/>
      <c r="R2009" s="127"/>
      <c r="S2009" s="123"/>
      <c r="T2009" s="3"/>
      <c r="W2009" s="86"/>
      <c r="Y2009" s="75"/>
    </row>
    <row r="2010" spans="1:25" x14ac:dyDescent="0.25">
      <c r="A2010" s="75"/>
      <c r="C2010" s="81"/>
      <c r="D2010" s="81"/>
      <c r="I2010" s="81"/>
      <c r="K2010" s="82"/>
      <c r="L2010" s="123"/>
      <c r="M2010" s="3"/>
      <c r="N2010" s="3"/>
      <c r="O2010" s="3"/>
      <c r="P2010" s="125"/>
      <c r="Q2010" s="125"/>
      <c r="R2010" s="127"/>
      <c r="S2010" s="123"/>
      <c r="T2010" s="3"/>
      <c r="W2010" s="86"/>
      <c r="Y2010" s="75"/>
    </row>
    <row r="2011" spans="1:25" x14ac:dyDescent="0.25">
      <c r="A2011" s="75"/>
      <c r="C2011" s="81"/>
      <c r="D2011" s="81"/>
      <c r="I2011" s="81"/>
      <c r="K2011" s="82"/>
      <c r="L2011" s="123"/>
      <c r="M2011" s="3"/>
      <c r="N2011" s="3"/>
      <c r="O2011" s="3"/>
      <c r="P2011" s="125"/>
      <c r="Q2011" s="125"/>
      <c r="R2011" s="127"/>
      <c r="S2011" s="123"/>
      <c r="T2011" s="3"/>
      <c r="W2011" s="86"/>
      <c r="Y2011" s="75"/>
    </row>
    <row r="2012" spans="1:25" x14ac:dyDescent="0.25">
      <c r="A2012" s="75"/>
      <c r="C2012" s="81"/>
      <c r="D2012" s="81"/>
      <c r="I2012" s="81"/>
      <c r="K2012" s="82"/>
      <c r="L2012" s="123"/>
      <c r="M2012" s="3"/>
      <c r="N2012" s="3"/>
      <c r="O2012" s="3"/>
      <c r="P2012" s="125"/>
      <c r="Q2012" s="125"/>
      <c r="R2012" s="127"/>
      <c r="S2012" s="123"/>
      <c r="T2012" s="3"/>
      <c r="W2012" s="86"/>
      <c r="Y2012" s="75"/>
    </row>
    <row r="2013" spans="1:25" x14ac:dyDescent="0.25">
      <c r="A2013" s="75"/>
      <c r="C2013" s="81"/>
      <c r="D2013" s="81"/>
      <c r="I2013" s="81"/>
      <c r="K2013" s="82"/>
      <c r="L2013" s="123"/>
      <c r="M2013" s="3"/>
      <c r="N2013" s="3"/>
      <c r="O2013" s="3"/>
      <c r="P2013" s="125"/>
      <c r="Q2013" s="125"/>
      <c r="R2013" s="127"/>
      <c r="S2013" s="123"/>
      <c r="T2013" s="3"/>
      <c r="W2013" s="86"/>
      <c r="Y2013" s="75"/>
    </row>
    <row r="2014" spans="1:25" x14ac:dyDescent="0.25">
      <c r="A2014" s="75"/>
      <c r="C2014" s="81"/>
      <c r="D2014" s="81"/>
      <c r="I2014" s="81"/>
      <c r="K2014" s="82"/>
      <c r="L2014" s="123"/>
      <c r="M2014" s="3"/>
      <c r="N2014" s="3"/>
      <c r="O2014" s="3"/>
      <c r="P2014" s="125"/>
      <c r="Q2014" s="125"/>
      <c r="R2014" s="127"/>
      <c r="S2014" s="123"/>
      <c r="T2014" s="3"/>
      <c r="W2014" s="86"/>
      <c r="Y2014" s="75"/>
    </row>
    <row r="2015" spans="1:25" x14ac:dyDescent="0.25">
      <c r="A2015" s="75"/>
      <c r="C2015" s="81"/>
      <c r="D2015" s="81"/>
      <c r="I2015" s="81"/>
      <c r="K2015" s="82"/>
      <c r="L2015" s="123"/>
      <c r="M2015" s="3"/>
      <c r="N2015" s="3"/>
      <c r="O2015" s="3"/>
      <c r="P2015" s="125"/>
      <c r="Q2015" s="125"/>
      <c r="R2015" s="127"/>
      <c r="S2015" s="123"/>
      <c r="T2015" s="3"/>
      <c r="W2015" s="86"/>
      <c r="Y2015" s="75"/>
    </row>
    <row r="2016" spans="1:25" x14ac:dyDescent="0.25">
      <c r="A2016" s="75"/>
      <c r="C2016" s="81"/>
      <c r="D2016" s="81"/>
      <c r="I2016" s="81"/>
      <c r="K2016" s="82"/>
      <c r="L2016" s="123"/>
      <c r="M2016" s="3"/>
      <c r="N2016" s="3"/>
      <c r="O2016" s="3"/>
      <c r="P2016" s="125"/>
      <c r="Q2016" s="125"/>
      <c r="R2016" s="127"/>
      <c r="S2016" s="123"/>
      <c r="T2016" s="3"/>
      <c r="W2016" s="86"/>
      <c r="Y2016" s="75"/>
    </row>
    <row r="2017" spans="1:25" x14ac:dyDescent="0.25">
      <c r="A2017" s="75"/>
      <c r="C2017" s="81"/>
      <c r="D2017" s="81"/>
      <c r="I2017" s="81"/>
      <c r="K2017" s="82"/>
      <c r="L2017" s="123"/>
      <c r="M2017" s="3"/>
      <c r="N2017" s="3"/>
      <c r="O2017" s="3"/>
      <c r="P2017" s="125"/>
      <c r="Q2017" s="125"/>
      <c r="R2017" s="127"/>
      <c r="S2017" s="123"/>
      <c r="T2017" s="3"/>
      <c r="W2017" s="86"/>
      <c r="Y2017" s="75"/>
    </row>
    <row r="2018" spans="1:25" x14ac:dyDescent="0.25">
      <c r="A2018" s="75"/>
      <c r="C2018" s="81"/>
      <c r="D2018" s="81"/>
      <c r="I2018" s="81"/>
      <c r="K2018" s="82"/>
      <c r="L2018" s="123"/>
      <c r="M2018" s="3"/>
      <c r="N2018" s="3"/>
      <c r="O2018" s="3"/>
      <c r="P2018" s="125"/>
      <c r="Q2018" s="125"/>
      <c r="R2018" s="127"/>
      <c r="S2018" s="123"/>
      <c r="T2018" s="3"/>
      <c r="W2018" s="86"/>
      <c r="Y2018" s="75"/>
    </row>
    <row r="2019" spans="1:25" x14ac:dyDescent="0.25">
      <c r="A2019" s="75"/>
      <c r="C2019" s="81"/>
      <c r="D2019" s="81"/>
      <c r="I2019" s="81"/>
      <c r="K2019" s="82"/>
      <c r="L2019" s="123"/>
      <c r="M2019" s="3"/>
      <c r="N2019" s="3"/>
      <c r="O2019" s="3"/>
      <c r="P2019" s="125"/>
      <c r="Q2019" s="125"/>
      <c r="R2019" s="127"/>
      <c r="S2019" s="123"/>
      <c r="T2019" s="3"/>
      <c r="W2019" s="86"/>
      <c r="Y2019" s="75"/>
    </row>
    <row r="2020" spans="1:25" x14ac:dyDescent="0.25">
      <c r="A2020" s="75"/>
      <c r="C2020" s="81"/>
      <c r="D2020" s="81"/>
      <c r="I2020" s="81"/>
      <c r="K2020" s="82"/>
      <c r="L2020" s="123"/>
      <c r="M2020" s="3"/>
      <c r="N2020" s="3"/>
      <c r="O2020" s="3"/>
      <c r="P2020" s="125"/>
      <c r="Q2020" s="125"/>
      <c r="R2020" s="127"/>
      <c r="S2020" s="123"/>
      <c r="T2020" s="3"/>
      <c r="W2020" s="86"/>
      <c r="Y2020" s="75"/>
    </row>
    <row r="2021" spans="1:25" x14ac:dyDescent="0.25">
      <c r="A2021" s="75"/>
      <c r="C2021" s="81"/>
      <c r="D2021" s="81"/>
      <c r="I2021" s="81"/>
      <c r="K2021" s="82"/>
      <c r="L2021" s="123"/>
      <c r="M2021" s="3"/>
      <c r="N2021" s="3"/>
      <c r="O2021" s="3"/>
      <c r="P2021" s="125"/>
      <c r="Q2021" s="125"/>
      <c r="R2021" s="127"/>
      <c r="S2021" s="123"/>
      <c r="T2021" s="3"/>
      <c r="W2021" s="86"/>
      <c r="Y2021" s="75"/>
    </row>
    <row r="2022" spans="1:25" x14ac:dyDescent="0.25">
      <c r="A2022" s="75"/>
      <c r="C2022" s="81"/>
      <c r="D2022" s="81"/>
      <c r="I2022" s="81"/>
      <c r="K2022" s="82"/>
      <c r="L2022" s="123"/>
      <c r="M2022" s="3"/>
      <c r="N2022" s="3"/>
      <c r="O2022" s="3"/>
      <c r="P2022" s="125"/>
      <c r="Q2022" s="125"/>
      <c r="R2022" s="127"/>
      <c r="S2022" s="123"/>
      <c r="T2022" s="3"/>
      <c r="W2022" s="86"/>
      <c r="Y2022" s="75"/>
    </row>
    <row r="2023" spans="1:25" x14ac:dyDescent="0.25">
      <c r="A2023" s="75"/>
      <c r="C2023" s="81"/>
      <c r="D2023" s="81"/>
      <c r="I2023" s="81"/>
      <c r="K2023" s="82"/>
      <c r="L2023" s="123"/>
      <c r="M2023" s="3"/>
      <c r="N2023" s="3"/>
      <c r="O2023" s="3"/>
      <c r="P2023" s="125"/>
      <c r="Q2023" s="125"/>
      <c r="R2023" s="127"/>
      <c r="S2023" s="123"/>
      <c r="T2023" s="3"/>
      <c r="W2023" s="86"/>
      <c r="Y2023" s="75"/>
    </row>
    <row r="2024" spans="1:25" x14ac:dyDescent="0.25">
      <c r="A2024" s="75"/>
      <c r="C2024" s="81"/>
      <c r="D2024" s="81"/>
      <c r="I2024" s="81"/>
      <c r="K2024" s="82"/>
      <c r="L2024" s="123"/>
      <c r="M2024" s="3"/>
      <c r="N2024" s="3"/>
      <c r="O2024" s="3"/>
      <c r="P2024" s="125"/>
      <c r="Q2024" s="125"/>
      <c r="R2024" s="127"/>
      <c r="S2024" s="123"/>
      <c r="T2024" s="3"/>
      <c r="W2024" s="86"/>
      <c r="Y2024" s="75"/>
    </row>
    <row r="2025" spans="1:25" x14ac:dyDescent="0.25">
      <c r="A2025" s="75"/>
      <c r="C2025" s="81"/>
      <c r="D2025" s="81"/>
      <c r="I2025" s="81"/>
      <c r="K2025" s="82"/>
      <c r="L2025" s="123"/>
      <c r="M2025" s="3"/>
      <c r="N2025" s="3"/>
      <c r="O2025" s="3"/>
      <c r="P2025" s="125"/>
      <c r="Q2025" s="125"/>
      <c r="R2025" s="127"/>
      <c r="S2025" s="123"/>
      <c r="T2025" s="3"/>
      <c r="W2025" s="86"/>
      <c r="Y2025" s="75"/>
    </row>
    <row r="2026" spans="1:25" x14ac:dyDescent="0.25">
      <c r="A2026" s="75"/>
      <c r="C2026" s="81"/>
      <c r="D2026" s="81"/>
      <c r="I2026" s="81"/>
      <c r="K2026" s="82"/>
      <c r="L2026" s="123"/>
      <c r="M2026" s="3"/>
      <c r="N2026" s="3"/>
      <c r="O2026" s="3"/>
      <c r="P2026" s="125"/>
      <c r="Q2026" s="125"/>
      <c r="R2026" s="127"/>
      <c r="S2026" s="123"/>
      <c r="T2026" s="3"/>
      <c r="W2026" s="86"/>
      <c r="Y2026" s="75"/>
    </row>
    <row r="2027" spans="1:25" x14ac:dyDescent="0.25">
      <c r="A2027" s="75"/>
      <c r="C2027" s="81"/>
      <c r="D2027" s="81"/>
      <c r="I2027" s="81"/>
      <c r="K2027" s="82"/>
      <c r="L2027" s="123"/>
      <c r="M2027" s="3"/>
      <c r="N2027" s="3"/>
      <c r="O2027" s="3"/>
      <c r="P2027" s="125"/>
      <c r="Q2027" s="125"/>
      <c r="R2027" s="127"/>
      <c r="S2027" s="123"/>
      <c r="T2027" s="3"/>
      <c r="W2027" s="86"/>
      <c r="Y2027" s="75"/>
    </row>
    <row r="2028" spans="1:25" x14ac:dyDescent="0.25">
      <c r="A2028" s="75"/>
      <c r="C2028" s="81"/>
      <c r="D2028" s="81"/>
      <c r="I2028" s="81"/>
      <c r="K2028" s="82"/>
      <c r="L2028" s="123"/>
      <c r="M2028" s="3"/>
      <c r="N2028" s="3"/>
      <c r="O2028" s="3"/>
      <c r="P2028" s="125"/>
      <c r="Q2028" s="125"/>
      <c r="R2028" s="127"/>
      <c r="S2028" s="123"/>
      <c r="T2028" s="3"/>
      <c r="W2028" s="86"/>
      <c r="Y2028" s="75"/>
    </row>
    <row r="2029" spans="1:25" x14ac:dyDescent="0.25">
      <c r="A2029" s="75"/>
      <c r="C2029" s="81"/>
      <c r="D2029" s="81"/>
      <c r="I2029" s="81"/>
      <c r="K2029" s="82"/>
      <c r="L2029" s="123"/>
      <c r="M2029" s="3"/>
      <c r="N2029" s="3"/>
      <c r="O2029" s="3"/>
      <c r="P2029" s="125"/>
      <c r="Q2029" s="125"/>
      <c r="R2029" s="127"/>
      <c r="S2029" s="123"/>
      <c r="T2029" s="3"/>
      <c r="W2029" s="86"/>
      <c r="Y2029" s="75"/>
    </row>
    <row r="2030" spans="1:25" x14ac:dyDescent="0.25">
      <c r="A2030" s="75"/>
      <c r="C2030" s="81"/>
      <c r="D2030" s="81"/>
      <c r="I2030" s="81"/>
      <c r="K2030" s="82"/>
      <c r="L2030" s="123"/>
      <c r="M2030" s="3"/>
      <c r="N2030" s="3"/>
      <c r="O2030" s="3"/>
      <c r="P2030" s="125"/>
      <c r="Q2030" s="125"/>
      <c r="R2030" s="127"/>
      <c r="S2030" s="123"/>
      <c r="T2030" s="3"/>
      <c r="W2030" s="86"/>
      <c r="Y2030" s="75"/>
    </row>
    <row r="2031" spans="1:25" x14ac:dyDescent="0.25">
      <c r="A2031" s="75"/>
      <c r="C2031" s="81"/>
      <c r="D2031" s="81"/>
      <c r="I2031" s="81"/>
      <c r="K2031" s="82"/>
      <c r="L2031" s="123"/>
      <c r="M2031" s="3"/>
      <c r="N2031" s="3"/>
      <c r="O2031" s="3"/>
      <c r="P2031" s="125"/>
      <c r="Q2031" s="125"/>
      <c r="R2031" s="127"/>
      <c r="S2031" s="123"/>
      <c r="T2031" s="3"/>
      <c r="W2031" s="86"/>
      <c r="Y2031" s="75"/>
    </row>
    <row r="2032" spans="1:25" x14ac:dyDescent="0.25">
      <c r="A2032" s="75"/>
      <c r="C2032" s="81"/>
      <c r="D2032" s="81"/>
      <c r="I2032" s="81"/>
      <c r="K2032" s="82"/>
      <c r="L2032" s="123"/>
      <c r="M2032" s="3"/>
      <c r="N2032" s="3"/>
      <c r="O2032" s="3"/>
      <c r="P2032" s="125"/>
      <c r="Q2032" s="125"/>
      <c r="R2032" s="127"/>
      <c r="S2032" s="123"/>
      <c r="T2032" s="3"/>
      <c r="W2032" s="86"/>
      <c r="Y2032" s="75"/>
    </row>
    <row r="2033" spans="1:25" x14ac:dyDescent="0.25">
      <c r="A2033" s="75"/>
      <c r="C2033" s="81"/>
      <c r="D2033" s="81"/>
      <c r="I2033" s="81"/>
      <c r="K2033" s="82"/>
      <c r="L2033" s="123"/>
      <c r="M2033" s="3"/>
      <c r="N2033" s="3"/>
      <c r="O2033" s="3"/>
      <c r="P2033" s="125"/>
      <c r="Q2033" s="125"/>
      <c r="R2033" s="127"/>
      <c r="S2033" s="123"/>
      <c r="T2033" s="3"/>
      <c r="W2033" s="86"/>
      <c r="Y2033" s="75"/>
    </row>
    <row r="2034" spans="1:25" x14ac:dyDescent="0.25">
      <c r="A2034" s="75"/>
      <c r="C2034" s="81"/>
      <c r="D2034" s="81"/>
      <c r="I2034" s="81"/>
      <c r="K2034" s="82"/>
      <c r="L2034" s="123"/>
      <c r="M2034" s="3"/>
      <c r="N2034" s="3"/>
      <c r="O2034" s="3"/>
      <c r="P2034" s="125"/>
      <c r="Q2034" s="125"/>
      <c r="R2034" s="127"/>
      <c r="S2034" s="123"/>
      <c r="T2034" s="3"/>
      <c r="W2034" s="86"/>
      <c r="Y2034" s="75"/>
    </row>
    <row r="2035" spans="1:25" x14ac:dyDescent="0.25">
      <c r="A2035" s="75"/>
      <c r="C2035" s="81"/>
      <c r="D2035" s="81"/>
      <c r="I2035" s="81"/>
      <c r="K2035" s="82"/>
      <c r="L2035" s="123"/>
      <c r="M2035" s="3"/>
      <c r="N2035" s="3"/>
      <c r="O2035" s="3"/>
      <c r="P2035" s="125"/>
      <c r="Q2035" s="125"/>
      <c r="R2035" s="127"/>
      <c r="S2035" s="123"/>
      <c r="T2035" s="3"/>
      <c r="W2035" s="86"/>
      <c r="Y2035" s="75"/>
    </row>
    <row r="2036" spans="1:25" x14ac:dyDescent="0.25">
      <c r="A2036" s="75"/>
      <c r="C2036" s="81"/>
      <c r="D2036" s="81"/>
      <c r="I2036" s="81"/>
      <c r="K2036" s="82"/>
      <c r="L2036" s="123"/>
      <c r="M2036" s="3"/>
      <c r="N2036" s="3"/>
      <c r="O2036" s="3"/>
      <c r="P2036" s="125"/>
      <c r="Q2036" s="125"/>
      <c r="R2036" s="127"/>
      <c r="S2036" s="123"/>
      <c r="T2036" s="3"/>
      <c r="W2036" s="86"/>
      <c r="Y2036" s="75"/>
    </row>
    <row r="2037" spans="1:25" x14ac:dyDescent="0.25">
      <c r="A2037" s="75"/>
      <c r="C2037" s="81"/>
      <c r="D2037" s="81"/>
      <c r="I2037" s="81"/>
      <c r="K2037" s="82"/>
      <c r="L2037" s="123"/>
      <c r="M2037" s="3"/>
      <c r="N2037" s="3"/>
      <c r="O2037" s="3"/>
      <c r="P2037" s="125"/>
      <c r="Q2037" s="125"/>
      <c r="R2037" s="127"/>
      <c r="S2037" s="123"/>
      <c r="T2037" s="3"/>
      <c r="W2037" s="86"/>
      <c r="Y2037" s="75"/>
    </row>
    <row r="2038" spans="1:25" x14ac:dyDescent="0.25">
      <c r="A2038" s="75"/>
      <c r="C2038" s="81"/>
      <c r="D2038" s="81"/>
      <c r="I2038" s="81"/>
      <c r="K2038" s="82"/>
      <c r="L2038" s="123"/>
      <c r="M2038" s="3"/>
      <c r="N2038" s="3"/>
      <c r="O2038" s="3"/>
      <c r="P2038" s="125"/>
      <c r="Q2038" s="125"/>
      <c r="R2038" s="127"/>
      <c r="S2038" s="123"/>
      <c r="T2038" s="3"/>
      <c r="W2038" s="86"/>
      <c r="Y2038" s="75"/>
    </row>
    <row r="2039" spans="1:25" x14ac:dyDescent="0.25">
      <c r="A2039" s="75"/>
      <c r="C2039" s="81"/>
      <c r="D2039" s="81"/>
      <c r="I2039" s="81"/>
      <c r="K2039" s="82"/>
      <c r="L2039" s="123"/>
      <c r="M2039" s="3"/>
      <c r="N2039" s="3"/>
      <c r="O2039" s="3"/>
      <c r="P2039" s="125"/>
      <c r="Q2039" s="125"/>
      <c r="R2039" s="127"/>
      <c r="S2039" s="123"/>
      <c r="T2039" s="3"/>
      <c r="W2039" s="86"/>
      <c r="Y2039" s="75"/>
    </row>
    <row r="2040" spans="1:25" x14ac:dyDescent="0.25">
      <c r="A2040" s="75"/>
      <c r="C2040" s="81"/>
      <c r="D2040" s="81"/>
      <c r="I2040" s="81"/>
      <c r="K2040" s="82"/>
      <c r="L2040" s="123"/>
      <c r="M2040" s="3"/>
      <c r="N2040" s="3"/>
      <c r="O2040" s="3"/>
      <c r="P2040" s="125"/>
      <c r="Q2040" s="125"/>
      <c r="R2040" s="127"/>
      <c r="S2040" s="123"/>
      <c r="T2040" s="3"/>
      <c r="W2040" s="86"/>
      <c r="Y2040" s="75"/>
    </row>
    <row r="2041" spans="1:25" x14ac:dyDescent="0.25">
      <c r="A2041" s="75"/>
      <c r="C2041" s="81"/>
      <c r="D2041" s="81"/>
      <c r="I2041" s="81"/>
      <c r="K2041" s="82"/>
      <c r="L2041" s="123"/>
      <c r="M2041" s="3"/>
      <c r="N2041" s="3"/>
      <c r="O2041" s="3"/>
      <c r="P2041" s="125"/>
      <c r="Q2041" s="125"/>
      <c r="R2041" s="127"/>
      <c r="S2041" s="123"/>
      <c r="T2041" s="3"/>
      <c r="W2041" s="86"/>
      <c r="Y2041" s="75"/>
    </row>
    <row r="2042" spans="1:25" x14ac:dyDescent="0.25">
      <c r="A2042" s="75"/>
      <c r="C2042" s="81"/>
      <c r="D2042" s="81"/>
      <c r="I2042" s="81"/>
      <c r="K2042" s="82"/>
      <c r="L2042" s="123"/>
      <c r="M2042" s="3"/>
      <c r="N2042" s="3"/>
      <c r="O2042" s="3"/>
      <c r="P2042" s="125"/>
      <c r="Q2042" s="125"/>
      <c r="R2042" s="127"/>
      <c r="S2042" s="123"/>
      <c r="T2042" s="3"/>
      <c r="W2042" s="86"/>
      <c r="Y2042" s="75"/>
    </row>
    <row r="2043" spans="1:25" x14ac:dyDescent="0.25">
      <c r="A2043" s="75"/>
      <c r="C2043" s="81"/>
      <c r="D2043" s="81"/>
      <c r="I2043" s="81"/>
      <c r="K2043" s="82"/>
      <c r="L2043" s="123"/>
      <c r="M2043" s="3"/>
      <c r="N2043" s="3"/>
      <c r="O2043" s="3"/>
      <c r="P2043" s="125"/>
      <c r="Q2043" s="125"/>
      <c r="R2043" s="127"/>
      <c r="S2043" s="123"/>
      <c r="T2043" s="3"/>
      <c r="W2043" s="86"/>
      <c r="Y2043" s="75"/>
    </row>
    <row r="2044" spans="1:25" x14ac:dyDescent="0.25">
      <c r="A2044" s="75"/>
      <c r="C2044" s="81"/>
      <c r="D2044" s="81"/>
      <c r="I2044" s="81"/>
      <c r="K2044" s="82"/>
      <c r="L2044" s="123"/>
      <c r="M2044" s="3"/>
      <c r="N2044" s="3"/>
      <c r="O2044" s="3"/>
      <c r="P2044" s="125"/>
      <c r="Q2044" s="125"/>
      <c r="R2044" s="127"/>
      <c r="S2044" s="123"/>
      <c r="T2044" s="3"/>
      <c r="W2044" s="86"/>
      <c r="Y2044" s="75"/>
    </row>
    <row r="2045" spans="1:25" x14ac:dyDescent="0.25">
      <c r="A2045" s="75"/>
      <c r="C2045" s="81"/>
      <c r="D2045" s="81"/>
      <c r="I2045" s="81"/>
      <c r="K2045" s="82"/>
      <c r="L2045" s="123"/>
      <c r="M2045" s="3"/>
      <c r="N2045" s="3"/>
      <c r="O2045" s="3"/>
      <c r="P2045" s="125"/>
      <c r="Q2045" s="125"/>
      <c r="R2045" s="127"/>
      <c r="S2045" s="123"/>
      <c r="T2045" s="3"/>
      <c r="W2045" s="86"/>
      <c r="Y2045" s="75"/>
    </row>
    <row r="2046" spans="1:25" x14ac:dyDescent="0.25">
      <c r="A2046" s="75"/>
      <c r="C2046" s="81"/>
      <c r="D2046" s="81"/>
      <c r="I2046" s="81"/>
      <c r="K2046" s="82"/>
      <c r="L2046" s="123"/>
      <c r="M2046" s="3"/>
      <c r="N2046" s="3"/>
      <c r="O2046" s="3"/>
      <c r="P2046" s="125"/>
      <c r="Q2046" s="125"/>
      <c r="R2046" s="127"/>
      <c r="S2046" s="123"/>
      <c r="T2046" s="3"/>
      <c r="W2046" s="86"/>
      <c r="Y2046" s="75"/>
    </row>
    <row r="2047" spans="1:25" x14ac:dyDescent="0.25">
      <c r="A2047" s="75"/>
      <c r="C2047" s="81"/>
      <c r="D2047" s="81"/>
      <c r="I2047" s="81"/>
      <c r="K2047" s="82"/>
      <c r="L2047" s="123"/>
      <c r="M2047" s="3"/>
      <c r="N2047" s="3"/>
      <c r="O2047" s="3"/>
      <c r="P2047" s="125"/>
      <c r="Q2047" s="125"/>
      <c r="R2047" s="127"/>
      <c r="S2047" s="123"/>
      <c r="T2047" s="3"/>
      <c r="W2047" s="86"/>
      <c r="Y2047" s="75"/>
    </row>
    <row r="2048" spans="1:25" x14ac:dyDescent="0.25">
      <c r="A2048" s="75"/>
      <c r="C2048" s="81"/>
      <c r="D2048" s="81"/>
      <c r="I2048" s="81"/>
      <c r="K2048" s="82"/>
      <c r="L2048" s="123"/>
      <c r="M2048" s="3"/>
      <c r="N2048" s="3"/>
      <c r="O2048" s="3"/>
      <c r="P2048" s="125"/>
      <c r="Q2048" s="125"/>
      <c r="R2048" s="127"/>
      <c r="S2048" s="123"/>
      <c r="T2048" s="3"/>
      <c r="W2048" s="86"/>
      <c r="Y2048" s="75"/>
    </row>
    <row r="2049" spans="1:25" x14ac:dyDescent="0.25">
      <c r="A2049" s="75"/>
      <c r="C2049" s="81"/>
      <c r="D2049" s="81"/>
      <c r="I2049" s="81"/>
      <c r="K2049" s="82"/>
      <c r="L2049" s="123"/>
      <c r="M2049" s="3"/>
      <c r="N2049" s="3"/>
      <c r="O2049" s="3"/>
      <c r="P2049" s="125"/>
      <c r="Q2049" s="125"/>
      <c r="R2049" s="127"/>
      <c r="S2049" s="123"/>
      <c r="T2049" s="3"/>
      <c r="W2049" s="86"/>
      <c r="Y2049" s="75"/>
    </row>
    <row r="2050" spans="1:25" x14ac:dyDescent="0.25">
      <c r="A2050" s="75"/>
      <c r="C2050" s="81"/>
      <c r="D2050" s="81"/>
      <c r="I2050" s="81"/>
      <c r="K2050" s="82"/>
      <c r="L2050" s="123"/>
      <c r="M2050" s="3"/>
      <c r="N2050" s="3"/>
      <c r="O2050" s="3"/>
      <c r="P2050" s="125"/>
      <c r="Q2050" s="125"/>
      <c r="R2050" s="127"/>
      <c r="S2050" s="123"/>
      <c r="T2050" s="3"/>
      <c r="W2050" s="86"/>
      <c r="Y2050" s="75"/>
    </row>
    <row r="2051" spans="1:25" x14ac:dyDescent="0.25">
      <c r="A2051" s="75"/>
      <c r="C2051" s="81"/>
      <c r="D2051" s="81"/>
      <c r="I2051" s="81"/>
      <c r="K2051" s="82"/>
      <c r="L2051" s="123"/>
      <c r="M2051" s="3"/>
      <c r="N2051" s="3"/>
      <c r="O2051" s="3"/>
      <c r="P2051" s="125"/>
      <c r="Q2051" s="125"/>
      <c r="R2051" s="127"/>
      <c r="S2051" s="123"/>
      <c r="T2051" s="3"/>
      <c r="W2051" s="86"/>
      <c r="Y2051" s="75"/>
    </row>
    <row r="2052" spans="1:25" x14ac:dyDescent="0.25">
      <c r="A2052" s="75"/>
      <c r="C2052" s="81"/>
      <c r="D2052" s="81"/>
      <c r="I2052" s="81"/>
      <c r="K2052" s="82"/>
      <c r="L2052" s="123"/>
      <c r="M2052" s="3"/>
      <c r="N2052" s="3"/>
      <c r="O2052" s="3"/>
      <c r="P2052" s="125"/>
      <c r="Q2052" s="125"/>
      <c r="R2052" s="127"/>
      <c r="S2052" s="123"/>
      <c r="T2052" s="3"/>
      <c r="W2052" s="86"/>
      <c r="Y2052" s="75"/>
    </row>
    <row r="2053" spans="1:25" x14ac:dyDescent="0.25">
      <c r="A2053" s="75"/>
      <c r="C2053" s="81"/>
      <c r="D2053" s="81"/>
      <c r="I2053" s="81"/>
      <c r="K2053" s="82"/>
      <c r="L2053" s="123"/>
      <c r="M2053" s="3"/>
      <c r="N2053" s="3"/>
      <c r="O2053" s="3"/>
      <c r="P2053" s="125"/>
      <c r="Q2053" s="125"/>
      <c r="R2053" s="127"/>
      <c r="S2053" s="123"/>
      <c r="T2053" s="3"/>
      <c r="W2053" s="86"/>
      <c r="Y2053" s="75"/>
    </row>
    <row r="2054" spans="1:25" x14ac:dyDescent="0.25">
      <c r="A2054" s="75"/>
      <c r="C2054" s="81"/>
      <c r="D2054" s="81"/>
      <c r="I2054" s="81"/>
      <c r="K2054" s="82"/>
      <c r="L2054" s="123"/>
      <c r="M2054" s="3"/>
      <c r="N2054" s="3"/>
      <c r="O2054" s="3"/>
      <c r="P2054" s="125"/>
      <c r="Q2054" s="125"/>
      <c r="R2054" s="127"/>
      <c r="S2054" s="123"/>
      <c r="T2054" s="3"/>
      <c r="W2054" s="86"/>
      <c r="Y2054" s="75"/>
    </row>
    <row r="2055" spans="1:25" x14ac:dyDescent="0.25">
      <c r="A2055" s="75"/>
      <c r="C2055" s="81"/>
      <c r="D2055" s="81"/>
      <c r="I2055" s="81"/>
      <c r="K2055" s="82"/>
      <c r="L2055" s="123"/>
      <c r="M2055" s="3"/>
      <c r="N2055" s="3"/>
      <c r="O2055" s="3"/>
      <c r="P2055" s="125"/>
      <c r="Q2055" s="125"/>
      <c r="R2055" s="127"/>
      <c r="S2055" s="123"/>
      <c r="T2055" s="3"/>
      <c r="W2055" s="86"/>
      <c r="Y2055" s="75"/>
    </row>
    <row r="2056" spans="1:25" x14ac:dyDescent="0.25">
      <c r="A2056" s="75"/>
      <c r="C2056" s="81"/>
      <c r="D2056" s="81"/>
      <c r="I2056" s="81"/>
      <c r="K2056" s="82"/>
      <c r="L2056" s="123"/>
      <c r="M2056" s="3"/>
      <c r="N2056" s="3"/>
      <c r="O2056" s="3"/>
      <c r="P2056" s="125"/>
      <c r="Q2056" s="125"/>
      <c r="R2056" s="127"/>
      <c r="S2056" s="123"/>
      <c r="T2056" s="3"/>
      <c r="W2056" s="86"/>
      <c r="Y2056" s="75"/>
    </row>
    <row r="2057" spans="1:25" x14ac:dyDescent="0.25">
      <c r="A2057" s="75"/>
      <c r="C2057" s="81"/>
      <c r="D2057" s="81"/>
      <c r="I2057" s="81"/>
      <c r="K2057" s="82"/>
      <c r="L2057" s="123"/>
      <c r="M2057" s="3"/>
      <c r="N2057" s="3"/>
      <c r="O2057" s="3"/>
      <c r="P2057" s="125"/>
      <c r="Q2057" s="125"/>
      <c r="R2057" s="127"/>
      <c r="S2057" s="123"/>
      <c r="T2057" s="3"/>
      <c r="W2057" s="86"/>
      <c r="Y2057" s="75"/>
    </row>
    <row r="2058" spans="1:25" x14ac:dyDescent="0.25">
      <c r="A2058" s="75"/>
      <c r="C2058" s="81"/>
      <c r="D2058" s="81"/>
      <c r="I2058" s="81"/>
      <c r="K2058" s="82"/>
      <c r="L2058" s="123"/>
      <c r="M2058" s="3"/>
      <c r="N2058" s="3"/>
      <c r="O2058" s="3"/>
      <c r="P2058" s="125"/>
      <c r="Q2058" s="125"/>
      <c r="R2058" s="127"/>
      <c r="S2058" s="123"/>
      <c r="T2058" s="3"/>
      <c r="W2058" s="86"/>
      <c r="Y2058" s="75"/>
    </row>
    <row r="2059" spans="1:25" x14ac:dyDescent="0.25">
      <c r="A2059" s="75"/>
      <c r="C2059" s="81"/>
      <c r="D2059" s="81"/>
      <c r="I2059" s="81"/>
      <c r="K2059" s="82"/>
      <c r="L2059" s="123"/>
      <c r="M2059" s="3"/>
      <c r="N2059" s="3"/>
      <c r="O2059" s="3"/>
      <c r="P2059" s="125"/>
      <c r="Q2059" s="125"/>
      <c r="R2059" s="127"/>
      <c r="S2059" s="123"/>
      <c r="T2059" s="3"/>
      <c r="W2059" s="86"/>
      <c r="Y2059" s="75"/>
    </row>
    <row r="2060" spans="1:25" x14ac:dyDescent="0.25">
      <c r="A2060" s="75"/>
      <c r="C2060" s="81"/>
      <c r="D2060" s="81"/>
      <c r="I2060" s="81"/>
      <c r="K2060" s="82"/>
      <c r="L2060" s="123"/>
      <c r="M2060" s="3"/>
      <c r="N2060" s="3"/>
      <c r="O2060" s="3"/>
      <c r="P2060" s="125"/>
      <c r="Q2060" s="125"/>
      <c r="R2060" s="127"/>
      <c r="S2060" s="123"/>
      <c r="T2060" s="3"/>
      <c r="W2060" s="86"/>
      <c r="Y2060" s="75"/>
    </row>
    <row r="2061" spans="1:25" x14ac:dyDescent="0.25">
      <c r="A2061" s="75"/>
      <c r="C2061" s="81"/>
      <c r="D2061" s="81"/>
      <c r="I2061" s="81"/>
      <c r="K2061" s="82"/>
      <c r="L2061" s="123"/>
      <c r="M2061" s="3"/>
      <c r="N2061" s="3"/>
      <c r="O2061" s="3"/>
      <c r="P2061" s="125"/>
      <c r="Q2061" s="125"/>
      <c r="R2061" s="127"/>
      <c r="S2061" s="123"/>
      <c r="T2061" s="3"/>
      <c r="W2061" s="86"/>
      <c r="Y2061" s="75"/>
    </row>
    <row r="2062" spans="1:25" x14ac:dyDescent="0.25">
      <c r="A2062" s="75"/>
      <c r="C2062" s="81"/>
      <c r="D2062" s="81"/>
      <c r="I2062" s="81"/>
      <c r="K2062" s="82"/>
      <c r="L2062" s="123"/>
      <c r="M2062" s="3"/>
      <c r="N2062" s="3"/>
      <c r="O2062" s="3"/>
      <c r="P2062" s="125"/>
      <c r="Q2062" s="125"/>
      <c r="R2062" s="127"/>
      <c r="S2062" s="123"/>
      <c r="T2062" s="3"/>
      <c r="W2062" s="86"/>
      <c r="Y2062" s="75"/>
    </row>
    <row r="2063" spans="1:25" x14ac:dyDescent="0.25">
      <c r="A2063" s="75"/>
      <c r="C2063" s="81"/>
      <c r="D2063" s="81"/>
      <c r="I2063" s="81"/>
      <c r="K2063" s="82"/>
      <c r="L2063" s="123"/>
      <c r="M2063" s="3"/>
      <c r="N2063" s="3"/>
      <c r="O2063" s="3"/>
      <c r="P2063" s="125"/>
      <c r="Q2063" s="125"/>
      <c r="R2063" s="127"/>
      <c r="S2063" s="123"/>
      <c r="T2063" s="3"/>
      <c r="W2063" s="86"/>
      <c r="Y2063" s="75"/>
    </row>
    <row r="2064" spans="1:25" x14ac:dyDescent="0.25">
      <c r="A2064" s="75"/>
      <c r="C2064" s="81"/>
      <c r="D2064" s="81"/>
      <c r="I2064" s="81"/>
      <c r="K2064" s="82"/>
      <c r="L2064" s="123"/>
      <c r="M2064" s="3"/>
      <c r="N2064" s="3"/>
      <c r="O2064" s="3"/>
      <c r="P2064" s="125"/>
      <c r="Q2064" s="125"/>
      <c r="R2064" s="127"/>
      <c r="S2064" s="123"/>
      <c r="T2064" s="3"/>
      <c r="W2064" s="86"/>
      <c r="Y2064" s="75"/>
    </row>
    <row r="2065" spans="1:25" x14ac:dyDescent="0.25">
      <c r="A2065" s="75"/>
      <c r="C2065" s="81"/>
      <c r="D2065" s="81"/>
      <c r="I2065" s="81"/>
      <c r="K2065" s="82"/>
      <c r="L2065" s="123"/>
      <c r="M2065" s="3"/>
      <c r="N2065" s="3"/>
      <c r="O2065" s="3"/>
      <c r="P2065" s="125"/>
      <c r="Q2065" s="125"/>
      <c r="R2065" s="127"/>
      <c r="S2065" s="123"/>
      <c r="T2065" s="3"/>
      <c r="W2065" s="86"/>
      <c r="Y2065" s="75"/>
    </row>
    <row r="2066" spans="1:25" x14ac:dyDescent="0.25">
      <c r="A2066" s="75"/>
      <c r="C2066" s="81"/>
      <c r="D2066" s="81"/>
      <c r="I2066" s="81"/>
      <c r="K2066" s="82"/>
      <c r="L2066" s="123"/>
      <c r="M2066" s="3"/>
      <c r="N2066" s="3"/>
      <c r="O2066" s="3"/>
      <c r="P2066" s="125"/>
      <c r="Q2066" s="125"/>
      <c r="R2066" s="127"/>
      <c r="S2066" s="123"/>
      <c r="T2066" s="3"/>
      <c r="W2066" s="86"/>
      <c r="Y2066" s="75"/>
    </row>
    <row r="2067" spans="1:25" x14ac:dyDescent="0.25">
      <c r="A2067" s="75"/>
      <c r="C2067" s="81"/>
      <c r="D2067" s="81"/>
      <c r="I2067" s="81"/>
      <c r="K2067" s="82"/>
      <c r="L2067" s="123"/>
      <c r="M2067" s="3"/>
      <c r="N2067" s="3"/>
      <c r="O2067" s="3"/>
      <c r="P2067" s="125"/>
      <c r="Q2067" s="125"/>
      <c r="R2067" s="127"/>
      <c r="S2067" s="123"/>
      <c r="T2067" s="3"/>
      <c r="W2067" s="86"/>
      <c r="Y2067" s="75"/>
    </row>
    <row r="2068" spans="1:25" x14ac:dyDescent="0.25">
      <c r="A2068" s="75"/>
      <c r="C2068" s="81"/>
      <c r="D2068" s="81"/>
      <c r="I2068" s="81"/>
      <c r="K2068" s="82"/>
      <c r="L2068" s="123"/>
      <c r="M2068" s="3"/>
      <c r="N2068" s="3"/>
      <c r="O2068" s="3"/>
      <c r="P2068" s="125"/>
      <c r="Q2068" s="125"/>
      <c r="R2068" s="127"/>
      <c r="S2068" s="123"/>
      <c r="T2068" s="3"/>
      <c r="W2068" s="86"/>
      <c r="Y2068" s="75"/>
    </row>
    <row r="2069" spans="1:25" x14ac:dyDescent="0.25">
      <c r="A2069" s="75"/>
      <c r="C2069" s="81"/>
      <c r="D2069" s="81"/>
      <c r="I2069" s="81"/>
      <c r="K2069" s="82"/>
      <c r="L2069" s="123"/>
      <c r="M2069" s="3"/>
      <c r="N2069" s="3"/>
      <c r="O2069" s="3"/>
      <c r="P2069" s="125"/>
      <c r="Q2069" s="125"/>
      <c r="R2069" s="127"/>
      <c r="S2069" s="123"/>
      <c r="T2069" s="3"/>
      <c r="W2069" s="86"/>
      <c r="Y2069" s="75"/>
    </row>
    <row r="2070" spans="1:25" x14ac:dyDescent="0.25">
      <c r="A2070" s="75"/>
      <c r="C2070" s="81"/>
      <c r="D2070" s="81"/>
      <c r="I2070" s="81"/>
      <c r="K2070" s="82"/>
      <c r="L2070" s="123"/>
      <c r="M2070" s="3"/>
      <c r="N2070" s="3"/>
      <c r="O2070" s="3"/>
      <c r="P2070" s="125"/>
      <c r="Q2070" s="125"/>
      <c r="R2070" s="127"/>
      <c r="S2070" s="123"/>
      <c r="T2070" s="3"/>
      <c r="W2070" s="86"/>
      <c r="Y2070" s="75"/>
    </row>
    <row r="2071" spans="1:25" x14ac:dyDescent="0.25">
      <c r="A2071" s="75"/>
      <c r="C2071" s="81"/>
      <c r="D2071" s="81"/>
      <c r="I2071" s="81"/>
      <c r="K2071" s="82"/>
      <c r="L2071" s="123"/>
      <c r="M2071" s="3"/>
      <c r="N2071" s="3"/>
      <c r="O2071" s="3"/>
      <c r="P2071" s="125"/>
      <c r="Q2071" s="125"/>
      <c r="R2071" s="127"/>
      <c r="S2071" s="123"/>
      <c r="T2071" s="3"/>
      <c r="W2071" s="86"/>
      <c r="Y2071" s="75"/>
    </row>
    <row r="2072" spans="1:25" x14ac:dyDescent="0.25">
      <c r="A2072" s="75"/>
      <c r="C2072" s="81"/>
      <c r="D2072" s="81"/>
      <c r="I2072" s="81"/>
      <c r="K2072" s="82"/>
      <c r="L2072" s="123"/>
      <c r="M2072" s="3"/>
      <c r="N2072" s="3"/>
      <c r="O2072" s="3"/>
      <c r="P2072" s="125"/>
      <c r="Q2072" s="125"/>
      <c r="R2072" s="127"/>
      <c r="S2072" s="123"/>
      <c r="T2072" s="3"/>
      <c r="W2072" s="86"/>
      <c r="Y2072" s="75"/>
    </row>
    <row r="2073" spans="1:25" x14ac:dyDescent="0.25">
      <c r="A2073" s="75"/>
      <c r="C2073" s="81"/>
      <c r="D2073" s="81"/>
      <c r="I2073" s="81"/>
      <c r="K2073" s="82"/>
      <c r="L2073" s="123"/>
      <c r="M2073" s="3"/>
      <c r="N2073" s="3"/>
      <c r="O2073" s="3"/>
      <c r="P2073" s="125"/>
      <c r="Q2073" s="125"/>
      <c r="R2073" s="127"/>
      <c r="S2073" s="123"/>
      <c r="T2073" s="3"/>
      <c r="W2073" s="86"/>
      <c r="Y2073" s="75"/>
    </row>
    <row r="2074" spans="1:25" x14ac:dyDescent="0.25">
      <c r="A2074" s="75"/>
      <c r="C2074" s="81"/>
      <c r="D2074" s="81"/>
      <c r="I2074" s="81"/>
      <c r="K2074" s="82"/>
      <c r="L2074" s="123"/>
      <c r="M2074" s="3"/>
      <c r="N2074" s="3"/>
      <c r="O2074" s="3"/>
      <c r="P2074" s="125"/>
      <c r="Q2074" s="125"/>
      <c r="R2074" s="127"/>
      <c r="S2074" s="123"/>
      <c r="T2074" s="3"/>
      <c r="W2074" s="86"/>
      <c r="Y2074" s="75"/>
    </row>
    <row r="2075" spans="1:25" x14ac:dyDescent="0.25">
      <c r="A2075" s="75"/>
      <c r="C2075" s="81"/>
      <c r="D2075" s="81"/>
      <c r="I2075" s="81"/>
      <c r="K2075" s="82"/>
      <c r="L2075" s="123"/>
      <c r="M2075" s="3"/>
      <c r="N2075" s="3"/>
      <c r="O2075" s="3"/>
      <c r="P2075" s="125"/>
      <c r="Q2075" s="125"/>
      <c r="R2075" s="127"/>
      <c r="S2075" s="123"/>
      <c r="T2075" s="3"/>
      <c r="W2075" s="86"/>
      <c r="Y2075" s="75"/>
    </row>
    <row r="2076" spans="1:25" x14ac:dyDescent="0.25">
      <c r="A2076" s="75"/>
      <c r="C2076" s="81"/>
      <c r="D2076" s="81"/>
      <c r="I2076" s="81"/>
      <c r="K2076" s="82"/>
      <c r="L2076" s="123"/>
      <c r="M2076" s="3"/>
      <c r="N2076" s="3"/>
      <c r="O2076" s="3"/>
      <c r="P2076" s="125"/>
      <c r="Q2076" s="125"/>
      <c r="R2076" s="127"/>
      <c r="S2076" s="123"/>
      <c r="T2076" s="3"/>
      <c r="W2076" s="86"/>
      <c r="Y2076" s="75"/>
    </row>
    <row r="2077" spans="1:25" x14ac:dyDescent="0.25">
      <c r="A2077" s="75"/>
      <c r="C2077" s="81"/>
      <c r="D2077" s="81"/>
      <c r="I2077" s="81"/>
      <c r="K2077" s="82"/>
      <c r="L2077" s="123"/>
      <c r="M2077" s="3"/>
      <c r="N2077" s="3"/>
      <c r="O2077" s="3"/>
      <c r="P2077" s="125"/>
      <c r="Q2077" s="125"/>
      <c r="R2077" s="127"/>
      <c r="S2077" s="123"/>
      <c r="T2077" s="3"/>
      <c r="W2077" s="86"/>
      <c r="Y2077" s="75"/>
    </row>
    <row r="2078" spans="1:25" x14ac:dyDescent="0.25">
      <c r="A2078" s="75"/>
      <c r="C2078" s="81"/>
      <c r="D2078" s="81"/>
      <c r="I2078" s="81"/>
      <c r="K2078" s="82"/>
      <c r="L2078" s="123"/>
      <c r="M2078" s="3"/>
      <c r="N2078" s="3"/>
      <c r="O2078" s="3"/>
      <c r="P2078" s="125"/>
      <c r="Q2078" s="125"/>
      <c r="R2078" s="127"/>
      <c r="S2078" s="123"/>
      <c r="T2078" s="3"/>
      <c r="W2078" s="86"/>
      <c r="Y2078" s="75"/>
    </row>
    <row r="2079" spans="1:25" x14ac:dyDescent="0.25">
      <c r="A2079" s="75"/>
      <c r="C2079" s="81"/>
      <c r="D2079" s="81"/>
      <c r="I2079" s="81"/>
      <c r="K2079" s="82"/>
      <c r="L2079" s="123"/>
      <c r="M2079" s="3"/>
      <c r="N2079" s="3"/>
      <c r="O2079" s="3"/>
      <c r="P2079" s="125"/>
      <c r="Q2079" s="125"/>
      <c r="R2079" s="127"/>
      <c r="S2079" s="123"/>
      <c r="T2079" s="3"/>
      <c r="W2079" s="86"/>
      <c r="Y2079" s="75"/>
    </row>
    <row r="2080" spans="1:25" x14ac:dyDescent="0.25">
      <c r="A2080" s="75"/>
      <c r="C2080" s="81"/>
      <c r="D2080" s="81"/>
      <c r="I2080" s="81"/>
      <c r="K2080" s="82"/>
      <c r="L2080" s="123"/>
      <c r="M2080" s="3"/>
      <c r="N2080" s="3"/>
      <c r="O2080" s="3"/>
      <c r="P2080" s="125"/>
      <c r="Q2080" s="125"/>
      <c r="R2080" s="127"/>
      <c r="S2080" s="123"/>
      <c r="T2080" s="3"/>
      <c r="W2080" s="86"/>
      <c r="Y2080" s="75"/>
    </row>
    <row r="2081" spans="1:25" x14ac:dyDescent="0.25">
      <c r="A2081" s="75"/>
      <c r="C2081" s="81"/>
      <c r="D2081" s="81"/>
      <c r="I2081" s="81"/>
      <c r="K2081" s="82"/>
      <c r="L2081" s="123"/>
      <c r="M2081" s="3"/>
      <c r="N2081" s="3"/>
      <c r="O2081" s="3"/>
      <c r="P2081" s="125"/>
      <c r="Q2081" s="125"/>
      <c r="R2081" s="127"/>
      <c r="S2081" s="123"/>
      <c r="T2081" s="3"/>
      <c r="W2081" s="86"/>
      <c r="Y2081" s="75"/>
    </row>
    <row r="2082" spans="1:25" x14ac:dyDescent="0.25">
      <c r="A2082" s="75"/>
      <c r="C2082" s="81"/>
      <c r="D2082" s="81"/>
      <c r="I2082" s="81"/>
      <c r="K2082" s="82"/>
      <c r="L2082" s="123"/>
      <c r="M2082" s="3"/>
      <c r="N2082" s="3"/>
      <c r="O2082" s="3"/>
      <c r="P2082" s="125"/>
      <c r="Q2082" s="125"/>
      <c r="R2082" s="127"/>
      <c r="S2082" s="123"/>
      <c r="T2082" s="3"/>
      <c r="W2082" s="86"/>
      <c r="Y2082" s="75"/>
    </row>
    <row r="2083" spans="1:25" x14ac:dyDescent="0.25">
      <c r="A2083" s="75"/>
      <c r="C2083" s="81"/>
      <c r="D2083" s="81"/>
      <c r="I2083" s="81"/>
      <c r="K2083" s="82"/>
      <c r="L2083" s="123"/>
      <c r="M2083" s="3"/>
      <c r="N2083" s="3"/>
      <c r="O2083" s="3"/>
      <c r="P2083" s="125"/>
      <c r="Q2083" s="125"/>
      <c r="R2083" s="127"/>
      <c r="S2083" s="123"/>
      <c r="T2083" s="3"/>
      <c r="W2083" s="86"/>
      <c r="Y2083" s="75"/>
    </row>
    <row r="2084" spans="1:25" x14ac:dyDescent="0.25">
      <c r="A2084" s="75"/>
      <c r="C2084" s="81"/>
      <c r="D2084" s="81"/>
      <c r="I2084" s="81"/>
      <c r="K2084" s="82"/>
      <c r="L2084" s="123"/>
      <c r="M2084" s="3"/>
      <c r="N2084" s="3"/>
      <c r="O2084" s="3"/>
      <c r="P2084" s="125"/>
      <c r="Q2084" s="125"/>
      <c r="R2084" s="127"/>
      <c r="S2084" s="123"/>
      <c r="T2084" s="3"/>
      <c r="W2084" s="86"/>
      <c r="Y2084" s="75"/>
    </row>
    <row r="2085" spans="1:25" x14ac:dyDescent="0.25">
      <c r="A2085" s="75"/>
      <c r="C2085" s="81"/>
      <c r="D2085" s="81"/>
      <c r="I2085" s="81"/>
      <c r="K2085" s="82"/>
      <c r="L2085" s="123"/>
      <c r="M2085" s="3"/>
      <c r="N2085" s="3"/>
      <c r="O2085" s="3"/>
      <c r="P2085" s="125"/>
      <c r="Q2085" s="125"/>
      <c r="R2085" s="127"/>
      <c r="S2085" s="123"/>
      <c r="T2085" s="3"/>
      <c r="W2085" s="86"/>
      <c r="Y2085" s="75"/>
    </row>
    <row r="2086" spans="1:25" x14ac:dyDescent="0.25">
      <c r="A2086" s="75"/>
      <c r="C2086" s="81"/>
      <c r="D2086" s="81"/>
      <c r="I2086" s="81"/>
      <c r="K2086" s="82"/>
      <c r="L2086" s="123"/>
      <c r="M2086" s="3"/>
      <c r="N2086" s="3"/>
      <c r="O2086" s="3"/>
      <c r="P2086" s="125"/>
      <c r="Q2086" s="125"/>
      <c r="R2086" s="127"/>
      <c r="S2086" s="123"/>
      <c r="T2086" s="3"/>
      <c r="W2086" s="86"/>
      <c r="Y2086" s="75"/>
    </row>
    <row r="2087" spans="1:25" x14ac:dyDescent="0.25">
      <c r="A2087" s="75"/>
      <c r="C2087" s="81"/>
      <c r="D2087" s="81"/>
      <c r="I2087" s="81"/>
      <c r="K2087" s="82"/>
      <c r="L2087" s="123"/>
      <c r="M2087" s="3"/>
      <c r="N2087" s="3"/>
      <c r="O2087" s="3"/>
      <c r="P2087" s="125"/>
      <c r="Q2087" s="125"/>
      <c r="R2087" s="127"/>
      <c r="S2087" s="123"/>
      <c r="T2087" s="3"/>
      <c r="W2087" s="86"/>
      <c r="Y2087" s="75"/>
    </row>
    <row r="2088" spans="1:25" x14ac:dyDescent="0.25">
      <c r="A2088" s="75"/>
      <c r="C2088" s="81"/>
      <c r="D2088" s="81"/>
      <c r="I2088" s="81"/>
      <c r="K2088" s="82"/>
      <c r="L2088" s="123"/>
      <c r="M2088" s="3"/>
      <c r="N2088" s="3"/>
      <c r="O2088" s="3"/>
      <c r="P2088" s="125"/>
      <c r="Q2088" s="125"/>
      <c r="R2088" s="127"/>
      <c r="S2088" s="123"/>
      <c r="T2088" s="3"/>
      <c r="W2088" s="86"/>
      <c r="Y2088" s="75"/>
    </row>
    <row r="2089" spans="1:25" x14ac:dyDescent="0.25">
      <c r="A2089" s="75"/>
      <c r="C2089" s="81"/>
      <c r="D2089" s="81"/>
      <c r="I2089" s="81"/>
      <c r="K2089" s="82"/>
      <c r="L2089" s="123"/>
      <c r="M2089" s="3"/>
      <c r="N2089" s="3"/>
      <c r="O2089" s="3"/>
      <c r="P2089" s="125"/>
      <c r="Q2089" s="125"/>
      <c r="R2089" s="127"/>
      <c r="S2089" s="123"/>
      <c r="T2089" s="3"/>
      <c r="W2089" s="86"/>
      <c r="Y2089" s="75"/>
    </row>
    <row r="2090" spans="1:25" x14ac:dyDescent="0.25">
      <c r="A2090" s="75"/>
      <c r="C2090" s="81"/>
      <c r="D2090" s="81"/>
      <c r="I2090" s="81"/>
      <c r="K2090" s="82"/>
      <c r="L2090" s="123"/>
      <c r="M2090" s="3"/>
      <c r="N2090" s="3"/>
      <c r="O2090" s="3"/>
      <c r="P2090" s="125"/>
      <c r="Q2090" s="125"/>
      <c r="R2090" s="127"/>
      <c r="S2090" s="123"/>
      <c r="T2090" s="3"/>
      <c r="W2090" s="86"/>
      <c r="Y2090" s="75"/>
    </row>
    <row r="2091" spans="1:25" x14ac:dyDescent="0.25">
      <c r="A2091" s="75"/>
      <c r="C2091" s="81"/>
      <c r="D2091" s="81"/>
      <c r="I2091" s="81"/>
      <c r="K2091" s="82"/>
      <c r="L2091" s="123"/>
      <c r="M2091" s="3"/>
      <c r="N2091" s="3"/>
      <c r="O2091" s="3"/>
      <c r="P2091" s="125"/>
      <c r="Q2091" s="125"/>
      <c r="R2091" s="127"/>
      <c r="S2091" s="123"/>
      <c r="T2091" s="3"/>
      <c r="W2091" s="86"/>
      <c r="Y2091" s="75"/>
    </row>
    <row r="2092" spans="1:25" x14ac:dyDescent="0.25">
      <c r="A2092" s="75"/>
      <c r="C2092" s="81"/>
      <c r="D2092" s="81"/>
      <c r="I2092" s="81"/>
      <c r="K2092" s="82"/>
      <c r="L2092" s="123"/>
      <c r="M2092" s="3"/>
      <c r="N2092" s="3"/>
      <c r="O2092" s="3"/>
      <c r="P2092" s="125"/>
      <c r="Q2092" s="125"/>
      <c r="R2092" s="127"/>
      <c r="S2092" s="123"/>
      <c r="T2092" s="3"/>
      <c r="W2092" s="86"/>
      <c r="Y2092" s="75"/>
    </row>
    <row r="2093" spans="1:25" x14ac:dyDescent="0.25">
      <c r="A2093" s="75"/>
      <c r="C2093" s="81"/>
      <c r="D2093" s="81"/>
      <c r="I2093" s="81"/>
      <c r="K2093" s="82"/>
      <c r="L2093" s="123"/>
      <c r="M2093" s="3"/>
      <c r="N2093" s="3"/>
      <c r="O2093" s="3"/>
      <c r="P2093" s="125"/>
      <c r="Q2093" s="125"/>
      <c r="R2093" s="127"/>
      <c r="S2093" s="123"/>
      <c r="T2093" s="3"/>
      <c r="W2093" s="86"/>
      <c r="Y2093" s="75"/>
    </row>
    <row r="2094" spans="1:25" x14ac:dyDescent="0.25">
      <c r="A2094" s="75"/>
      <c r="C2094" s="81"/>
      <c r="D2094" s="81"/>
      <c r="I2094" s="81"/>
      <c r="K2094" s="82"/>
      <c r="L2094" s="123"/>
      <c r="M2094" s="3"/>
      <c r="N2094" s="3"/>
      <c r="O2094" s="3"/>
      <c r="P2094" s="125"/>
      <c r="Q2094" s="125"/>
      <c r="R2094" s="127"/>
      <c r="S2094" s="123"/>
      <c r="T2094" s="3"/>
      <c r="W2094" s="86"/>
      <c r="Y2094" s="75"/>
    </row>
    <row r="2095" spans="1:25" x14ac:dyDescent="0.25">
      <c r="A2095" s="75"/>
      <c r="C2095" s="81"/>
      <c r="D2095" s="81"/>
      <c r="I2095" s="81"/>
      <c r="K2095" s="82"/>
      <c r="L2095" s="123"/>
      <c r="M2095" s="3"/>
      <c r="N2095" s="3"/>
      <c r="O2095" s="3"/>
      <c r="P2095" s="125"/>
      <c r="Q2095" s="125"/>
      <c r="R2095" s="127"/>
      <c r="S2095" s="123"/>
      <c r="T2095" s="3"/>
      <c r="W2095" s="86"/>
      <c r="Y2095" s="75"/>
    </row>
    <row r="2096" spans="1:25" x14ac:dyDescent="0.25">
      <c r="A2096" s="75"/>
      <c r="C2096" s="81"/>
      <c r="D2096" s="81"/>
      <c r="I2096" s="81"/>
      <c r="K2096" s="82"/>
      <c r="L2096" s="123"/>
      <c r="M2096" s="3"/>
      <c r="N2096" s="3"/>
      <c r="O2096" s="3"/>
      <c r="P2096" s="125"/>
      <c r="Q2096" s="125"/>
      <c r="R2096" s="127"/>
      <c r="S2096" s="123"/>
      <c r="T2096" s="3"/>
      <c r="W2096" s="86"/>
      <c r="Y2096" s="75"/>
    </row>
    <row r="2097" spans="1:25" x14ac:dyDescent="0.25">
      <c r="A2097" s="75"/>
      <c r="C2097" s="81"/>
      <c r="D2097" s="81"/>
      <c r="I2097" s="81"/>
      <c r="K2097" s="82"/>
      <c r="L2097" s="123"/>
      <c r="M2097" s="3"/>
      <c r="N2097" s="3"/>
      <c r="O2097" s="3"/>
      <c r="P2097" s="125"/>
      <c r="Q2097" s="125"/>
      <c r="R2097" s="127"/>
      <c r="S2097" s="123"/>
      <c r="T2097" s="3"/>
      <c r="W2097" s="86"/>
      <c r="Y2097" s="75"/>
    </row>
    <row r="2098" spans="1:25" x14ac:dyDescent="0.25">
      <c r="A2098" s="75"/>
      <c r="C2098" s="81"/>
      <c r="D2098" s="81"/>
      <c r="I2098" s="81"/>
      <c r="K2098" s="82"/>
      <c r="L2098" s="123"/>
      <c r="M2098" s="3"/>
      <c r="N2098" s="3"/>
      <c r="O2098" s="3"/>
      <c r="P2098" s="125"/>
      <c r="Q2098" s="125"/>
      <c r="R2098" s="127"/>
      <c r="S2098" s="123"/>
      <c r="T2098" s="3"/>
      <c r="W2098" s="86"/>
      <c r="Y2098" s="75"/>
    </row>
    <row r="2099" spans="1:25" x14ac:dyDescent="0.25">
      <c r="A2099" s="75"/>
      <c r="C2099" s="81"/>
      <c r="D2099" s="81"/>
      <c r="I2099" s="81"/>
      <c r="K2099" s="82"/>
      <c r="L2099" s="123"/>
      <c r="M2099" s="3"/>
      <c r="N2099" s="3"/>
      <c r="O2099" s="3"/>
      <c r="P2099" s="125"/>
      <c r="Q2099" s="125"/>
      <c r="R2099" s="127"/>
      <c r="S2099" s="123"/>
      <c r="T2099" s="3"/>
      <c r="W2099" s="86"/>
      <c r="Y2099" s="75"/>
    </row>
    <row r="2100" spans="1:25" x14ac:dyDescent="0.25">
      <c r="A2100" s="75"/>
      <c r="C2100" s="81"/>
      <c r="D2100" s="81"/>
      <c r="I2100" s="81"/>
      <c r="K2100" s="82"/>
      <c r="L2100" s="123"/>
      <c r="M2100" s="3"/>
      <c r="N2100" s="3"/>
      <c r="O2100" s="3"/>
      <c r="P2100" s="125"/>
      <c r="Q2100" s="125"/>
      <c r="R2100" s="127"/>
      <c r="S2100" s="123"/>
      <c r="T2100" s="3"/>
      <c r="W2100" s="86"/>
      <c r="Y2100" s="75"/>
    </row>
    <row r="2101" spans="1:25" x14ac:dyDescent="0.25">
      <c r="A2101" s="75"/>
      <c r="C2101" s="81"/>
      <c r="D2101" s="81"/>
      <c r="I2101" s="81"/>
      <c r="K2101" s="82"/>
      <c r="L2101" s="123"/>
      <c r="M2101" s="3"/>
      <c r="N2101" s="3"/>
      <c r="O2101" s="3"/>
      <c r="P2101" s="125"/>
      <c r="Q2101" s="125"/>
      <c r="R2101" s="127"/>
      <c r="S2101" s="123"/>
      <c r="T2101" s="3"/>
      <c r="W2101" s="86"/>
      <c r="Y2101" s="75"/>
    </row>
    <row r="2102" spans="1:25" x14ac:dyDescent="0.25">
      <c r="A2102" s="75"/>
      <c r="C2102" s="81"/>
      <c r="D2102" s="81"/>
      <c r="I2102" s="81"/>
      <c r="K2102" s="82"/>
      <c r="L2102" s="123"/>
      <c r="M2102" s="3"/>
      <c r="N2102" s="3"/>
      <c r="O2102" s="3"/>
      <c r="P2102" s="125"/>
      <c r="Q2102" s="125"/>
      <c r="R2102" s="127"/>
      <c r="S2102" s="123"/>
      <c r="T2102" s="3"/>
      <c r="W2102" s="86"/>
      <c r="Y2102" s="75"/>
    </row>
    <row r="2103" spans="1:25" x14ac:dyDescent="0.25">
      <c r="A2103" s="75"/>
      <c r="C2103" s="81"/>
      <c r="D2103" s="81"/>
      <c r="I2103" s="81"/>
      <c r="K2103" s="82"/>
      <c r="L2103" s="123"/>
      <c r="M2103" s="3"/>
      <c r="N2103" s="3"/>
      <c r="O2103" s="3"/>
      <c r="P2103" s="125"/>
      <c r="Q2103" s="125"/>
      <c r="R2103" s="127"/>
      <c r="S2103" s="123"/>
      <c r="T2103" s="3"/>
      <c r="W2103" s="86"/>
      <c r="Y2103" s="75"/>
    </row>
    <row r="2104" spans="1:25" x14ac:dyDescent="0.25">
      <c r="A2104" s="75"/>
      <c r="C2104" s="81"/>
      <c r="D2104" s="81"/>
      <c r="I2104" s="81"/>
      <c r="K2104" s="82"/>
      <c r="L2104" s="123"/>
      <c r="M2104" s="3"/>
      <c r="N2104" s="3"/>
      <c r="O2104" s="3"/>
      <c r="P2104" s="125"/>
      <c r="Q2104" s="125"/>
      <c r="R2104" s="127"/>
      <c r="S2104" s="123"/>
      <c r="T2104" s="3"/>
      <c r="W2104" s="86"/>
      <c r="Y2104" s="75"/>
    </row>
    <row r="2105" spans="1:25" x14ac:dyDescent="0.25">
      <c r="A2105" s="75"/>
      <c r="C2105" s="81"/>
      <c r="D2105" s="81"/>
      <c r="I2105" s="81"/>
      <c r="K2105" s="82"/>
      <c r="L2105" s="123"/>
      <c r="M2105" s="3"/>
      <c r="N2105" s="3"/>
      <c r="O2105" s="3"/>
      <c r="P2105" s="125"/>
      <c r="Q2105" s="125"/>
      <c r="R2105" s="127"/>
      <c r="S2105" s="123"/>
      <c r="T2105" s="3"/>
      <c r="W2105" s="86"/>
      <c r="Y2105" s="75"/>
    </row>
    <row r="2106" spans="1:25" x14ac:dyDescent="0.25">
      <c r="A2106" s="75"/>
      <c r="C2106" s="81"/>
      <c r="D2106" s="81"/>
      <c r="I2106" s="81"/>
      <c r="K2106" s="82"/>
      <c r="L2106" s="123"/>
      <c r="M2106" s="3"/>
      <c r="N2106" s="3"/>
      <c r="O2106" s="3"/>
      <c r="P2106" s="125"/>
      <c r="Q2106" s="125"/>
      <c r="R2106" s="127"/>
      <c r="S2106" s="123"/>
      <c r="T2106" s="3"/>
      <c r="W2106" s="86"/>
      <c r="Y2106" s="75"/>
    </row>
    <row r="2107" spans="1:25" x14ac:dyDescent="0.25">
      <c r="A2107" s="75"/>
      <c r="C2107" s="81"/>
      <c r="D2107" s="81"/>
      <c r="I2107" s="81"/>
      <c r="K2107" s="82"/>
      <c r="L2107" s="123"/>
      <c r="M2107" s="3"/>
      <c r="N2107" s="3"/>
      <c r="O2107" s="3"/>
      <c r="P2107" s="125"/>
      <c r="Q2107" s="125"/>
      <c r="R2107" s="127"/>
      <c r="S2107" s="123"/>
      <c r="T2107" s="3"/>
      <c r="W2107" s="86"/>
      <c r="Y2107" s="75"/>
    </row>
    <row r="2108" spans="1:25" x14ac:dyDescent="0.25">
      <c r="A2108" s="75"/>
      <c r="C2108" s="81"/>
      <c r="D2108" s="81"/>
      <c r="I2108" s="81"/>
      <c r="K2108" s="82"/>
      <c r="L2108" s="123"/>
      <c r="M2108" s="3"/>
      <c r="N2108" s="3"/>
      <c r="O2108" s="3"/>
      <c r="P2108" s="125"/>
      <c r="Q2108" s="125"/>
      <c r="R2108" s="127"/>
      <c r="S2108" s="123"/>
      <c r="T2108" s="3"/>
      <c r="W2108" s="86"/>
      <c r="Y2108" s="75"/>
    </row>
    <row r="2109" spans="1:25" x14ac:dyDescent="0.25">
      <c r="A2109" s="75"/>
      <c r="C2109" s="81"/>
      <c r="D2109" s="81"/>
      <c r="I2109" s="81"/>
      <c r="K2109" s="82"/>
      <c r="L2109" s="123"/>
      <c r="M2109" s="3"/>
      <c r="N2109" s="3"/>
      <c r="O2109" s="3"/>
      <c r="P2109" s="125"/>
      <c r="Q2109" s="125"/>
      <c r="R2109" s="127"/>
      <c r="S2109" s="123"/>
      <c r="T2109" s="3"/>
      <c r="W2109" s="86"/>
      <c r="Y2109" s="75"/>
    </row>
    <row r="2110" spans="1:25" x14ac:dyDescent="0.25">
      <c r="A2110" s="75"/>
      <c r="C2110" s="81"/>
      <c r="D2110" s="81"/>
      <c r="I2110" s="81"/>
      <c r="K2110" s="82"/>
      <c r="L2110" s="123"/>
      <c r="M2110" s="3"/>
      <c r="N2110" s="3"/>
      <c r="O2110" s="3"/>
      <c r="P2110" s="125"/>
      <c r="Q2110" s="125"/>
      <c r="R2110" s="127"/>
      <c r="S2110" s="123"/>
      <c r="T2110" s="3"/>
      <c r="W2110" s="86"/>
      <c r="Y2110" s="75"/>
    </row>
    <row r="2111" spans="1:25" x14ac:dyDescent="0.25">
      <c r="A2111" s="75"/>
      <c r="C2111" s="81"/>
      <c r="D2111" s="81"/>
      <c r="I2111" s="81"/>
      <c r="K2111" s="82"/>
      <c r="L2111" s="123"/>
      <c r="M2111" s="3"/>
      <c r="N2111" s="3"/>
      <c r="O2111" s="3"/>
      <c r="P2111" s="125"/>
      <c r="Q2111" s="125"/>
      <c r="R2111" s="127"/>
      <c r="S2111" s="123"/>
      <c r="T2111" s="3"/>
      <c r="W2111" s="86"/>
      <c r="Y2111" s="75"/>
    </row>
    <row r="2112" spans="1:25" x14ac:dyDescent="0.25">
      <c r="A2112" s="75"/>
      <c r="C2112" s="81"/>
      <c r="D2112" s="81"/>
      <c r="I2112" s="81"/>
      <c r="K2112" s="82"/>
      <c r="L2112" s="123"/>
      <c r="M2112" s="3"/>
      <c r="N2112" s="3"/>
      <c r="O2112" s="3"/>
      <c r="P2112" s="125"/>
      <c r="Q2112" s="125"/>
      <c r="R2112" s="127"/>
      <c r="S2112" s="123"/>
      <c r="T2112" s="3"/>
      <c r="W2112" s="86"/>
      <c r="Y2112" s="75"/>
    </row>
    <row r="2113" spans="1:25" x14ac:dyDescent="0.25">
      <c r="A2113" s="75"/>
      <c r="C2113" s="81"/>
      <c r="D2113" s="81"/>
      <c r="I2113" s="81"/>
      <c r="K2113" s="82"/>
      <c r="L2113" s="123"/>
      <c r="M2113" s="3"/>
      <c r="N2113" s="3"/>
      <c r="O2113" s="3"/>
      <c r="P2113" s="125"/>
      <c r="Q2113" s="125"/>
      <c r="R2113" s="127"/>
      <c r="S2113" s="123"/>
      <c r="T2113" s="3"/>
      <c r="W2113" s="86"/>
      <c r="Y2113" s="75"/>
    </row>
    <row r="2114" spans="1:25" x14ac:dyDescent="0.25">
      <c r="A2114" s="75"/>
      <c r="C2114" s="81"/>
      <c r="D2114" s="81"/>
      <c r="I2114" s="81"/>
      <c r="K2114" s="82"/>
      <c r="L2114" s="123"/>
      <c r="M2114" s="3"/>
      <c r="N2114" s="3"/>
      <c r="O2114" s="3"/>
      <c r="P2114" s="125"/>
      <c r="Q2114" s="125"/>
      <c r="R2114" s="127"/>
      <c r="S2114" s="123"/>
      <c r="T2114" s="3"/>
      <c r="W2114" s="86"/>
      <c r="Y2114" s="75"/>
    </row>
    <row r="2115" spans="1:25" x14ac:dyDescent="0.25">
      <c r="A2115" s="75"/>
      <c r="C2115" s="81"/>
      <c r="D2115" s="81"/>
      <c r="I2115" s="81"/>
      <c r="K2115" s="82"/>
      <c r="L2115" s="123"/>
      <c r="M2115" s="3"/>
      <c r="N2115" s="3"/>
      <c r="O2115" s="3"/>
      <c r="P2115" s="125"/>
      <c r="Q2115" s="125"/>
      <c r="R2115" s="127"/>
      <c r="S2115" s="123"/>
      <c r="T2115" s="3"/>
      <c r="W2115" s="86"/>
      <c r="Y2115" s="75"/>
    </row>
    <row r="2116" spans="1:25" x14ac:dyDescent="0.25">
      <c r="A2116" s="75"/>
      <c r="C2116" s="81"/>
      <c r="D2116" s="81"/>
      <c r="I2116" s="81"/>
      <c r="K2116" s="82"/>
      <c r="L2116" s="123"/>
      <c r="M2116" s="3"/>
      <c r="N2116" s="3"/>
      <c r="O2116" s="3"/>
      <c r="P2116" s="125"/>
      <c r="Q2116" s="125"/>
      <c r="R2116" s="127"/>
      <c r="S2116" s="123"/>
      <c r="T2116" s="3"/>
      <c r="W2116" s="86"/>
      <c r="Y2116" s="75"/>
    </row>
    <row r="2117" spans="1:25" x14ac:dyDescent="0.25">
      <c r="A2117" s="75"/>
      <c r="C2117" s="81"/>
      <c r="D2117" s="81"/>
      <c r="I2117" s="81"/>
      <c r="K2117" s="82"/>
      <c r="L2117" s="123"/>
      <c r="M2117" s="3"/>
      <c r="N2117" s="3"/>
      <c r="O2117" s="3"/>
      <c r="P2117" s="125"/>
      <c r="Q2117" s="125"/>
      <c r="R2117" s="127"/>
      <c r="S2117" s="123"/>
      <c r="T2117" s="3"/>
      <c r="W2117" s="86"/>
      <c r="Y2117" s="75"/>
    </row>
    <row r="2118" spans="1:25" x14ac:dyDescent="0.25">
      <c r="A2118" s="75"/>
      <c r="C2118" s="81"/>
      <c r="D2118" s="81"/>
      <c r="I2118" s="81"/>
      <c r="K2118" s="82"/>
      <c r="L2118" s="123"/>
      <c r="M2118" s="3"/>
      <c r="N2118" s="3"/>
      <c r="O2118" s="3"/>
      <c r="P2118" s="125"/>
      <c r="Q2118" s="125"/>
      <c r="R2118" s="127"/>
      <c r="S2118" s="123"/>
      <c r="T2118" s="3"/>
      <c r="W2118" s="86"/>
      <c r="Y2118" s="75"/>
    </row>
    <row r="2119" spans="1:25" x14ac:dyDescent="0.25">
      <c r="A2119" s="75"/>
      <c r="C2119" s="81"/>
      <c r="D2119" s="81"/>
      <c r="I2119" s="81"/>
      <c r="K2119" s="82"/>
      <c r="L2119" s="123"/>
      <c r="M2119" s="3"/>
      <c r="N2119" s="3"/>
      <c r="O2119" s="3"/>
      <c r="P2119" s="125"/>
      <c r="Q2119" s="125"/>
      <c r="R2119" s="127"/>
      <c r="S2119" s="123"/>
      <c r="T2119" s="3"/>
      <c r="W2119" s="86"/>
      <c r="Y2119" s="75"/>
    </row>
    <row r="2120" spans="1:25" x14ac:dyDescent="0.25">
      <c r="A2120" s="75"/>
      <c r="C2120" s="81"/>
      <c r="D2120" s="81"/>
      <c r="I2120" s="81"/>
      <c r="K2120" s="82"/>
      <c r="L2120" s="123"/>
      <c r="M2120" s="3"/>
      <c r="N2120" s="3"/>
      <c r="O2120" s="3"/>
      <c r="P2120" s="125"/>
      <c r="Q2120" s="125"/>
      <c r="R2120" s="127"/>
      <c r="S2120" s="123"/>
      <c r="T2120" s="3"/>
      <c r="W2120" s="86"/>
      <c r="Y2120" s="75"/>
    </row>
    <row r="2121" spans="1:25" x14ac:dyDescent="0.25">
      <c r="A2121" s="75"/>
      <c r="C2121" s="81"/>
      <c r="D2121" s="81"/>
      <c r="I2121" s="81"/>
      <c r="K2121" s="82"/>
      <c r="L2121" s="123"/>
      <c r="M2121" s="3"/>
      <c r="N2121" s="3"/>
      <c r="O2121" s="3"/>
      <c r="P2121" s="125"/>
      <c r="Q2121" s="125"/>
      <c r="R2121" s="127"/>
      <c r="S2121" s="123"/>
      <c r="T2121" s="3"/>
      <c r="W2121" s="86"/>
      <c r="Y2121" s="75"/>
    </row>
    <row r="2122" spans="1:25" x14ac:dyDescent="0.25">
      <c r="A2122" s="75"/>
      <c r="C2122" s="81"/>
      <c r="D2122" s="81"/>
      <c r="I2122" s="81"/>
      <c r="K2122" s="82"/>
      <c r="L2122" s="123"/>
      <c r="M2122" s="3"/>
      <c r="N2122" s="3"/>
      <c r="O2122" s="3"/>
      <c r="P2122" s="125"/>
      <c r="Q2122" s="125"/>
      <c r="R2122" s="127"/>
      <c r="S2122" s="123"/>
      <c r="T2122" s="3"/>
      <c r="W2122" s="86"/>
      <c r="Y2122" s="75"/>
    </row>
    <row r="2123" spans="1:25" x14ac:dyDescent="0.25">
      <c r="A2123" s="75"/>
      <c r="C2123" s="81"/>
      <c r="D2123" s="81"/>
      <c r="I2123" s="81"/>
      <c r="K2123" s="82"/>
      <c r="L2123" s="123"/>
      <c r="M2123" s="3"/>
      <c r="N2123" s="3"/>
      <c r="O2123" s="3"/>
      <c r="P2123" s="125"/>
      <c r="Q2123" s="125"/>
      <c r="R2123" s="127"/>
      <c r="S2123" s="123"/>
      <c r="T2123" s="3"/>
      <c r="W2123" s="86"/>
      <c r="Y2123" s="75"/>
    </row>
    <row r="2124" spans="1:25" x14ac:dyDescent="0.25">
      <c r="A2124" s="75"/>
      <c r="C2124" s="81"/>
      <c r="D2124" s="81"/>
      <c r="I2124" s="81"/>
      <c r="K2124" s="82"/>
      <c r="L2124" s="123"/>
      <c r="M2124" s="3"/>
      <c r="N2124" s="3"/>
      <c r="O2124" s="3"/>
      <c r="P2124" s="125"/>
      <c r="Q2124" s="125"/>
      <c r="R2124" s="127"/>
      <c r="S2124" s="123"/>
      <c r="T2124" s="3"/>
      <c r="W2124" s="86"/>
      <c r="Y2124" s="75"/>
    </row>
    <row r="2125" spans="1:25" x14ac:dyDescent="0.25">
      <c r="A2125" s="75"/>
      <c r="C2125" s="81"/>
      <c r="D2125" s="81"/>
      <c r="I2125" s="81"/>
      <c r="K2125" s="82"/>
      <c r="L2125" s="123"/>
      <c r="M2125" s="3"/>
      <c r="N2125" s="3"/>
      <c r="O2125" s="3"/>
      <c r="P2125" s="125"/>
      <c r="Q2125" s="125"/>
      <c r="R2125" s="127"/>
      <c r="S2125" s="123"/>
      <c r="T2125" s="3"/>
      <c r="W2125" s="86"/>
      <c r="Y2125" s="75"/>
    </row>
    <row r="2126" spans="1:25" x14ac:dyDescent="0.25">
      <c r="A2126" s="75"/>
      <c r="C2126" s="81"/>
      <c r="D2126" s="81"/>
      <c r="I2126" s="81"/>
      <c r="K2126" s="82"/>
      <c r="L2126" s="123"/>
      <c r="M2126" s="3"/>
      <c r="N2126" s="3"/>
      <c r="O2126" s="3"/>
      <c r="P2126" s="125"/>
      <c r="Q2126" s="125"/>
      <c r="R2126" s="127"/>
      <c r="S2126" s="123"/>
      <c r="T2126" s="3"/>
      <c r="W2126" s="86"/>
      <c r="Y2126" s="75"/>
    </row>
    <row r="2127" spans="1:25" x14ac:dyDescent="0.25">
      <c r="A2127" s="75"/>
      <c r="C2127" s="81"/>
      <c r="D2127" s="81"/>
      <c r="I2127" s="81"/>
      <c r="K2127" s="82"/>
      <c r="L2127" s="123"/>
      <c r="M2127" s="3"/>
      <c r="N2127" s="3"/>
      <c r="O2127" s="3"/>
      <c r="P2127" s="125"/>
      <c r="Q2127" s="125"/>
      <c r="R2127" s="127"/>
      <c r="S2127" s="123"/>
      <c r="T2127" s="3"/>
      <c r="W2127" s="86"/>
      <c r="Y2127" s="75"/>
    </row>
    <row r="2128" spans="1:25" x14ac:dyDescent="0.25">
      <c r="A2128" s="75"/>
      <c r="C2128" s="81"/>
      <c r="D2128" s="81"/>
      <c r="I2128" s="81"/>
      <c r="K2128" s="82"/>
      <c r="L2128" s="123"/>
      <c r="M2128" s="3"/>
      <c r="N2128" s="3"/>
      <c r="O2128" s="3"/>
      <c r="P2128" s="125"/>
      <c r="Q2128" s="125"/>
      <c r="R2128" s="127"/>
      <c r="S2128" s="123"/>
      <c r="T2128" s="3"/>
      <c r="W2128" s="86"/>
      <c r="Y2128" s="75"/>
    </row>
    <row r="2129" spans="1:25" x14ac:dyDescent="0.25">
      <c r="A2129" s="75"/>
      <c r="C2129" s="81"/>
      <c r="D2129" s="81"/>
      <c r="I2129" s="81"/>
      <c r="K2129" s="82"/>
      <c r="L2129" s="123"/>
      <c r="M2129" s="3"/>
      <c r="N2129" s="3"/>
      <c r="O2129" s="3"/>
      <c r="P2129" s="125"/>
      <c r="Q2129" s="125"/>
      <c r="R2129" s="127"/>
      <c r="S2129" s="123"/>
      <c r="T2129" s="3"/>
      <c r="W2129" s="86"/>
      <c r="Y2129" s="75"/>
    </row>
    <row r="2130" spans="1:25" x14ac:dyDescent="0.25">
      <c r="A2130" s="75"/>
      <c r="C2130" s="81"/>
      <c r="D2130" s="81"/>
      <c r="I2130" s="81"/>
      <c r="K2130" s="82"/>
      <c r="L2130" s="123"/>
      <c r="M2130" s="3"/>
      <c r="N2130" s="3"/>
      <c r="O2130" s="3"/>
      <c r="P2130" s="125"/>
      <c r="Q2130" s="125"/>
      <c r="R2130" s="127"/>
      <c r="S2130" s="123"/>
      <c r="T2130" s="3"/>
      <c r="W2130" s="86"/>
      <c r="Y2130" s="75"/>
    </row>
    <row r="2131" spans="1:25" x14ac:dyDescent="0.25">
      <c r="A2131" s="75"/>
      <c r="C2131" s="81"/>
      <c r="D2131" s="81"/>
      <c r="I2131" s="81"/>
      <c r="K2131" s="82"/>
      <c r="L2131" s="123"/>
      <c r="M2131" s="3"/>
      <c r="N2131" s="3"/>
      <c r="O2131" s="3"/>
      <c r="P2131" s="125"/>
      <c r="Q2131" s="125"/>
      <c r="R2131" s="127"/>
      <c r="S2131" s="123"/>
      <c r="T2131" s="3"/>
      <c r="W2131" s="86"/>
      <c r="Y2131" s="75"/>
    </row>
    <row r="2132" spans="1:25" x14ac:dyDescent="0.25">
      <c r="A2132" s="75"/>
      <c r="C2132" s="81"/>
      <c r="D2132" s="81"/>
      <c r="I2132" s="81"/>
      <c r="K2132" s="82"/>
      <c r="L2132" s="123"/>
      <c r="M2132" s="3"/>
      <c r="N2132" s="3"/>
      <c r="O2132" s="3"/>
      <c r="P2132" s="125"/>
      <c r="Q2132" s="125"/>
      <c r="R2132" s="127"/>
      <c r="S2132" s="123"/>
      <c r="T2132" s="3"/>
      <c r="W2132" s="86"/>
      <c r="Y2132" s="75"/>
    </row>
    <row r="2133" spans="1:25" x14ac:dyDescent="0.25">
      <c r="A2133" s="75"/>
      <c r="C2133" s="81"/>
      <c r="D2133" s="81"/>
      <c r="I2133" s="81"/>
      <c r="K2133" s="82"/>
      <c r="L2133" s="123"/>
      <c r="M2133" s="3"/>
      <c r="N2133" s="3"/>
      <c r="O2133" s="3"/>
      <c r="P2133" s="125"/>
      <c r="Q2133" s="125"/>
      <c r="R2133" s="127"/>
      <c r="S2133" s="123"/>
      <c r="T2133" s="3"/>
      <c r="W2133" s="86"/>
      <c r="Y2133" s="75"/>
    </row>
    <row r="2134" spans="1:25" x14ac:dyDescent="0.25">
      <c r="A2134" s="75"/>
      <c r="C2134" s="81"/>
      <c r="D2134" s="81"/>
      <c r="I2134" s="81"/>
      <c r="K2134" s="82"/>
      <c r="L2134" s="123"/>
      <c r="M2134" s="3"/>
      <c r="N2134" s="3"/>
      <c r="O2134" s="3"/>
      <c r="P2134" s="125"/>
      <c r="Q2134" s="125"/>
      <c r="R2134" s="127"/>
      <c r="S2134" s="123"/>
      <c r="T2134" s="3"/>
      <c r="W2134" s="86"/>
      <c r="Y2134" s="75"/>
    </row>
    <row r="2135" spans="1:25" x14ac:dyDescent="0.25">
      <c r="A2135" s="75"/>
      <c r="C2135" s="81"/>
      <c r="D2135" s="81"/>
      <c r="I2135" s="81"/>
      <c r="K2135" s="82"/>
      <c r="L2135" s="123"/>
      <c r="M2135" s="3"/>
      <c r="N2135" s="3"/>
      <c r="O2135" s="3"/>
      <c r="P2135" s="125"/>
      <c r="Q2135" s="125"/>
      <c r="R2135" s="127"/>
      <c r="S2135" s="123"/>
      <c r="T2135" s="3"/>
      <c r="W2135" s="86"/>
      <c r="Y2135" s="75"/>
    </row>
    <row r="2136" spans="1:25" x14ac:dyDescent="0.25">
      <c r="A2136" s="75"/>
      <c r="C2136" s="81"/>
      <c r="D2136" s="81"/>
      <c r="I2136" s="81"/>
      <c r="K2136" s="82"/>
      <c r="L2136" s="123"/>
      <c r="M2136" s="3"/>
      <c r="N2136" s="3"/>
      <c r="O2136" s="3"/>
      <c r="P2136" s="125"/>
      <c r="Q2136" s="125"/>
      <c r="R2136" s="127"/>
      <c r="S2136" s="123"/>
      <c r="T2136" s="3"/>
      <c r="W2136" s="86"/>
      <c r="Y2136" s="75"/>
    </row>
    <row r="2137" spans="1:25" x14ac:dyDescent="0.25">
      <c r="A2137" s="75"/>
      <c r="C2137" s="81"/>
      <c r="D2137" s="81"/>
      <c r="I2137" s="81"/>
      <c r="K2137" s="82"/>
      <c r="L2137" s="123"/>
      <c r="M2137" s="3"/>
      <c r="N2137" s="3"/>
      <c r="O2137" s="3"/>
      <c r="P2137" s="125"/>
      <c r="Q2137" s="125"/>
      <c r="R2137" s="127"/>
      <c r="S2137" s="123"/>
      <c r="T2137" s="3"/>
      <c r="W2137" s="86"/>
      <c r="Y2137" s="75"/>
    </row>
    <row r="2138" spans="1:25" x14ac:dyDescent="0.25">
      <c r="A2138" s="75"/>
      <c r="C2138" s="81"/>
      <c r="D2138" s="81"/>
      <c r="I2138" s="81"/>
      <c r="K2138" s="82"/>
      <c r="L2138" s="123"/>
      <c r="M2138" s="3"/>
      <c r="N2138" s="3"/>
      <c r="O2138" s="3"/>
      <c r="P2138" s="125"/>
      <c r="Q2138" s="125"/>
      <c r="R2138" s="127"/>
      <c r="S2138" s="123"/>
      <c r="T2138" s="3"/>
      <c r="W2138" s="86"/>
      <c r="Y2138" s="75"/>
    </row>
    <row r="2139" spans="1:25" x14ac:dyDescent="0.25">
      <c r="A2139" s="75"/>
      <c r="C2139" s="81"/>
      <c r="D2139" s="81"/>
      <c r="I2139" s="81"/>
      <c r="K2139" s="82"/>
      <c r="L2139" s="123"/>
      <c r="M2139" s="3"/>
      <c r="N2139" s="3"/>
      <c r="O2139" s="3"/>
      <c r="P2139" s="125"/>
      <c r="Q2139" s="125"/>
      <c r="R2139" s="127"/>
      <c r="S2139" s="123"/>
      <c r="T2139" s="3"/>
      <c r="W2139" s="86"/>
      <c r="Y2139" s="75"/>
    </row>
    <row r="2140" spans="1:25" x14ac:dyDescent="0.25">
      <c r="A2140" s="75"/>
      <c r="C2140" s="81"/>
      <c r="D2140" s="81"/>
      <c r="I2140" s="81"/>
      <c r="K2140" s="82"/>
      <c r="L2140" s="123"/>
      <c r="M2140" s="3"/>
      <c r="N2140" s="3"/>
      <c r="O2140" s="3"/>
      <c r="P2140" s="125"/>
      <c r="Q2140" s="125"/>
      <c r="R2140" s="127"/>
      <c r="S2140" s="123"/>
      <c r="T2140" s="3"/>
      <c r="W2140" s="86"/>
      <c r="Y2140" s="75"/>
    </row>
    <row r="2141" spans="1:25" x14ac:dyDescent="0.25">
      <c r="A2141" s="75"/>
      <c r="C2141" s="81"/>
      <c r="D2141" s="81"/>
      <c r="I2141" s="81"/>
      <c r="K2141" s="82"/>
      <c r="L2141" s="123"/>
      <c r="M2141" s="3"/>
      <c r="N2141" s="3"/>
      <c r="O2141" s="3"/>
      <c r="P2141" s="125"/>
      <c r="Q2141" s="125"/>
      <c r="R2141" s="127"/>
      <c r="S2141" s="123"/>
      <c r="T2141" s="3"/>
      <c r="W2141" s="86"/>
      <c r="Y2141" s="75"/>
    </row>
    <row r="2142" spans="1:25" x14ac:dyDescent="0.25">
      <c r="A2142" s="75"/>
      <c r="C2142" s="81"/>
      <c r="D2142" s="81"/>
      <c r="I2142" s="81"/>
      <c r="K2142" s="82"/>
      <c r="L2142" s="123"/>
      <c r="M2142" s="3"/>
      <c r="N2142" s="3"/>
      <c r="O2142" s="3"/>
      <c r="P2142" s="125"/>
      <c r="Q2142" s="125"/>
      <c r="R2142" s="127"/>
      <c r="S2142" s="123"/>
      <c r="T2142" s="3"/>
      <c r="W2142" s="86"/>
      <c r="Y2142" s="75"/>
    </row>
    <row r="2143" spans="1:25" x14ac:dyDescent="0.25">
      <c r="A2143" s="75"/>
      <c r="C2143" s="81"/>
      <c r="D2143" s="81"/>
      <c r="I2143" s="81"/>
      <c r="K2143" s="82"/>
      <c r="L2143" s="123"/>
      <c r="M2143" s="3"/>
      <c r="N2143" s="3"/>
      <c r="O2143" s="3"/>
      <c r="P2143" s="125"/>
      <c r="Q2143" s="125"/>
      <c r="R2143" s="127"/>
      <c r="S2143" s="123"/>
      <c r="T2143" s="3"/>
      <c r="W2143" s="86"/>
      <c r="Y2143" s="75"/>
    </row>
    <row r="2144" spans="1:25" x14ac:dyDescent="0.25">
      <c r="A2144" s="75"/>
      <c r="C2144" s="81"/>
      <c r="D2144" s="81"/>
      <c r="I2144" s="81"/>
      <c r="K2144" s="82"/>
      <c r="L2144" s="123"/>
      <c r="M2144" s="3"/>
      <c r="N2144" s="3"/>
      <c r="O2144" s="3"/>
      <c r="P2144" s="125"/>
      <c r="Q2144" s="125"/>
      <c r="R2144" s="127"/>
      <c r="S2144" s="123"/>
      <c r="T2144" s="3"/>
      <c r="W2144" s="86"/>
      <c r="Y2144" s="75"/>
    </row>
    <row r="2145" spans="1:25" x14ac:dyDescent="0.25">
      <c r="A2145" s="75"/>
      <c r="C2145" s="81"/>
      <c r="D2145" s="81"/>
      <c r="I2145" s="81"/>
      <c r="K2145" s="82"/>
      <c r="L2145" s="123"/>
      <c r="M2145" s="3"/>
      <c r="N2145" s="3"/>
      <c r="O2145" s="3"/>
      <c r="P2145" s="125"/>
      <c r="Q2145" s="125"/>
      <c r="R2145" s="127"/>
      <c r="S2145" s="123"/>
      <c r="T2145" s="3"/>
      <c r="W2145" s="86"/>
      <c r="Y2145" s="75"/>
    </row>
    <row r="2146" spans="1:25" x14ac:dyDescent="0.25">
      <c r="A2146" s="75"/>
      <c r="C2146" s="81"/>
      <c r="D2146" s="81"/>
      <c r="I2146" s="81"/>
      <c r="K2146" s="82"/>
      <c r="L2146" s="123"/>
      <c r="M2146" s="3"/>
      <c r="N2146" s="3"/>
      <c r="O2146" s="3"/>
      <c r="P2146" s="125"/>
      <c r="Q2146" s="125"/>
      <c r="R2146" s="127"/>
      <c r="S2146" s="123"/>
      <c r="T2146" s="3"/>
      <c r="W2146" s="86"/>
      <c r="Y2146" s="75"/>
    </row>
    <row r="2147" spans="1:25" x14ac:dyDescent="0.25">
      <c r="A2147" s="75"/>
      <c r="C2147" s="81"/>
      <c r="D2147" s="81"/>
      <c r="I2147" s="81"/>
      <c r="K2147" s="82"/>
      <c r="L2147" s="123"/>
      <c r="M2147" s="3"/>
      <c r="N2147" s="3"/>
      <c r="O2147" s="3"/>
      <c r="P2147" s="125"/>
      <c r="Q2147" s="125"/>
      <c r="R2147" s="127"/>
      <c r="S2147" s="123"/>
      <c r="T2147" s="3"/>
      <c r="W2147" s="86"/>
      <c r="Y2147" s="75"/>
    </row>
    <row r="2148" spans="1:25" x14ac:dyDescent="0.25">
      <c r="A2148" s="75"/>
      <c r="C2148" s="81"/>
      <c r="D2148" s="81"/>
      <c r="I2148" s="81"/>
      <c r="K2148" s="82"/>
      <c r="L2148" s="123"/>
      <c r="M2148" s="3"/>
      <c r="N2148" s="3"/>
      <c r="O2148" s="3"/>
      <c r="P2148" s="125"/>
      <c r="Q2148" s="125"/>
      <c r="R2148" s="127"/>
      <c r="S2148" s="123"/>
      <c r="T2148" s="3"/>
      <c r="W2148" s="86"/>
      <c r="Y2148" s="75"/>
    </row>
    <row r="2149" spans="1:25" x14ac:dyDescent="0.25">
      <c r="A2149" s="75"/>
      <c r="C2149" s="81"/>
      <c r="D2149" s="81"/>
      <c r="I2149" s="81"/>
      <c r="K2149" s="82"/>
      <c r="L2149" s="123"/>
      <c r="M2149" s="3"/>
      <c r="N2149" s="3"/>
      <c r="O2149" s="3"/>
      <c r="P2149" s="125"/>
      <c r="Q2149" s="125"/>
      <c r="R2149" s="127"/>
      <c r="S2149" s="123"/>
      <c r="T2149" s="3"/>
      <c r="W2149" s="86"/>
      <c r="Y2149" s="75"/>
    </row>
    <row r="2150" spans="1:25" x14ac:dyDescent="0.25">
      <c r="A2150" s="75"/>
      <c r="C2150" s="81"/>
      <c r="D2150" s="81"/>
      <c r="I2150" s="81"/>
      <c r="K2150" s="82"/>
      <c r="L2150" s="123"/>
      <c r="M2150" s="3"/>
      <c r="N2150" s="3"/>
      <c r="O2150" s="3"/>
      <c r="P2150" s="125"/>
      <c r="Q2150" s="125"/>
      <c r="R2150" s="127"/>
      <c r="S2150" s="123"/>
      <c r="T2150" s="3"/>
      <c r="W2150" s="86"/>
      <c r="Y2150" s="75"/>
    </row>
    <row r="2151" spans="1:25" x14ac:dyDescent="0.25">
      <c r="A2151" s="75"/>
      <c r="C2151" s="81"/>
      <c r="D2151" s="81"/>
      <c r="I2151" s="81"/>
      <c r="K2151" s="82"/>
      <c r="L2151" s="123"/>
      <c r="M2151" s="3"/>
      <c r="N2151" s="3"/>
      <c r="O2151" s="3"/>
      <c r="P2151" s="125"/>
      <c r="Q2151" s="125"/>
      <c r="R2151" s="127"/>
      <c r="S2151" s="123"/>
      <c r="T2151" s="3"/>
      <c r="W2151" s="86"/>
      <c r="Y2151" s="75"/>
    </row>
    <row r="2152" spans="1:25" x14ac:dyDescent="0.25">
      <c r="A2152" s="75"/>
      <c r="C2152" s="81"/>
      <c r="D2152" s="81"/>
      <c r="I2152" s="81"/>
      <c r="K2152" s="82"/>
      <c r="L2152" s="123"/>
      <c r="M2152" s="3"/>
      <c r="N2152" s="3"/>
      <c r="O2152" s="3"/>
      <c r="P2152" s="125"/>
      <c r="Q2152" s="125"/>
      <c r="R2152" s="127"/>
      <c r="S2152" s="123"/>
      <c r="T2152" s="3"/>
      <c r="W2152" s="86"/>
      <c r="Y2152" s="75"/>
    </row>
    <row r="2153" spans="1:25" x14ac:dyDescent="0.25">
      <c r="A2153" s="75"/>
      <c r="C2153" s="81"/>
      <c r="D2153" s="81"/>
      <c r="I2153" s="81"/>
      <c r="K2153" s="82"/>
      <c r="L2153" s="123"/>
      <c r="M2153" s="3"/>
      <c r="N2153" s="3"/>
      <c r="O2153" s="3"/>
      <c r="P2153" s="125"/>
      <c r="Q2153" s="125"/>
      <c r="R2153" s="127"/>
      <c r="S2153" s="123"/>
      <c r="T2153" s="3"/>
      <c r="W2153" s="86"/>
      <c r="Y2153" s="75"/>
    </row>
    <row r="2154" spans="1:25" x14ac:dyDescent="0.25">
      <c r="A2154" s="75"/>
      <c r="C2154" s="81"/>
      <c r="D2154" s="81"/>
      <c r="I2154" s="81"/>
      <c r="K2154" s="82"/>
      <c r="L2154" s="123"/>
      <c r="M2154" s="3"/>
      <c r="N2154" s="3"/>
      <c r="O2154" s="3"/>
      <c r="P2154" s="125"/>
      <c r="Q2154" s="125"/>
      <c r="R2154" s="127"/>
      <c r="S2154" s="123"/>
      <c r="T2154" s="3"/>
      <c r="W2154" s="86"/>
      <c r="Y2154" s="75"/>
    </row>
    <row r="2155" spans="1:25" x14ac:dyDescent="0.25">
      <c r="A2155" s="75"/>
      <c r="C2155" s="81"/>
      <c r="D2155" s="81"/>
      <c r="I2155" s="81"/>
      <c r="K2155" s="82"/>
      <c r="L2155" s="123"/>
      <c r="M2155" s="3"/>
      <c r="N2155" s="3"/>
      <c r="O2155" s="3"/>
      <c r="P2155" s="125"/>
      <c r="Q2155" s="125"/>
      <c r="R2155" s="127"/>
      <c r="S2155" s="123"/>
      <c r="T2155" s="3"/>
      <c r="W2155" s="86"/>
      <c r="Y2155" s="75"/>
    </row>
    <row r="2156" spans="1:25" x14ac:dyDescent="0.25">
      <c r="A2156" s="75"/>
      <c r="C2156" s="81"/>
      <c r="D2156" s="81"/>
      <c r="I2156" s="81"/>
      <c r="K2156" s="82"/>
      <c r="L2156" s="123"/>
      <c r="M2156" s="3"/>
      <c r="N2156" s="3"/>
      <c r="O2156" s="3"/>
      <c r="P2156" s="125"/>
      <c r="Q2156" s="125"/>
      <c r="R2156" s="127"/>
      <c r="S2156" s="123"/>
      <c r="T2156" s="3"/>
      <c r="W2156" s="86"/>
      <c r="Y2156" s="75"/>
    </row>
    <row r="2157" spans="1:25" x14ac:dyDescent="0.25">
      <c r="A2157" s="75"/>
      <c r="C2157" s="81"/>
      <c r="D2157" s="81"/>
      <c r="I2157" s="81"/>
      <c r="K2157" s="82"/>
      <c r="L2157" s="123"/>
      <c r="M2157" s="3"/>
      <c r="N2157" s="3"/>
      <c r="O2157" s="3"/>
      <c r="P2157" s="125"/>
      <c r="Q2157" s="125"/>
      <c r="R2157" s="127"/>
      <c r="S2157" s="123"/>
      <c r="T2157" s="3"/>
      <c r="W2157" s="86"/>
      <c r="Y2157" s="75"/>
    </row>
    <row r="2158" spans="1:25" x14ac:dyDescent="0.25">
      <c r="A2158" s="75"/>
      <c r="C2158" s="81"/>
      <c r="D2158" s="81"/>
      <c r="I2158" s="81"/>
      <c r="K2158" s="82"/>
      <c r="L2158" s="123"/>
      <c r="M2158" s="3"/>
      <c r="N2158" s="3"/>
      <c r="O2158" s="3"/>
      <c r="P2158" s="125"/>
      <c r="Q2158" s="125"/>
      <c r="R2158" s="127"/>
      <c r="S2158" s="123"/>
      <c r="T2158" s="3"/>
      <c r="W2158" s="86"/>
      <c r="Y2158" s="75"/>
    </row>
    <row r="2159" spans="1:25" x14ac:dyDescent="0.25">
      <c r="A2159" s="75"/>
      <c r="C2159" s="81"/>
      <c r="D2159" s="81"/>
      <c r="I2159" s="81"/>
      <c r="K2159" s="82"/>
      <c r="L2159" s="123"/>
      <c r="M2159" s="3"/>
      <c r="N2159" s="3"/>
      <c r="O2159" s="3"/>
      <c r="P2159" s="125"/>
      <c r="Q2159" s="125"/>
      <c r="R2159" s="127"/>
      <c r="S2159" s="123"/>
      <c r="T2159" s="3"/>
      <c r="W2159" s="86"/>
      <c r="Y2159" s="75"/>
    </row>
    <row r="2160" spans="1:25" x14ac:dyDescent="0.25">
      <c r="A2160" s="75"/>
      <c r="C2160" s="81"/>
      <c r="D2160" s="81"/>
      <c r="I2160" s="81"/>
      <c r="K2160" s="82"/>
      <c r="L2160" s="123"/>
      <c r="M2160" s="3"/>
      <c r="N2160" s="3"/>
      <c r="O2160" s="3"/>
      <c r="P2160" s="125"/>
      <c r="Q2160" s="125"/>
      <c r="R2160" s="127"/>
      <c r="S2160" s="123"/>
      <c r="T2160" s="3"/>
      <c r="W2160" s="86"/>
      <c r="Y2160" s="75"/>
    </row>
    <row r="2161" spans="1:25" x14ac:dyDescent="0.25">
      <c r="A2161" s="75"/>
      <c r="C2161" s="81"/>
      <c r="D2161" s="81"/>
      <c r="I2161" s="81"/>
      <c r="K2161" s="82"/>
      <c r="L2161" s="123"/>
      <c r="M2161" s="3"/>
      <c r="N2161" s="3"/>
      <c r="O2161" s="3"/>
      <c r="P2161" s="125"/>
      <c r="Q2161" s="125"/>
      <c r="R2161" s="127"/>
      <c r="S2161" s="123"/>
      <c r="T2161" s="3"/>
      <c r="W2161" s="86"/>
      <c r="Y2161" s="75"/>
    </row>
    <row r="2162" spans="1:25" x14ac:dyDescent="0.25">
      <c r="A2162" s="75"/>
      <c r="C2162" s="81"/>
      <c r="D2162" s="81"/>
      <c r="I2162" s="81"/>
      <c r="K2162" s="82"/>
      <c r="L2162" s="123"/>
      <c r="M2162" s="3"/>
      <c r="N2162" s="3"/>
      <c r="O2162" s="3"/>
      <c r="P2162" s="125"/>
      <c r="Q2162" s="125"/>
      <c r="R2162" s="127"/>
      <c r="S2162" s="123"/>
      <c r="T2162" s="3"/>
      <c r="W2162" s="86"/>
      <c r="Y2162" s="75"/>
    </row>
    <row r="2163" spans="1:25" x14ac:dyDescent="0.25">
      <c r="A2163" s="75"/>
      <c r="C2163" s="81"/>
      <c r="D2163" s="81"/>
      <c r="I2163" s="81"/>
      <c r="K2163" s="82"/>
      <c r="L2163" s="123"/>
      <c r="M2163" s="3"/>
      <c r="N2163" s="3"/>
      <c r="O2163" s="3"/>
      <c r="P2163" s="125"/>
      <c r="Q2163" s="125"/>
      <c r="R2163" s="127"/>
      <c r="S2163" s="123"/>
      <c r="T2163" s="3"/>
      <c r="W2163" s="86"/>
      <c r="Y2163" s="75"/>
    </row>
    <row r="2164" spans="1:25" x14ac:dyDescent="0.25">
      <c r="A2164" s="75"/>
      <c r="C2164" s="81"/>
      <c r="D2164" s="81"/>
      <c r="I2164" s="81"/>
      <c r="K2164" s="82"/>
      <c r="L2164" s="123"/>
      <c r="M2164" s="3"/>
      <c r="N2164" s="3"/>
      <c r="O2164" s="3"/>
      <c r="P2164" s="125"/>
      <c r="Q2164" s="125"/>
      <c r="R2164" s="127"/>
      <c r="S2164" s="123"/>
      <c r="T2164" s="3"/>
      <c r="W2164" s="86"/>
      <c r="Y2164" s="75"/>
    </row>
    <row r="2165" spans="1:25" x14ac:dyDescent="0.25">
      <c r="A2165" s="75"/>
      <c r="C2165" s="81"/>
      <c r="D2165" s="81"/>
      <c r="I2165" s="81"/>
      <c r="K2165" s="82"/>
      <c r="L2165" s="123"/>
      <c r="M2165" s="3"/>
      <c r="N2165" s="3"/>
      <c r="O2165" s="3"/>
      <c r="P2165" s="125"/>
      <c r="Q2165" s="125"/>
      <c r="R2165" s="127"/>
      <c r="S2165" s="123"/>
      <c r="T2165" s="3"/>
      <c r="W2165" s="86"/>
      <c r="Y2165" s="75"/>
    </row>
    <row r="2166" spans="1:25" x14ac:dyDescent="0.25">
      <c r="A2166" s="75"/>
      <c r="C2166" s="81"/>
      <c r="D2166" s="81"/>
      <c r="I2166" s="81"/>
      <c r="K2166" s="82"/>
      <c r="L2166" s="123"/>
      <c r="M2166" s="3"/>
      <c r="N2166" s="3"/>
      <c r="O2166" s="3"/>
      <c r="P2166" s="125"/>
      <c r="Q2166" s="125"/>
      <c r="R2166" s="127"/>
      <c r="S2166" s="123"/>
      <c r="T2166" s="3"/>
      <c r="W2166" s="86"/>
      <c r="Y2166" s="75"/>
    </row>
    <row r="2167" spans="1:25" x14ac:dyDescent="0.25">
      <c r="A2167" s="75"/>
      <c r="C2167" s="81"/>
      <c r="D2167" s="81"/>
      <c r="I2167" s="81"/>
      <c r="K2167" s="82"/>
      <c r="L2167" s="123"/>
      <c r="M2167" s="3"/>
      <c r="N2167" s="3"/>
      <c r="O2167" s="3"/>
      <c r="P2167" s="125"/>
      <c r="Q2167" s="125"/>
      <c r="R2167" s="127"/>
      <c r="S2167" s="123"/>
      <c r="T2167" s="3"/>
      <c r="W2167" s="86"/>
      <c r="Y2167" s="75"/>
    </row>
    <row r="2168" spans="1:25" x14ac:dyDescent="0.25">
      <c r="A2168" s="75"/>
      <c r="C2168" s="81"/>
      <c r="D2168" s="81"/>
      <c r="I2168" s="81"/>
      <c r="K2168" s="82"/>
      <c r="L2168" s="123"/>
      <c r="M2168" s="3"/>
      <c r="N2168" s="3"/>
      <c r="O2168" s="3"/>
      <c r="P2168" s="125"/>
      <c r="Q2168" s="125"/>
      <c r="R2168" s="127"/>
      <c r="S2168" s="123"/>
      <c r="T2168" s="3"/>
      <c r="W2168" s="86"/>
      <c r="Y2168" s="75"/>
    </row>
    <row r="2169" spans="1:25" x14ac:dyDescent="0.25">
      <c r="A2169" s="75"/>
      <c r="C2169" s="81"/>
      <c r="D2169" s="81"/>
      <c r="I2169" s="81"/>
      <c r="K2169" s="82"/>
      <c r="L2169" s="123"/>
      <c r="M2169" s="3"/>
      <c r="N2169" s="3"/>
      <c r="O2169" s="3"/>
      <c r="P2169" s="125"/>
      <c r="Q2169" s="125"/>
      <c r="R2169" s="127"/>
      <c r="S2169" s="123"/>
      <c r="T2169" s="3"/>
      <c r="W2169" s="86"/>
      <c r="Y2169" s="75"/>
    </row>
    <row r="2170" spans="1:25" x14ac:dyDescent="0.25">
      <c r="A2170" s="75"/>
      <c r="C2170" s="81"/>
      <c r="D2170" s="81"/>
      <c r="I2170" s="81"/>
      <c r="K2170" s="82"/>
      <c r="L2170" s="123"/>
      <c r="M2170" s="3"/>
      <c r="N2170" s="3"/>
      <c r="O2170" s="3"/>
      <c r="P2170" s="125"/>
      <c r="Q2170" s="125"/>
      <c r="R2170" s="127"/>
      <c r="S2170" s="123"/>
      <c r="T2170" s="3"/>
      <c r="W2170" s="86"/>
      <c r="Y2170" s="75"/>
    </row>
    <row r="2171" spans="1:25" x14ac:dyDescent="0.25">
      <c r="A2171" s="75"/>
      <c r="C2171" s="81"/>
      <c r="D2171" s="81"/>
      <c r="I2171" s="81"/>
      <c r="K2171" s="82"/>
      <c r="L2171" s="123"/>
      <c r="M2171" s="3"/>
      <c r="N2171" s="3"/>
      <c r="O2171" s="3"/>
      <c r="P2171" s="125"/>
      <c r="Q2171" s="125"/>
      <c r="R2171" s="127"/>
      <c r="S2171" s="123"/>
      <c r="T2171" s="3"/>
      <c r="W2171" s="86"/>
      <c r="Y2171" s="75"/>
    </row>
    <row r="2172" spans="1:25" x14ac:dyDescent="0.25">
      <c r="A2172" s="75"/>
      <c r="C2172" s="81"/>
      <c r="D2172" s="81"/>
      <c r="I2172" s="81"/>
      <c r="K2172" s="82"/>
      <c r="L2172" s="123"/>
      <c r="M2172" s="3"/>
      <c r="N2172" s="3"/>
      <c r="O2172" s="3"/>
      <c r="P2172" s="125"/>
      <c r="Q2172" s="125"/>
      <c r="R2172" s="127"/>
      <c r="S2172" s="123"/>
      <c r="T2172" s="3"/>
      <c r="W2172" s="86"/>
      <c r="Y2172" s="75"/>
    </row>
    <row r="2173" spans="1:25" x14ac:dyDescent="0.25">
      <c r="A2173" s="75"/>
      <c r="C2173" s="81"/>
      <c r="D2173" s="81"/>
      <c r="I2173" s="81"/>
      <c r="K2173" s="82"/>
      <c r="L2173" s="123"/>
      <c r="M2173" s="3"/>
      <c r="N2173" s="3"/>
      <c r="O2173" s="3"/>
      <c r="P2173" s="125"/>
      <c r="Q2173" s="125"/>
      <c r="R2173" s="127"/>
      <c r="S2173" s="123"/>
      <c r="T2173" s="3"/>
      <c r="W2173" s="86"/>
      <c r="Y2173" s="75"/>
    </row>
    <row r="2174" spans="1:25" x14ac:dyDescent="0.25">
      <c r="A2174" s="75"/>
      <c r="C2174" s="81"/>
      <c r="D2174" s="81"/>
      <c r="I2174" s="81"/>
      <c r="K2174" s="82"/>
      <c r="L2174" s="123"/>
      <c r="M2174" s="3"/>
      <c r="N2174" s="3"/>
      <c r="O2174" s="3"/>
      <c r="P2174" s="125"/>
      <c r="Q2174" s="125"/>
      <c r="R2174" s="127"/>
      <c r="S2174" s="123"/>
      <c r="T2174" s="3"/>
      <c r="W2174" s="86"/>
      <c r="Y2174" s="75"/>
    </row>
    <row r="2175" spans="1:25" x14ac:dyDescent="0.25">
      <c r="A2175" s="75"/>
      <c r="C2175" s="81"/>
      <c r="D2175" s="81"/>
      <c r="I2175" s="81"/>
      <c r="K2175" s="82"/>
      <c r="L2175" s="123"/>
      <c r="M2175" s="3"/>
      <c r="N2175" s="3"/>
      <c r="O2175" s="3"/>
      <c r="P2175" s="125"/>
      <c r="Q2175" s="125"/>
      <c r="R2175" s="127"/>
      <c r="S2175" s="123"/>
      <c r="T2175" s="3"/>
      <c r="W2175" s="86"/>
      <c r="Y2175" s="75"/>
    </row>
    <row r="2176" spans="1:25" x14ac:dyDescent="0.25">
      <c r="A2176" s="75"/>
      <c r="C2176" s="81"/>
      <c r="D2176" s="81"/>
      <c r="I2176" s="81"/>
      <c r="K2176" s="82"/>
      <c r="L2176" s="123"/>
      <c r="M2176" s="3"/>
      <c r="N2176" s="3"/>
      <c r="O2176" s="3"/>
      <c r="P2176" s="125"/>
      <c r="Q2176" s="125"/>
      <c r="R2176" s="127"/>
      <c r="S2176" s="123"/>
      <c r="T2176" s="3"/>
      <c r="W2176" s="86"/>
      <c r="Y2176" s="75"/>
    </row>
    <row r="2177" spans="1:25" x14ac:dyDescent="0.25">
      <c r="A2177" s="75"/>
      <c r="C2177" s="81"/>
      <c r="D2177" s="81"/>
      <c r="I2177" s="81"/>
      <c r="K2177" s="82"/>
      <c r="L2177" s="123"/>
      <c r="M2177" s="3"/>
      <c r="N2177" s="3"/>
      <c r="O2177" s="3"/>
      <c r="P2177" s="125"/>
      <c r="Q2177" s="125"/>
      <c r="R2177" s="127"/>
      <c r="S2177" s="123"/>
      <c r="T2177" s="3"/>
      <c r="W2177" s="86"/>
      <c r="Y2177" s="75"/>
    </row>
    <row r="2178" spans="1:25" x14ac:dyDescent="0.25">
      <c r="A2178" s="75"/>
      <c r="C2178" s="81"/>
      <c r="D2178" s="81"/>
      <c r="I2178" s="81"/>
      <c r="K2178" s="82"/>
      <c r="L2178" s="123"/>
      <c r="M2178" s="3"/>
      <c r="N2178" s="3"/>
      <c r="O2178" s="3"/>
      <c r="P2178" s="125"/>
      <c r="Q2178" s="125"/>
      <c r="R2178" s="127"/>
      <c r="S2178" s="123"/>
      <c r="T2178" s="3"/>
      <c r="W2178" s="86"/>
      <c r="Y2178" s="75"/>
    </row>
    <row r="2179" spans="1:25" x14ac:dyDescent="0.25">
      <c r="A2179" s="75"/>
      <c r="C2179" s="81"/>
      <c r="D2179" s="81"/>
      <c r="I2179" s="81"/>
      <c r="K2179" s="82"/>
      <c r="L2179" s="123"/>
      <c r="M2179" s="3"/>
      <c r="N2179" s="3"/>
      <c r="O2179" s="3"/>
      <c r="P2179" s="125"/>
      <c r="Q2179" s="125"/>
      <c r="R2179" s="127"/>
      <c r="S2179" s="123"/>
      <c r="T2179" s="3"/>
      <c r="W2179" s="86"/>
      <c r="Y2179" s="75"/>
    </row>
    <row r="2180" spans="1:25" x14ac:dyDescent="0.25">
      <c r="A2180" s="75"/>
      <c r="C2180" s="81"/>
      <c r="D2180" s="81"/>
      <c r="I2180" s="81"/>
      <c r="K2180" s="82"/>
      <c r="L2180" s="123"/>
      <c r="M2180" s="3"/>
      <c r="N2180" s="3"/>
      <c r="O2180" s="3"/>
      <c r="P2180" s="125"/>
      <c r="Q2180" s="125"/>
      <c r="R2180" s="127"/>
      <c r="S2180" s="123"/>
      <c r="T2180" s="3"/>
      <c r="W2180" s="86"/>
      <c r="Y2180" s="75"/>
    </row>
    <row r="2181" spans="1:25" x14ac:dyDescent="0.25">
      <c r="A2181" s="75"/>
      <c r="C2181" s="81"/>
      <c r="D2181" s="81"/>
      <c r="I2181" s="81"/>
      <c r="K2181" s="82"/>
      <c r="L2181" s="123"/>
      <c r="M2181" s="3"/>
      <c r="N2181" s="3"/>
      <c r="O2181" s="3"/>
      <c r="P2181" s="125"/>
      <c r="Q2181" s="125"/>
      <c r="R2181" s="127"/>
      <c r="S2181" s="123"/>
      <c r="T2181" s="3"/>
      <c r="W2181" s="86"/>
      <c r="Y2181" s="75"/>
    </row>
    <row r="2182" spans="1:25" x14ac:dyDescent="0.25">
      <c r="A2182" s="75"/>
      <c r="C2182" s="81"/>
      <c r="D2182" s="81"/>
      <c r="I2182" s="81"/>
      <c r="K2182" s="82"/>
      <c r="L2182" s="123"/>
      <c r="M2182" s="3"/>
      <c r="N2182" s="3"/>
      <c r="O2182" s="3"/>
      <c r="P2182" s="125"/>
      <c r="Q2182" s="125"/>
      <c r="R2182" s="127"/>
      <c r="S2182" s="123"/>
      <c r="T2182" s="3"/>
      <c r="W2182" s="86"/>
      <c r="Y2182" s="75"/>
    </row>
    <row r="2183" spans="1:25" x14ac:dyDescent="0.25">
      <c r="A2183" s="75"/>
      <c r="C2183" s="81"/>
      <c r="D2183" s="81"/>
      <c r="I2183" s="81"/>
      <c r="K2183" s="82"/>
      <c r="L2183" s="123"/>
      <c r="M2183" s="3"/>
      <c r="N2183" s="3"/>
      <c r="O2183" s="3"/>
      <c r="P2183" s="125"/>
      <c r="Q2183" s="125"/>
      <c r="R2183" s="127"/>
      <c r="S2183" s="123"/>
      <c r="T2183" s="3"/>
      <c r="W2183" s="86"/>
      <c r="Y2183" s="75"/>
    </row>
    <row r="2184" spans="1:25" x14ac:dyDescent="0.25">
      <c r="A2184" s="75"/>
      <c r="C2184" s="81"/>
      <c r="D2184" s="81"/>
      <c r="I2184" s="81"/>
      <c r="K2184" s="82"/>
      <c r="L2184" s="123"/>
      <c r="M2184" s="3"/>
      <c r="N2184" s="3"/>
      <c r="O2184" s="3"/>
      <c r="P2184" s="125"/>
      <c r="Q2184" s="125"/>
      <c r="R2184" s="127"/>
      <c r="S2184" s="123"/>
      <c r="T2184" s="3"/>
      <c r="W2184" s="86"/>
      <c r="Y2184" s="75"/>
    </row>
    <row r="2185" spans="1:25" x14ac:dyDescent="0.25">
      <c r="A2185" s="75"/>
      <c r="C2185" s="81"/>
      <c r="D2185" s="81"/>
      <c r="I2185" s="81"/>
      <c r="K2185" s="82"/>
      <c r="L2185" s="123"/>
      <c r="M2185" s="3"/>
      <c r="N2185" s="3"/>
      <c r="O2185" s="3"/>
      <c r="P2185" s="125"/>
      <c r="Q2185" s="125"/>
      <c r="R2185" s="127"/>
      <c r="S2185" s="123"/>
      <c r="T2185" s="3"/>
      <c r="W2185" s="86"/>
      <c r="Y2185" s="75"/>
    </row>
    <row r="2186" spans="1:25" x14ac:dyDescent="0.25">
      <c r="A2186" s="75"/>
      <c r="C2186" s="81"/>
      <c r="D2186" s="81"/>
      <c r="I2186" s="81"/>
      <c r="K2186" s="82"/>
      <c r="L2186" s="123"/>
      <c r="M2186" s="3"/>
      <c r="N2186" s="3"/>
      <c r="O2186" s="3"/>
      <c r="P2186" s="125"/>
      <c r="Q2186" s="125"/>
      <c r="R2186" s="127"/>
      <c r="S2186" s="123"/>
      <c r="T2186" s="3"/>
      <c r="W2186" s="86"/>
      <c r="Y2186" s="75"/>
    </row>
    <row r="2187" spans="1:25" x14ac:dyDescent="0.25">
      <c r="A2187" s="75"/>
      <c r="C2187" s="81"/>
      <c r="D2187" s="81"/>
      <c r="I2187" s="81"/>
      <c r="K2187" s="82"/>
      <c r="L2187" s="123"/>
      <c r="M2187" s="3"/>
      <c r="N2187" s="3"/>
      <c r="O2187" s="3"/>
      <c r="P2187" s="125"/>
      <c r="Q2187" s="125"/>
      <c r="R2187" s="127"/>
      <c r="S2187" s="123"/>
      <c r="T2187" s="3"/>
      <c r="W2187" s="86"/>
      <c r="Y2187" s="75"/>
    </row>
    <row r="2188" spans="1:25" x14ac:dyDescent="0.25">
      <c r="A2188" s="75"/>
      <c r="C2188" s="81"/>
      <c r="D2188" s="81"/>
      <c r="I2188" s="81"/>
      <c r="K2188" s="82"/>
      <c r="L2188" s="123"/>
      <c r="M2188" s="3"/>
      <c r="N2188" s="3"/>
      <c r="O2188" s="3"/>
      <c r="P2188" s="125"/>
      <c r="Q2188" s="125"/>
      <c r="R2188" s="127"/>
      <c r="S2188" s="123"/>
      <c r="T2188" s="3"/>
      <c r="W2188" s="86"/>
      <c r="Y2188" s="75"/>
    </row>
    <row r="2189" spans="1:25" x14ac:dyDescent="0.25">
      <c r="A2189" s="75"/>
      <c r="C2189" s="81"/>
      <c r="D2189" s="81"/>
      <c r="I2189" s="81"/>
      <c r="K2189" s="82"/>
      <c r="L2189" s="123"/>
      <c r="M2189" s="3"/>
      <c r="N2189" s="3"/>
      <c r="O2189" s="3"/>
      <c r="P2189" s="125"/>
      <c r="Q2189" s="125"/>
      <c r="R2189" s="127"/>
      <c r="S2189" s="123"/>
      <c r="T2189" s="3"/>
      <c r="W2189" s="86"/>
      <c r="Y2189" s="75"/>
    </row>
    <row r="2190" spans="1:25" x14ac:dyDescent="0.25">
      <c r="A2190" s="75"/>
      <c r="C2190" s="81"/>
      <c r="D2190" s="81"/>
      <c r="I2190" s="81"/>
      <c r="K2190" s="82"/>
      <c r="L2190" s="123"/>
      <c r="M2190" s="3"/>
      <c r="N2190" s="3"/>
      <c r="O2190" s="3"/>
      <c r="P2190" s="125"/>
      <c r="Q2190" s="125"/>
      <c r="R2190" s="127"/>
      <c r="S2190" s="123"/>
      <c r="T2190" s="3"/>
      <c r="W2190" s="86"/>
      <c r="Y2190" s="75"/>
    </row>
    <row r="2191" spans="1:25" x14ac:dyDescent="0.25">
      <c r="A2191" s="75"/>
      <c r="C2191" s="81"/>
      <c r="D2191" s="81"/>
      <c r="I2191" s="81"/>
      <c r="K2191" s="82"/>
      <c r="L2191" s="123"/>
      <c r="M2191" s="3"/>
      <c r="N2191" s="3"/>
      <c r="O2191" s="3"/>
      <c r="P2191" s="125"/>
      <c r="Q2191" s="125"/>
      <c r="R2191" s="127"/>
      <c r="S2191" s="123"/>
      <c r="T2191" s="3"/>
      <c r="W2191" s="86"/>
      <c r="Y2191" s="75"/>
    </row>
    <row r="2192" spans="1:25" x14ac:dyDescent="0.25">
      <c r="A2192" s="75"/>
      <c r="C2192" s="81"/>
      <c r="D2192" s="81"/>
      <c r="I2192" s="81"/>
      <c r="K2192" s="82"/>
      <c r="L2192" s="123"/>
      <c r="M2192" s="3"/>
      <c r="N2192" s="3"/>
      <c r="O2192" s="3"/>
      <c r="P2192" s="125"/>
      <c r="Q2192" s="125"/>
      <c r="R2192" s="127"/>
      <c r="S2192" s="123"/>
      <c r="T2192" s="3"/>
      <c r="W2192" s="86"/>
      <c r="Y2192" s="75"/>
    </row>
    <row r="2193" spans="1:25" x14ac:dyDescent="0.25">
      <c r="A2193" s="75"/>
      <c r="C2193" s="81"/>
      <c r="D2193" s="81"/>
      <c r="I2193" s="81"/>
      <c r="K2193" s="82"/>
      <c r="L2193" s="123"/>
      <c r="M2193" s="3"/>
      <c r="N2193" s="3"/>
      <c r="O2193" s="3"/>
      <c r="P2193" s="125"/>
      <c r="Q2193" s="125"/>
      <c r="R2193" s="127"/>
      <c r="S2193" s="123"/>
      <c r="T2193" s="3"/>
      <c r="W2193" s="86"/>
      <c r="Y2193" s="75"/>
    </row>
    <row r="2194" spans="1:25" x14ac:dyDescent="0.25">
      <c r="A2194" s="75"/>
      <c r="C2194" s="81"/>
      <c r="D2194" s="81"/>
      <c r="I2194" s="81"/>
      <c r="K2194" s="82"/>
      <c r="L2194" s="123"/>
      <c r="M2194" s="3"/>
      <c r="N2194" s="3"/>
      <c r="O2194" s="3"/>
      <c r="P2194" s="125"/>
      <c r="Q2194" s="125"/>
      <c r="R2194" s="127"/>
      <c r="S2194" s="123"/>
      <c r="T2194" s="3"/>
      <c r="W2194" s="86"/>
      <c r="Y2194" s="75"/>
    </row>
    <row r="2195" spans="1:25" x14ac:dyDescent="0.25">
      <c r="A2195" s="75"/>
      <c r="C2195" s="81"/>
      <c r="D2195" s="81"/>
      <c r="I2195" s="81"/>
      <c r="K2195" s="82"/>
      <c r="L2195" s="123"/>
      <c r="M2195" s="3"/>
      <c r="N2195" s="3"/>
      <c r="O2195" s="3"/>
      <c r="P2195" s="125"/>
      <c r="Q2195" s="125"/>
      <c r="R2195" s="127"/>
      <c r="S2195" s="123"/>
      <c r="T2195" s="3"/>
      <c r="W2195" s="86"/>
      <c r="Y2195" s="75"/>
    </row>
    <row r="2196" spans="1:25" x14ac:dyDescent="0.25">
      <c r="A2196" s="75"/>
      <c r="C2196" s="81"/>
      <c r="D2196" s="81"/>
      <c r="I2196" s="81"/>
      <c r="K2196" s="82"/>
      <c r="L2196" s="123"/>
      <c r="M2196" s="3"/>
      <c r="N2196" s="3"/>
      <c r="O2196" s="3"/>
      <c r="P2196" s="125"/>
      <c r="Q2196" s="125"/>
      <c r="R2196" s="127"/>
      <c r="S2196" s="123"/>
      <c r="T2196" s="3"/>
      <c r="W2196" s="86"/>
      <c r="Y2196" s="75"/>
    </row>
    <row r="2197" spans="1:25" x14ac:dyDescent="0.25">
      <c r="A2197" s="75"/>
      <c r="C2197" s="81"/>
      <c r="D2197" s="81"/>
      <c r="I2197" s="81"/>
      <c r="K2197" s="82"/>
      <c r="L2197" s="123"/>
      <c r="M2197" s="3"/>
      <c r="N2197" s="3"/>
      <c r="O2197" s="3"/>
      <c r="P2197" s="125"/>
      <c r="Q2197" s="125"/>
      <c r="R2197" s="127"/>
      <c r="S2197" s="123"/>
      <c r="T2197" s="3"/>
      <c r="W2197" s="86"/>
      <c r="Y2197" s="75"/>
    </row>
    <row r="2198" spans="1:25" x14ac:dyDescent="0.25">
      <c r="A2198" s="75"/>
      <c r="C2198" s="81"/>
      <c r="D2198" s="81"/>
      <c r="I2198" s="81"/>
      <c r="K2198" s="82"/>
      <c r="L2198" s="123"/>
      <c r="M2198" s="3"/>
      <c r="N2198" s="3"/>
      <c r="O2198" s="3"/>
      <c r="P2198" s="125"/>
      <c r="Q2198" s="125"/>
      <c r="R2198" s="127"/>
      <c r="S2198" s="123"/>
      <c r="T2198" s="3"/>
      <c r="W2198" s="86"/>
      <c r="Y2198" s="75"/>
    </row>
    <row r="2199" spans="1:25" x14ac:dyDescent="0.25">
      <c r="A2199" s="75"/>
      <c r="C2199" s="81"/>
      <c r="D2199" s="81"/>
      <c r="I2199" s="81"/>
      <c r="K2199" s="82"/>
      <c r="L2199" s="123"/>
      <c r="M2199" s="3"/>
      <c r="N2199" s="3"/>
      <c r="O2199" s="3"/>
      <c r="P2199" s="125"/>
      <c r="Q2199" s="125"/>
      <c r="R2199" s="127"/>
      <c r="S2199" s="123"/>
      <c r="T2199" s="3"/>
      <c r="W2199" s="86"/>
      <c r="Y2199" s="75"/>
    </row>
    <row r="2200" spans="1:25" x14ac:dyDescent="0.25">
      <c r="A2200" s="75"/>
      <c r="C2200" s="81"/>
      <c r="D2200" s="81"/>
      <c r="I2200" s="81"/>
      <c r="K2200" s="82"/>
      <c r="L2200" s="123"/>
      <c r="M2200" s="3"/>
      <c r="N2200" s="3"/>
      <c r="O2200" s="3"/>
      <c r="P2200" s="125"/>
      <c r="Q2200" s="125"/>
      <c r="R2200" s="127"/>
      <c r="S2200" s="123"/>
      <c r="T2200" s="3"/>
      <c r="W2200" s="86"/>
      <c r="Y2200" s="75"/>
    </row>
    <row r="2201" spans="1:25" x14ac:dyDescent="0.25">
      <c r="A2201" s="75"/>
      <c r="C2201" s="81"/>
      <c r="D2201" s="81"/>
      <c r="I2201" s="81"/>
      <c r="K2201" s="82"/>
      <c r="L2201" s="123"/>
      <c r="M2201" s="3"/>
      <c r="N2201" s="3"/>
      <c r="O2201" s="3"/>
      <c r="P2201" s="125"/>
      <c r="Q2201" s="125"/>
      <c r="R2201" s="127"/>
      <c r="S2201" s="123"/>
      <c r="T2201" s="3"/>
      <c r="W2201" s="86"/>
      <c r="Y2201" s="75"/>
    </row>
    <row r="2202" spans="1:25" x14ac:dyDescent="0.25">
      <c r="A2202" s="75"/>
      <c r="C2202" s="81"/>
      <c r="D2202" s="81"/>
      <c r="I2202" s="81"/>
      <c r="K2202" s="82"/>
      <c r="L2202" s="123"/>
      <c r="M2202" s="3"/>
      <c r="N2202" s="3"/>
      <c r="O2202" s="3"/>
      <c r="P2202" s="125"/>
      <c r="Q2202" s="125"/>
      <c r="R2202" s="127"/>
      <c r="S2202" s="123"/>
      <c r="T2202" s="3"/>
      <c r="W2202" s="86"/>
      <c r="Y2202" s="75"/>
    </row>
    <row r="2203" spans="1:25" x14ac:dyDescent="0.25">
      <c r="A2203" s="75"/>
      <c r="C2203" s="81"/>
      <c r="D2203" s="81"/>
      <c r="I2203" s="81"/>
      <c r="K2203" s="82"/>
      <c r="L2203" s="123"/>
      <c r="M2203" s="3"/>
      <c r="N2203" s="3"/>
      <c r="O2203" s="3"/>
      <c r="P2203" s="125"/>
      <c r="Q2203" s="125"/>
      <c r="R2203" s="127"/>
      <c r="S2203" s="123"/>
      <c r="T2203" s="3"/>
      <c r="W2203" s="86"/>
      <c r="Y2203" s="75"/>
    </row>
    <row r="2204" spans="1:25" x14ac:dyDescent="0.25">
      <c r="A2204" s="75"/>
      <c r="C2204" s="81"/>
      <c r="D2204" s="81"/>
      <c r="I2204" s="81"/>
      <c r="K2204" s="82"/>
      <c r="L2204" s="123"/>
      <c r="M2204" s="3"/>
      <c r="N2204" s="3"/>
      <c r="O2204" s="3"/>
      <c r="P2204" s="125"/>
      <c r="Q2204" s="125"/>
      <c r="R2204" s="127"/>
      <c r="S2204" s="123"/>
      <c r="T2204" s="3"/>
      <c r="W2204" s="86"/>
      <c r="Y2204" s="75"/>
    </row>
    <row r="2205" spans="1:25" x14ac:dyDescent="0.25">
      <c r="A2205" s="75"/>
      <c r="C2205" s="81"/>
      <c r="D2205" s="81"/>
      <c r="I2205" s="81"/>
      <c r="K2205" s="82"/>
      <c r="L2205" s="123"/>
      <c r="M2205" s="3"/>
      <c r="N2205" s="3"/>
      <c r="O2205" s="3"/>
      <c r="P2205" s="125"/>
      <c r="Q2205" s="125"/>
      <c r="R2205" s="127"/>
      <c r="S2205" s="123"/>
      <c r="T2205" s="3"/>
      <c r="W2205" s="86"/>
      <c r="Y2205" s="75"/>
    </row>
    <row r="2206" spans="1:25" x14ac:dyDescent="0.25">
      <c r="A2206" s="75"/>
      <c r="C2206" s="81"/>
      <c r="D2206" s="81"/>
      <c r="I2206" s="81"/>
      <c r="K2206" s="82"/>
      <c r="L2206" s="123"/>
      <c r="M2206" s="3"/>
      <c r="N2206" s="3"/>
      <c r="O2206" s="3"/>
      <c r="P2206" s="125"/>
      <c r="Q2206" s="125"/>
      <c r="R2206" s="127"/>
      <c r="S2206" s="123"/>
      <c r="T2206" s="3"/>
      <c r="W2206" s="86"/>
      <c r="Y2206" s="75"/>
    </row>
    <row r="2207" spans="1:25" x14ac:dyDescent="0.25">
      <c r="A2207" s="75"/>
      <c r="C2207" s="81"/>
      <c r="D2207" s="81"/>
      <c r="I2207" s="81"/>
      <c r="K2207" s="82"/>
      <c r="L2207" s="123"/>
      <c r="M2207" s="3"/>
      <c r="N2207" s="3"/>
      <c r="O2207" s="3"/>
      <c r="P2207" s="125"/>
      <c r="Q2207" s="125"/>
      <c r="R2207" s="127"/>
      <c r="S2207" s="123"/>
      <c r="T2207" s="3"/>
      <c r="W2207" s="86"/>
      <c r="Y2207" s="75"/>
    </row>
    <row r="2208" spans="1:25" x14ac:dyDescent="0.25">
      <c r="A2208" s="75"/>
      <c r="C2208" s="81"/>
      <c r="D2208" s="81"/>
      <c r="I2208" s="81"/>
      <c r="K2208" s="82"/>
      <c r="L2208" s="123"/>
      <c r="M2208" s="3"/>
      <c r="N2208" s="3"/>
      <c r="O2208" s="3"/>
      <c r="P2208" s="125"/>
      <c r="Q2208" s="125"/>
      <c r="R2208" s="127"/>
      <c r="S2208" s="123"/>
      <c r="T2208" s="3"/>
      <c r="W2208" s="86"/>
      <c r="Y2208" s="75"/>
    </row>
    <row r="2209" spans="1:25" x14ac:dyDescent="0.25">
      <c r="A2209" s="75"/>
      <c r="C2209" s="81"/>
      <c r="D2209" s="81"/>
      <c r="I2209" s="81"/>
      <c r="K2209" s="82"/>
      <c r="L2209" s="123"/>
      <c r="M2209" s="3"/>
      <c r="N2209" s="3"/>
      <c r="O2209" s="3"/>
      <c r="P2209" s="125"/>
      <c r="Q2209" s="125"/>
      <c r="R2209" s="127"/>
      <c r="S2209" s="123"/>
      <c r="T2209" s="3"/>
      <c r="W2209" s="86"/>
      <c r="Y2209" s="75"/>
    </row>
    <row r="2210" spans="1:25" x14ac:dyDescent="0.25">
      <c r="A2210" s="75"/>
      <c r="C2210" s="81"/>
      <c r="D2210" s="81"/>
      <c r="I2210" s="81"/>
      <c r="K2210" s="82"/>
      <c r="L2210" s="123"/>
      <c r="M2210" s="3"/>
      <c r="N2210" s="3"/>
      <c r="O2210" s="3"/>
      <c r="P2210" s="125"/>
      <c r="Q2210" s="125"/>
      <c r="R2210" s="127"/>
      <c r="S2210" s="123"/>
      <c r="T2210" s="3"/>
      <c r="W2210" s="86"/>
      <c r="Y2210" s="75"/>
    </row>
    <row r="2211" spans="1:25" x14ac:dyDescent="0.25">
      <c r="A2211" s="75"/>
      <c r="C2211" s="81"/>
      <c r="D2211" s="81"/>
      <c r="I2211" s="81"/>
      <c r="K2211" s="82"/>
      <c r="L2211" s="123"/>
      <c r="M2211" s="3"/>
      <c r="N2211" s="3"/>
      <c r="O2211" s="3"/>
      <c r="P2211" s="125"/>
      <c r="Q2211" s="125"/>
      <c r="R2211" s="127"/>
      <c r="S2211" s="123"/>
      <c r="T2211" s="3"/>
      <c r="W2211" s="86"/>
      <c r="Y2211" s="75"/>
    </row>
    <row r="2212" spans="1:25" x14ac:dyDescent="0.25">
      <c r="A2212" s="75"/>
      <c r="C2212" s="81"/>
      <c r="D2212" s="81"/>
      <c r="I2212" s="81"/>
      <c r="K2212" s="82"/>
      <c r="L2212" s="123"/>
      <c r="M2212" s="3"/>
      <c r="N2212" s="3"/>
      <c r="O2212" s="3"/>
      <c r="P2212" s="125"/>
      <c r="Q2212" s="125"/>
      <c r="R2212" s="127"/>
      <c r="S2212" s="123"/>
      <c r="T2212" s="3"/>
      <c r="W2212" s="86"/>
      <c r="Y2212" s="75"/>
    </row>
    <row r="2213" spans="1:25" x14ac:dyDescent="0.25">
      <c r="A2213" s="75"/>
      <c r="C2213" s="81"/>
      <c r="D2213" s="81"/>
      <c r="I2213" s="81"/>
      <c r="K2213" s="82"/>
      <c r="L2213" s="123"/>
      <c r="M2213" s="3"/>
      <c r="N2213" s="3"/>
      <c r="O2213" s="3"/>
      <c r="P2213" s="125"/>
      <c r="Q2213" s="125"/>
      <c r="R2213" s="127"/>
      <c r="S2213" s="123"/>
      <c r="T2213" s="3"/>
      <c r="W2213" s="86"/>
      <c r="Y2213" s="75"/>
    </row>
    <row r="2214" spans="1:25" x14ac:dyDescent="0.25">
      <c r="A2214" s="75"/>
      <c r="C2214" s="81"/>
      <c r="D2214" s="81"/>
      <c r="I2214" s="81"/>
      <c r="K2214" s="82"/>
      <c r="L2214" s="123"/>
      <c r="M2214" s="3"/>
      <c r="N2214" s="3"/>
      <c r="O2214" s="3"/>
      <c r="P2214" s="125"/>
      <c r="Q2214" s="125"/>
      <c r="R2214" s="127"/>
      <c r="S2214" s="123"/>
      <c r="T2214" s="3"/>
      <c r="W2214" s="86"/>
      <c r="Y2214" s="75"/>
    </row>
    <row r="2215" spans="1:25" x14ac:dyDescent="0.25">
      <c r="A2215" s="75"/>
      <c r="C2215" s="81"/>
      <c r="D2215" s="81"/>
      <c r="I2215" s="81"/>
      <c r="K2215" s="82"/>
      <c r="L2215" s="123"/>
      <c r="M2215" s="3"/>
      <c r="N2215" s="3"/>
      <c r="O2215" s="3"/>
      <c r="P2215" s="125"/>
      <c r="Q2215" s="125"/>
      <c r="R2215" s="127"/>
      <c r="S2215" s="123"/>
      <c r="T2215" s="3"/>
      <c r="W2215" s="86"/>
      <c r="Y2215" s="75"/>
    </row>
    <row r="2216" spans="1:25" x14ac:dyDescent="0.25">
      <c r="A2216" s="75"/>
      <c r="C2216" s="81"/>
      <c r="D2216" s="81"/>
      <c r="I2216" s="81"/>
      <c r="K2216" s="82"/>
      <c r="L2216" s="123"/>
      <c r="M2216" s="3"/>
      <c r="N2216" s="3"/>
      <c r="O2216" s="3"/>
      <c r="P2216" s="125"/>
      <c r="Q2216" s="125"/>
      <c r="R2216" s="127"/>
      <c r="S2216" s="123"/>
      <c r="T2216" s="3"/>
      <c r="W2216" s="86"/>
      <c r="Y2216" s="75"/>
    </row>
    <row r="2217" spans="1:25" x14ac:dyDescent="0.25">
      <c r="A2217" s="75"/>
      <c r="C2217" s="81"/>
      <c r="D2217" s="81"/>
      <c r="I2217" s="81"/>
      <c r="K2217" s="82"/>
      <c r="L2217" s="123"/>
      <c r="M2217" s="3"/>
      <c r="N2217" s="3"/>
      <c r="O2217" s="3"/>
      <c r="P2217" s="125"/>
      <c r="Q2217" s="125"/>
      <c r="R2217" s="127"/>
      <c r="S2217" s="123"/>
      <c r="T2217" s="3"/>
      <c r="W2217" s="86"/>
      <c r="Y2217" s="75"/>
    </row>
    <row r="2218" spans="1:25" x14ac:dyDescent="0.25">
      <c r="A2218" s="75"/>
      <c r="C2218" s="81"/>
      <c r="D2218" s="81"/>
      <c r="I2218" s="81"/>
      <c r="K2218" s="82"/>
      <c r="L2218" s="123"/>
      <c r="M2218" s="3"/>
      <c r="N2218" s="3"/>
      <c r="O2218" s="3"/>
      <c r="P2218" s="125"/>
      <c r="Q2218" s="125"/>
      <c r="R2218" s="127"/>
      <c r="S2218" s="123"/>
      <c r="T2218" s="3"/>
      <c r="W2218" s="86"/>
      <c r="Y2218" s="75"/>
    </row>
    <row r="2219" spans="1:25" x14ac:dyDescent="0.25">
      <c r="A2219" s="75"/>
      <c r="C2219" s="81"/>
      <c r="D2219" s="81"/>
      <c r="I2219" s="81"/>
      <c r="K2219" s="82"/>
      <c r="L2219" s="123"/>
      <c r="M2219" s="3"/>
      <c r="N2219" s="3"/>
      <c r="O2219" s="3"/>
      <c r="P2219" s="125"/>
      <c r="Q2219" s="125"/>
      <c r="R2219" s="127"/>
      <c r="S2219" s="123"/>
      <c r="T2219" s="3"/>
      <c r="W2219" s="86"/>
      <c r="Y2219" s="75"/>
    </row>
    <row r="2220" spans="1:25" x14ac:dyDescent="0.25">
      <c r="A2220" s="75"/>
      <c r="C2220" s="81"/>
      <c r="D2220" s="81"/>
      <c r="I2220" s="81"/>
      <c r="K2220" s="82"/>
      <c r="L2220" s="123"/>
      <c r="M2220" s="3"/>
      <c r="N2220" s="3"/>
      <c r="O2220" s="3"/>
      <c r="P2220" s="125"/>
      <c r="Q2220" s="125"/>
      <c r="R2220" s="127"/>
      <c r="S2220" s="123"/>
      <c r="T2220" s="3"/>
      <c r="W2220" s="86"/>
      <c r="Y2220" s="75"/>
    </row>
    <row r="2221" spans="1:25" x14ac:dyDescent="0.25">
      <c r="A2221" s="75"/>
      <c r="C2221" s="81"/>
      <c r="D2221" s="81"/>
      <c r="I2221" s="81"/>
      <c r="K2221" s="82"/>
      <c r="L2221" s="123"/>
      <c r="M2221" s="3"/>
      <c r="N2221" s="3"/>
      <c r="O2221" s="3"/>
      <c r="P2221" s="125"/>
      <c r="Q2221" s="125"/>
      <c r="R2221" s="127"/>
      <c r="S2221" s="123"/>
      <c r="T2221" s="3"/>
      <c r="W2221" s="86"/>
      <c r="Y2221" s="75"/>
    </row>
    <row r="2222" spans="1:25" x14ac:dyDescent="0.25">
      <c r="A2222" s="75"/>
      <c r="C2222" s="81"/>
      <c r="D2222" s="81"/>
      <c r="I2222" s="81"/>
      <c r="K2222" s="82"/>
      <c r="L2222" s="123"/>
      <c r="M2222" s="3"/>
      <c r="N2222" s="3"/>
      <c r="O2222" s="3"/>
      <c r="P2222" s="125"/>
      <c r="Q2222" s="125"/>
      <c r="R2222" s="127"/>
      <c r="S2222" s="123"/>
      <c r="T2222" s="3"/>
      <c r="W2222" s="86"/>
      <c r="Y2222" s="75"/>
    </row>
    <row r="2223" spans="1:25" x14ac:dyDescent="0.25">
      <c r="A2223" s="75"/>
      <c r="C2223" s="81"/>
      <c r="D2223" s="81"/>
      <c r="I2223" s="81"/>
      <c r="K2223" s="82"/>
      <c r="L2223" s="123"/>
      <c r="M2223" s="3"/>
      <c r="N2223" s="3"/>
      <c r="O2223" s="3"/>
      <c r="P2223" s="125"/>
      <c r="Q2223" s="125"/>
      <c r="R2223" s="127"/>
      <c r="S2223" s="123"/>
      <c r="T2223" s="3"/>
      <c r="W2223" s="86"/>
      <c r="Y2223" s="75"/>
    </row>
    <row r="2224" spans="1:25" x14ac:dyDescent="0.25">
      <c r="A2224" s="75"/>
      <c r="C2224" s="81"/>
      <c r="D2224" s="81"/>
      <c r="I2224" s="81"/>
      <c r="K2224" s="82"/>
      <c r="L2224" s="123"/>
      <c r="M2224" s="3"/>
      <c r="N2224" s="3"/>
      <c r="O2224" s="3"/>
      <c r="P2224" s="125"/>
      <c r="Q2224" s="125"/>
      <c r="R2224" s="127"/>
      <c r="S2224" s="123"/>
      <c r="T2224" s="3"/>
      <c r="W2224" s="86"/>
      <c r="Y2224" s="75"/>
    </row>
    <row r="2225" spans="1:25" x14ac:dyDescent="0.25">
      <c r="A2225" s="75"/>
      <c r="C2225" s="81"/>
      <c r="D2225" s="81"/>
      <c r="I2225" s="81"/>
      <c r="K2225" s="82"/>
      <c r="L2225" s="123"/>
      <c r="M2225" s="3"/>
      <c r="N2225" s="3"/>
      <c r="O2225" s="3"/>
      <c r="P2225" s="125"/>
      <c r="Q2225" s="125"/>
      <c r="R2225" s="127"/>
      <c r="S2225" s="123"/>
      <c r="T2225" s="3"/>
      <c r="W2225" s="86"/>
      <c r="Y2225" s="75"/>
    </row>
    <row r="2226" spans="1:25" x14ac:dyDescent="0.25">
      <c r="A2226" s="75"/>
      <c r="C2226" s="81"/>
      <c r="D2226" s="81"/>
      <c r="I2226" s="81"/>
      <c r="K2226" s="82"/>
      <c r="L2226" s="123"/>
      <c r="M2226" s="3"/>
      <c r="N2226" s="3"/>
      <c r="O2226" s="3"/>
      <c r="P2226" s="125"/>
      <c r="Q2226" s="125"/>
      <c r="R2226" s="127"/>
      <c r="S2226" s="123"/>
      <c r="T2226" s="3"/>
      <c r="W2226" s="86"/>
      <c r="Y2226" s="75"/>
    </row>
    <row r="2227" spans="1:25" x14ac:dyDescent="0.25">
      <c r="A2227" s="75"/>
      <c r="C2227" s="81"/>
      <c r="D2227" s="81"/>
      <c r="I2227" s="81"/>
      <c r="K2227" s="82"/>
      <c r="L2227" s="123"/>
      <c r="M2227" s="3"/>
      <c r="N2227" s="3"/>
      <c r="O2227" s="3"/>
      <c r="P2227" s="125"/>
      <c r="Q2227" s="125"/>
      <c r="R2227" s="127"/>
      <c r="S2227" s="123"/>
      <c r="T2227" s="3"/>
      <c r="W2227" s="86"/>
      <c r="Y2227" s="75"/>
    </row>
    <row r="2228" spans="1:25" x14ac:dyDescent="0.25">
      <c r="A2228" s="75"/>
      <c r="C2228" s="81"/>
      <c r="D2228" s="81"/>
      <c r="I2228" s="81"/>
      <c r="K2228" s="82"/>
      <c r="L2228" s="123"/>
      <c r="M2228" s="3"/>
      <c r="N2228" s="3"/>
      <c r="O2228" s="3"/>
      <c r="P2228" s="125"/>
      <c r="Q2228" s="125"/>
      <c r="R2228" s="127"/>
      <c r="S2228" s="123"/>
      <c r="T2228" s="3"/>
      <c r="W2228" s="86"/>
      <c r="Y2228" s="75"/>
    </row>
    <row r="2229" spans="1:25" x14ac:dyDescent="0.25">
      <c r="A2229" s="75"/>
      <c r="C2229" s="81"/>
      <c r="D2229" s="81"/>
      <c r="I2229" s="81"/>
      <c r="K2229" s="82"/>
      <c r="L2229" s="123"/>
      <c r="M2229" s="3"/>
      <c r="N2229" s="3"/>
      <c r="O2229" s="3"/>
      <c r="P2229" s="125"/>
      <c r="Q2229" s="125"/>
      <c r="R2229" s="127"/>
      <c r="S2229" s="123"/>
      <c r="T2229" s="3"/>
      <c r="W2229" s="86"/>
      <c r="Y2229" s="75"/>
    </row>
    <row r="2230" spans="1:25" x14ac:dyDescent="0.25">
      <c r="A2230" s="75"/>
      <c r="C2230" s="81"/>
      <c r="D2230" s="81"/>
      <c r="I2230" s="81"/>
      <c r="K2230" s="82"/>
      <c r="L2230" s="123"/>
      <c r="M2230" s="3"/>
      <c r="N2230" s="3"/>
      <c r="O2230" s="3"/>
      <c r="P2230" s="125"/>
      <c r="Q2230" s="125"/>
      <c r="R2230" s="127"/>
      <c r="S2230" s="123"/>
      <c r="T2230" s="3"/>
      <c r="W2230" s="86"/>
      <c r="Y2230" s="75"/>
    </row>
    <row r="2231" spans="1:25" x14ac:dyDescent="0.25">
      <c r="A2231" s="75"/>
      <c r="C2231" s="81"/>
      <c r="D2231" s="81"/>
      <c r="I2231" s="81"/>
      <c r="K2231" s="82"/>
      <c r="L2231" s="123"/>
      <c r="M2231" s="3"/>
      <c r="N2231" s="3"/>
      <c r="O2231" s="3"/>
      <c r="P2231" s="125"/>
      <c r="Q2231" s="125"/>
      <c r="R2231" s="127"/>
      <c r="S2231" s="123"/>
      <c r="T2231" s="3"/>
      <c r="W2231" s="86"/>
      <c r="Y2231" s="75"/>
    </row>
    <row r="2232" spans="1:25" x14ac:dyDescent="0.25">
      <c r="A2232" s="75"/>
      <c r="C2232" s="81"/>
      <c r="D2232" s="81"/>
      <c r="I2232" s="81"/>
      <c r="K2232" s="82"/>
      <c r="L2232" s="123"/>
      <c r="M2232" s="3"/>
      <c r="N2232" s="3"/>
      <c r="O2232" s="3"/>
      <c r="P2232" s="125"/>
      <c r="Q2232" s="125"/>
      <c r="R2232" s="127"/>
      <c r="S2232" s="123"/>
      <c r="T2232" s="3"/>
      <c r="W2232" s="86"/>
      <c r="Y2232" s="75"/>
    </row>
    <row r="2233" spans="1:25" x14ac:dyDescent="0.25">
      <c r="A2233" s="75"/>
      <c r="C2233" s="81"/>
      <c r="D2233" s="81"/>
      <c r="I2233" s="81"/>
      <c r="K2233" s="82"/>
      <c r="L2233" s="123"/>
      <c r="M2233" s="3"/>
      <c r="N2233" s="3"/>
      <c r="O2233" s="3"/>
      <c r="P2233" s="125"/>
      <c r="Q2233" s="125"/>
      <c r="R2233" s="127"/>
      <c r="S2233" s="123"/>
      <c r="T2233" s="3"/>
      <c r="W2233" s="86"/>
      <c r="Y2233" s="75"/>
    </row>
    <row r="2234" spans="1:25" x14ac:dyDescent="0.25">
      <c r="A2234" s="75"/>
      <c r="C2234" s="81"/>
      <c r="D2234" s="81"/>
      <c r="I2234" s="81"/>
      <c r="K2234" s="82"/>
      <c r="L2234" s="123"/>
      <c r="M2234" s="3"/>
      <c r="N2234" s="3"/>
      <c r="O2234" s="3"/>
      <c r="P2234" s="125"/>
      <c r="Q2234" s="125"/>
      <c r="R2234" s="127"/>
      <c r="S2234" s="123"/>
      <c r="T2234" s="3"/>
      <c r="W2234" s="86"/>
      <c r="Y2234" s="75"/>
    </row>
    <row r="2235" spans="1:25" x14ac:dyDescent="0.25">
      <c r="A2235" s="75"/>
      <c r="C2235" s="81"/>
      <c r="D2235" s="81"/>
      <c r="I2235" s="81"/>
      <c r="K2235" s="82"/>
      <c r="L2235" s="123"/>
      <c r="M2235" s="3"/>
      <c r="N2235" s="3"/>
      <c r="O2235" s="3"/>
      <c r="P2235" s="125"/>
      <c r="Q2235" s="125"/>
      <c r="R2235" s="127"/>
      <c r="S2235" s="123"/>
      <c r="T2235" s="3"/>
      <c r="W2235" s="86"/>
      <c r="Y2235" s="75"/>
    </row>
    <row r="2236" spans="1:25" x14ac:dyDescent="0.25">
      <c r="A2236" s="75"/>
      <c r="C2236" s="81"/>
      <c r="D2236" s="81"/>
      <c r="I2236" s="81"/>
      <c r="K2236" s="82"/>
      <c r="L2236" s="123"/>
      <c r="M2236" s="3"/>
      <c r="N2236" s="3"/>
      <c r="O2236" s="3"/>
      <c r="P2236" s="125"/>
      <c r="Q2236" s="125"/>
      <c r="R2236" s="127"/>
      <c r="S2236" s="123"/>
      <c r="T2236" s="3"/>
      <c r="W2236" s="86"/>
      <c r="Y2236" s="75"/>
    </row>
    <row r="2237" spans="1:25" x14ac:dyDescent="0.25">
      <c r="A2237" s="75"/>
      <c r="C2237" s="81"/>
      <c r="D2237" s="81"/>
      <c r="I2237" s="81"/>
      <c r="K2237" s="82"/>
      <c r="L2237" s="123"/>
      <c r="M2237" s="3"/>
      <c r="N2237" s="3"/>
      <c r="O2237" s="3"/>
      <c r="P2237" s="125"/>
      <c r="Q2237" s="125"/>
      <c r="R2237" s="127"/>
      <c r="S2237" s="123"/>
      <c r="T2237" s="3"/>
      <c r="W2237" s="86"/>
      <c r="Y2237" s="75"/>
    </row>
    <row r="2238" spans="1:25" x14ac:dyDescent="0.25">
      <c r="A2238" s="75"/>
      <c r="C2238" s="81"/>
      <c r="D2238" s="81"/>
      <c r="I2238" s="81"/>
      <c r="K2238" s="82"/>
      <c r="L2238" s="123"/>
      <c r="M2238" s="3"/>
      <c r="N2238" s="3"/>
      <c r="O2238" s="3"/>
      <c r="P2238" s="125"/>
      <c r="Q2238" s="125"/>
      <c r="R2238" s="127"/>
      <c r="S2238" s="123"/>
      <c r="T2238" s="3"/>
      <c r="W2238" s="86"/>
      <c r="Y2238" s="75"/>
    </row>
    <row r="2239" spans="1:25" x14ac:dyDescent="0.25">
      <c r="A2239" s="75"/>
      <c r="C2239" s="81"/>
      <c r="D2239" s="81"/>
      <c r="I2239" s="81"/>
      <c r="K2239" s="82"/>
      <c r="L2239" s="123"/>
      <c r="M2239" s="3"/>
      <c r="N2239" s="3"/>
      <c r="O2239" s="3"/>
      <c r="P2239" s="125"/>
      <c r="Q2239" s="125"/>
      <c r="R2239" s="127"/>
      <c r="S2239" s="123"/>
      <c r="T2239" s="3"/>
      <c r="W2239" s="86"/>
      <c r="Y2239" s="75"/>
    </row>
    <row r="2240" spans="1:25" x14ac:dyDescent="0.25">
      <c r="A2240" s="75"/>
      <c r="C2240" s="81"/>
      <c r="D2240" s="81"/>
      <c r="I2240" s="81"/>
      <c r="K2240" s="82"/>
      <c r="L2240" s="123"/>
      <c r="M2240" s="3"/>
      <c r="N2240" s="3"/>
      <c r="O2240" s="3"/>
      <c r="P2240" s="125"/>
      <c r="Q2240" s="125"/>
      <c r="R2240" s="127"/>
      <c r="S2240" s="123"/>
      <c r="T2240" s="3"/>
      <c r="W2240" s="86"/>
      <c r="Y2240" s="75"/>
    </row>
    <row r="2241" spans="1:25" x14ac:dyDescent="0.25">
      <c r="A2241" s="75"/>
      <c r="C2241" s="81"/>
      <c r="D2241" s="81"/>
      <c r="I2241" s="81"/>
      <c r="K2241" s="82"/>
      <c r="L2241" s="123"/>
      <c r="M2241" s="3"/>
      <c r="N2241" s="3"/>
      <c r="O2241" s="3"/>
      <c r="P2241" s="125"/>
      <c r="Q2241" s="125"/>
      <c r="R2241" s="127"/>
      <c r="S2241" s="123"/>
      <c r="T2241" s="3"/>
      <c r="W2241" s="86"/>
      <c r="Y2241" s="75"/>
    </row>
    <row r="2242" spans="1:25" x14ac:dyDescent="0.25">
      <c r="A2242" s="75"/>
      <c r="C2242" s="81"/>
      <c r="D2242" s="81"/>
      <c r="I2242" s="81"/>
      <c r="K2242" s="82"/>
      <c r="L2242" s="123"/>
      <c r="M2242" s="3"/>
      <c r="N2242" s="3"/>
      <c r="O2242" s="3"/>
      <c r="P2242" s="125"/>
      <c r="Q2242" s="125"/>
      <c r="R2242" s="127"/>
      <c r="S2242" s="123"/>
      <c r="T2242" s="3"/>
      <c r="W2242" s="86"/>
      <c r="Y2242" s="75"/>
    </row>
    <row r="2243" spans="1:25" x14ac:dyDescent="0.25">
      <c r="A2243" s="75"/>
      <c r="C2243" s="81"/>
      <c r="D2243" s="81"/>
      <c r="I2243" s="81"/>
      <c r="K2243" s="82"/>
      <c r="L2243" s="123"/>
      <c r="M2243" s="3"/>
      <c r="N2243" s="3"/>
      <c r="O2243" s="3"/>
      <c r="P2243" s="125"/>
      <c r="Q2243" s="125"/>
      <c r="R2243" s="127"/>
      <c r="S2243" s="123"/>
      <c r="T2243" s="3"/>
      <c r="W2243" s="86"/>
      <c r="Y2243" s="75"/>
    </row>
    <row r="2244" spans="1:25" x14ac:dyDescent="0.25">
      <c r="A2244" s="75"/>
      <c r="C2244" s="81"/>
      <c r="D2244" s="81"/>
      <c r="I2244" s="81"/>
      <c r="K2244" s="82"/>
      <c r="L2244" s="123"/>
      <c r="M2244" s="3"/>
      <c r="N2244" s="3"/>
      <c r="O2244" s="3"/>
      <c r="P2244" s="125"/>
      <c r="Q2244" s="125"/>
      <c r="R2244" s="127"/>
      <c r="S2244" s="123"/>
      <c r="T2244" s="3"/>
      <c r="W2244" s="86"/>
      <c r="Y2244" s="75"/>
    </row>
    <row r="2245" spans="1:25" x14ac:dyDescent="0.25">
      <c r="A2245" s="75"/>
      <c r="C2245" s="81"/>
      <c r="D2245" s="81"/>
      <c r="I2245" s="81"/>
      <c r="K2245" s="82"/>
      <c r="L2245" s="123"/>
      <c r="M2245" s="3"/>
      <c r="N2245" s="3"/>
      <c r="O2245" s="3"/>
      <c r="P2245" s="125"/>
      <c r="Q2245" s="125"/>
      <c r="R2245" s="127"/>
      <c r="S2245" s="123"/>
      <c r="T2245" s="3"/>
      <c r="W2245" s="86"/>
      <c r="Y2245" s="75"/>
    </row>
    <row r="2246" spans="1:25" x14ac:dyDescent="0.25">
      <c r="A2246" s="75"/>
      <c r="C2246" s="81"/>
      <c r="D2246" s="81"/>
      <c r="I2246" s="81"/>
      <c r="K2246" s="82"/>
      <c r="L2246" s="123"/>
      <c r="M2246" s="3"/>
      <c r="N2246" s="3"/>
      <c r="O2246" s="3"/>
      <c r="P2246" s="125"/>
      <c r="Q2246" s="125"/>
      <c r="R2246" s="127"/>
      <c r="S2246" s="123"/>
      <c r="T2246" s="3"/>
      <c r="W2246" s="86"/>
      <c r="Y2246" s="75"/>
    </row>
    <row r="2247" spans="1:25" x14ac:dyDescent="0.25">
      <c r="A2247" s="75"/>
      <c r="C2247" s="81"/>
      <c r="D2247" s="81"/>
      <c r="I2247" s="81"/>
      <c r="K2247" s="82"/>
      <c r="L2247" s="123"/>
      <c r="M2247" s="3"/>
      <c r="N2247" s="3"/>
      <c r="O2247" s="3"/>
      <c r="P2247" s="125"/>
      <c r="Q2247" s="125"/>
      <c r="R2247" s="127"/>
      <c r="S2247" s="123"/>
      <c r="T2247" s="3"/>
      <c r="W2247" s="86"/>
      <c r="Y2247" s="75"/>
    </row>
    <row r="2248" spans="1:25" x14ac:dyDescent="0.25">
      <c r="A2248" s="75"/>
      <c r="C2248" s="81"/>
      <c r="D2248" s="81"/>
      <c r="I2248" s="81"/>
      <c r="K2248" s="82"/>
      <c r="L2248" s="123"/>
      <c r="M2248" s="3"/>
      <c r="N2248" s="3"/>
      <c r="O2248" s="3"/>
      <c r="P2248" s="125"/>
      <c r="Q2248" s="125"/>
      <c r="R2248" s="127"/>
      <c r="S2248" s="123"/>
      <c r="T2248" s="3"/>
      <c r="W2248" s="86"/>
      <c r="Y2248" s="75"/>
    </row>
    <row r="2249" spans="1:25" x14ac:dyDescent="0.25">
      <c r="A2249" s="75"/>
      <c r="C2249" s="81"/>
      <c r="D2249" s="81"/>
      <c r="I2249" s="81"/>
      <c r="K2249" s="82"/>
      <c r="L2249" s="123"/>
      <c r="M2249" s="3"/>
      <c r="N2249" s="3"/>
      <c r="O2249" s="3"/>
      <c r="P2249" s="125"/>
      <c r="Q2249" s="125"/>
      <c r="R2249" s="127"/>
      <c r="S2249" s="123"/>
      <c r="T2249" s="3"/>
      <c r="W2249" s="86"/>
      <c r="Y2249" s="75"/>
    </row>
    <row r="2250" spans="1:25" x14ac:dyDescent="0.25">
      <c r="A2250" s="75"/>
      <c r="C2250" s="81"/>
      <c r="D2250" s="81"/>
      <c r="I2250" s="81"/>
      <c r="K2250" s="82"/>
      <c r="L2250" s="123"/>
      <c r="M2250" s="3"/>
      <c r="N2250" s="3"/>
      <c r="O2250" s="3"/>
      <c r="P2250" s="125"/>
      <c r="Q2250" s="125"/>
      <c r="R2250" s="127"/>
      <c r="S2250" s="123"/>
      <c r="T2250" s="3"/>
      <c r="W2250" s="86"/>
      <c r="Y2250" s="75"/>
    </row>
    <row r="2251" spans="1:25" x14ac:dyDescent="0.25">
      <c r="A2251" s="75"/>
      <c r="C2251" s="81"/>
      <c r="D2251" s="81"/>
      <c r="I2251" s="81"/>
      <c r="K2251" s="82"/>
      <c r="L2251" s="123"/>
      <c r="M2251" s="3"/>
      <c r="N2251" s="3"/>
      <c r="O2251" s="3"/>
      <c r="P2251" s="125"/>
      <c r="Q2251" s="125"/>
      <c r="R2251" s="127"/>
      <c r="S2251" s="123"/>
      <c r="T2251" s="3"/>
      <c r="W2251" s="86"/>
      <c r="Y2251" s="75"/>
    </row>
    <row r="2252" spans="1:25" x14ac:dyDescent="0.25">
      <c r="A2252" s="75"/>
      <c r="C2252" s="81"/>
      <c r="D2252" s="81"/>
      <c r="I2252" s="81"/>
      <c r="K2252" s="82"/>
      <c r="L2252" s="123"/>
      <c r="M2252" s="3"/>
      <c r="N2252" s="3"/>
      <c r="O2252" s="3"/>
      <c r="P2252" s="125"/>
      <c r="Q2252" s="125"/>
      <c r="R2252" s="127"/>
      <c r="S2252" s="123"/>
      <c r="T2252" s="3"/>
      <c r="W2252" s="86"/>
      <c r="Y2252" s="75"/>
    </row>
    <row r="2253" spans="1:25" x14ac:dyDescent="0.25">
      <c r="A2253" s="75"/>
      <c r="C2253" s="81"/>
      <c r="D2253" s="81"/>
      <c r="I2253" s="81"/>
      <c r="K2253" s="82"/>
      <c r="L2253" s="123"/>
      <c r="M2253" s="3"/>
      <c r="N2253" s="3"/>
      <c r="O2253" s="3"/>
      <c r="P2253" s="125"/>
      <c r="Q2253" s="125"/>
      <c r="R2253" s="127"/>
      <c r="S2253" s="123"/>
      <c r="T2253" s="3"/>
      <c r="W2253" s="86"/>
      <c r="Y2253" s="75"/>
    </row>
    <row r="2254" spans="1:25" x14ac:dyDescent="0.25">
      <c r="A2254" s="75"/>
      <c r="C2254" s="81"/>
      <c r="D2254" s="81"/>
      <c r="I2254" s="81"/>
      <c r="K2254" s="82"/>
      <c r="L2254" s="123"/>
      <c r="M2254" s="3"/>
      <c r="N2254" s="3"/>
      <c r="O2254" s="3"/>
      <c r="P2254" s="125"/>
      <c r="Q2254" s="125"/>
      <c r="R2254" s="127"/>
      <c r="S2254" s="123"/>
      <c r="T2254" s="3"/>
      <c r="W2254" s="86"/>
      <c r="Y2254" s="75"/>
    </row>
    <row r="2255" spans="1:25" x14ac:dyDescent="0.25">
      <c r="A2255" s="75"/>
      <c r="C2255" s="81"/>
      <c r="D2255" s="81"/>
      <c r="I2255" s="81"/>
      <c r="K2255" s="82"/>
      <c r="L2255" s="123"/>
      <c r="M2255" s="3"/>
      <c r="N2255" s="3"/>
      <c r="O2255" s="3"/>
      <c r="P2255" s="125"/>
      <c r="Q2255" s="125"/>
      <c r="R2255" s="127"/>
      <c r="S2255" s="123"/>
      <c r="T2255" s="3"/>
      <c r="W2255" s="86"/>
      <c r="Y2255" s="75"/>
    </row>
    <row r="2256" spans="1:25" x14ac:dyDescent="0.25">
      <c r="A2256" s="75"/>
      <c r="C2256" s="81"/>
      <c r="D2256" s="81"/>
      <c r="I2256" s="81"/>
      <c r="K2256" s="82"/>
      <c r="L2256" s="123"/>
      <c r="M2256" s="3"/>
      <c r="N2256" s="3"/>
      <c r="O2256" s="3"/>
      <c r="P2256" s="125"/>
      <c r="Q2256" s="125"/>
      <c r="R2256" s="127"/>
      <c r="S2256" s="123"/>
      <c r="T2256" s="3"/>
      <c r="W2256" s="86"/>
      <c r="Y2256" s="75"/>
    </row>
    <row r="2257" spans="1:25" x14ac:dyDescent="0.25">
      <c r="A2257" s="75"/>
      <c r="C2257" s="81"/>
      <c r="D2257" s="81"/>
      <c r="I2257" s="81"/>
      <c r="K2257" s="82"/>
      <c r="L2257" s="123"/>
      <c r="M2257" s="3"/>
      <c r="N2257" s="3"/>
      <c r="O2257" s="3"/>
      <c r="P2257" s="125"/>
      <c r="Q2257" s="125"/>
      <c r="R2257" s="127"/>
      <c r="S2257" s="123"/>
      <c r="T2257" s="3"/>
      <c r="W2257" s="86"/>
      <c r="Y2257" s="75"/>
    </row>
    <row r="2258" spans="1:25" x14ac:dyDescent="0.25">
      <c r="A2258" s="75"/>
      <c r="C2258" s="81"/>
      <c r="D2258" s="81"/>
      <c r="I2258" s="81"/>
      <c r="K2258" s="82"/>
      <c r="L2258" s="123"/>
      <c r="M2258" s="3"/>
      <c r="N2258" s="3"/>
      <c r="O2258" s="3"/>
      <c r="P2258" s="125"/>
      <c r="Q2258" s="125"/>
      <c r="R2258" s="127"/>
      <c r="S2258" s="123"/>
      <c r="T2258" s="3"/>
      <c r="W2258" s="86"/>
      <c r="Y2258" s="75"/>
    </row>
    <row r="2259" spans="1:25" x14ac:dyDescent="0.25">
      <c r="A2259" s="75"/>
      <c r="C2259" s="81"/>
      <c r="D2259" s="81"/>
      <c r="I2259" s="81"/>
      <c r="K2259" s="82"/>
      <c r="L2259" s="123"/>
      <c r="M2259" s="3"/>
      <c r="N2259" s="3"/>
      <c r="O2259" s="3"/>
      <c r="P2259" s="125"/>
      <c r="Q2259" s="125"/>
      <c r="R2259" s="127"/>
      <c r="S2259" s="123"/>
      <c r="T2259" s="3"/>
      <c r="W2259" s="86"/>
      <c r="Y2259" s="75"/>
    </row>
    <row r="2260" spans="1:25" x14ac:dyDescent="0.25">
      <c r="A2260" s="75"/>
      <c r="C2260" s="81"/>
      <c r="D2260" s="81"/>
      <c r="I2260" s="81"/>
      <c r="K2260" s="82"/>
      <c r="L2260" s="123"/>
      <c r="M2260" s="3"/>
      <c r="N2260" s="3"/>
      <c r="O2260" s="3"/>
      <c r="P2260" s="125"/>
      <c r="Q2260" s="125"/>
      <c r="R2260" s="127"/>
      <c r="S2260" s="123"/>
      <c r="T2260" s="3"/>
      <c r="W2260" s="86"/>
      <c r="Y2260" s="75"/>
    </row>
    <row r="2261" spans="1:25" x14ac:dyDescent="0.25">
      <c r="A2261" s="75"/>
      <c r="C2261" s="81"/>
      <c r="D2261" s="81"/>
      <c r="I2261" s="81"/>
      <c r="K2261" s="82"/>
      <c r="L2261" s="123"/>
      <c r="M2261" s="3"/>
      <c r="N2261" s="3"/>
      <c r="O2261" s="3"/>
      <c r="P2261" s="125"/>
      <c r="Q2261" s="125"/>
      <c r="R2261" s="127"/>
      <c r="S2261" s="123"/>
      <c r="T2261" s="3"/>
      <c r="W2261" s="86"/>
      <c r="Y2261" s="75"/>
    </row>
    <row r="2262" spans="1:25" x14ac:dyDescent="0.25">
      <c r="A2262" s="75"/>
      <c r="C2262" s="81"/>
      <c r="D2262" s="81"/>
      <c r="I2262" s="81"/>
      <c r="K2262" s="82"/>
      <c r="L2262" s="123"/>
      <c r="M2262" s="3"/>
      <c r="N2262" s="3"/>
      <c r="O2262" s="3"/>
      <c r="P2262" s="125"/>
      <c r="Q2262" s="125"/>
      <c r="R2262" s="127"/>
      <c r="S2262" s="123"/>
      <c r="T2262" s="3"/>
      <c r="W2262" s="86"/>
      <c r="Y2262" s="75"/>
    </row>
    <row r="2263" spans="1:25" x14ac:dyDescent="0.25">
      <c r="A2263" s="75"/>
      <c r="C2263" s="81"/>
      <c r="D2263" s="81"/>
      <c r="I2263" s="81"/>
      <c r="K2263" s="82"/>
      <c r="L2263" s="123"/>
      <c r="M2263" s="3"/>
      <c r="N2263" s="3"/>
      <c r="O2263" s="3"/>
      <c r="P2263" s="125"/>
      <c r="Q2263" s="125"/>
      <c r="R2263" s="127"/>
      <c r="S2263" s="123"/>
      <c r="T2263" s="3"/>
      <c r="W2263" s="86"/>
      <c r="Y2263" s="75"/>
    </row>
    <row r="2264" spans="1:25" x14ac:dyDescent="0.25">
      <c r="A2264" s="75"/>
      <c r="C2264" s="81"/>
      <c r="D2264" s="81"/>
      <c r="I2264" s="81"/>
      <c r="K2264" s="82"/>
      <c r="L2264" s="123"/>
      <c r="M2264" s="3"/>
      <c r="N2264" s="3"/>
      <c r="O2264" s="3"/>
      <c r="P2264" s="125"/>
      <c r="Q2264" s="125"/>
      <c r="R2264" s="127"/>
      <c r="S2264" s="123"/>
      <c r="T2264" s="3"/>
      <c r="W2264" s="86"/>
      <c r="Y2264" s="75"/>
    </row>
    <row r="2265" spans="1:25" x14ac:dyDescent="0.25">
      <c r="A2265" s="75"/>
      <c r="C2265" s="81"/>
      <c r="D2265" s="81"/>
      <c r="I2265" s="81"/>
      <c r="K2265" s="82"/>
      <c r="L2265" s="123"/>
      <c r="M2265" s="3"/>
      <c r="N2265" s="3"/>
      <c r="O2265" s="3"/>
      <c r="P2265" s="125"/>
      <c r="Q2265" s="125"/>
      <c r="R2265" s="127"/>
      <c r="S2265" s="123"/>
      <c r="T2265" s="3"/>
      <c r="W2265" s="86"/>
      <c r="Y2265" s="75"/>
    </row>
    <row r="2266" spans="1:25" x14ac:dyDescent="0.25">
      <c r="A2266" s="75"/>
      <c r="C2266" s="81"/>
      <c r="D2266" s="81"/>
      <c r="I2266" s="81"/>
      <c r="K2266" s="82"/>
      <c r="L2266" s="123"/>
      <c r="M2266" s="3"/>
      <c r="N2266" s="3"/>
      <c r="O2266" s="3"/>
      <c r="P2266" s="125"/>
      <c r="Q2266" s="125"/>
      <c r="R2266" s="127"/>
      <c r="S2266" s="123"/>
      <c r="T2266" s="3"/>
      <c r="W2266" s="86"/>
      <c r="Y2266" s="75"/>
    </row>
    <row r="2267" spans="1:25" x14ac:dyDescent="0.25">
      <c r="A2267" s="75"/>
      <c r="C2267" s="81"/>
      <c r="D2267" s="81"/>
      <c r="I2267" s="81"/>
      <c r="K2267" s="82"/>
      <c r="L2267" s="123"/>
      <c r="M2267" s="3"/>
      <c r="N2267" s="3"/>
      <c r="O2267" s="3"/>
      <c r="P2267" s="125"/>
      <c r="Q2267" s="125"/>
      <c r="R2267" s="127"/>
      <c r="S2267" s="123"/>
      <c r="T2267" s="3"/>
      <c r="W2267" s="86"/>
      <c r="Y2267" s="75"/>
    </row>
    <row r="2268" spans="1:25" x14ac:dyDescent="0.25">
      <c r="A2268" s="75"/>
      <c r="C2268" s="81"/>
      <c r="D2268" s="81"/>
      <c r="I2268" s="81"/>
      <c r="K2268" s="82"/>
      <c r="L2268" s="123"/>
      <c r="M2268" s="3"/>
      <c r="N2268" s="3"/>
      <c r="O2268" s="3"/>
      <c r="P2268" s="125"/>
      <c r="Q2268" s="125"/>
      <c r="R2268" s="127"/>
      <c r="S2268" s="123"/>
      <c r="T2268" s="3"/>
      <c r="W2268" s="86"/>
      <c r="Y2268" s="75"/>
    </row>
    <row r="2269" spans="1:25" x14ac:dyDescent="0.25">
      <c r="A2269" s="75"/>
      <c r="C2269" s="81"/>
      <c r="D2269" s="81"/>
      <c r="I2269" s="81"/>
      <c r="K2269" s="82"/>
      <c r="L2269" s="123"/>
      <c r="M2269" s="3"/>
      <c r="N2269" s="3"/>
      <c r="O2269" s="3"/>
      <c r="P2269" s="125"/>
      <c r="Q2269" s="125"/>
      <c r="R2269" s="127"/>
      <c r="S2269" s="123"/>
      <c r="T2269" s="3"/>
      <c r="W2269" s="86"/>
      <c r="Y2269" s="75"/>
    </row>
    <row r="2270" spans="1:25" x14ac:dyDescent="0.25">
      <c r="A2270" s="75"/>
      <c r="C2270" s="81"/>
      <c r="D2270" s="81"/>
      <c r="I2270" s="81"/>
      <c r="K2270" s="82"/>
      <c r="L2270" s="123"/>
      <c r="M2270" s="3"/>
      <c r="N2270" s="3"/>
      <c r="O2270" s="3"/>
      <c r="P2270" s="125"/>
      <c r="Q2270" s="125"/>
      <c r="R2270" s="127"/>
      <c r="S2270" s="123"/>
      <c r="T2270" s="3"/>
      <c r="W2270" s="86"/>
      <c r="Y2270" s="75"/>
    </row>
    <row r="2271" spans="1:25" x14ac:dyDescent="0.25">
      <c r="A2271" s="75"/>
      <c r="C2271" s="81"/>
      <c r="D2271" s="81"/>
      <c r="I2271" s="81"/>
      <c r="K2271" s="82"/>
      <c r="L2271" s="123"/>
      <c r="M2271" s="3"/>
      <c r="N2271" s="3"/>
      <c r="O2271" s="3"/>
      <c r="P2271" s="125"/>
      <c r="Q2271" s="125"/>
      <c r="R2271" s="127"/>
      <c r="S2271" s="123"/>
      <c r="T2271" s="3"/>
      <c r="W2271" s="86"/>
      <c r="Y2271" s="75"/>
    </row>
    <row r="2272" spans="1:25" x14ac:dyDescent="0.25">
      <c r="A2272" s="75"/>
      <c r="C2272" s="81"/>
      <c r="D2272" s="81"/>
      <c r="I2272" s="81"/>
      <c r="K2272" s="82"/>
      <c r="L2272" s="123"/>
      <c r="M2272" s="3"/>
      <c r="N2272" s="3"/>
      <c r="O2272" s="3"/>
      <c r="P2272" s="125"/>
      <c r="Q2272" s="125"/>
      <c r="R2272" s="127"/>
      <c r="S2272" s="123"/>
      <c r="T2272" s="3"/>
      <c r="W2272" s="86"/>
      <c r="Y2272" s="75"/>
    </row>
    <row r="2273" spans="1:25" x14ac:dyDescent="0.25">
      <c r="A2273" s="75"/>
      <c r="C2273" s="81"/>
      <c r="D2273" s="81"/>
      <c r="I2273" s="81"/>
      <c r="K2273" s="82"/>
      <c r="L2273" s="123"/>
      <c r="M2273" s="3"/>
      <c r="N2273" s="3"/>
      <c r="O2273" s="3"/>
      <c r="P2273" s="125"/>
      <c r="Q2273" s="125"/>
      <c r="R2273" s="127"/>
      <c r="S2273" s="123"/>
      <c r="T2273" s="3"/>
      <c r="W2273" s="86"/>
      <c r="Y2273" s="75"/>
    </row>
    <row r="2274" spans="1:25" x14ac:dyDescent="0.25">
      <c r="A2274" s="75"/>
      <c r="C2274" s="81"/>
      <c r="D2274" s="81"/>
      <c r="I2274" s="81"/>
      <c r="K2274" s="82"/>
      <c r="L2274" s="123"/>
      <c r="M2274" s="3"/>
      <c r="N2274" s="3"/>
      <c r="O2274" s="3"/>
      <c r="P2274" s="125"/>
      <c r="Q2274" s="125"/>
      <c r="R2274" s="127"/>
      <c r="S2274" s="123"/>
      <c r="T2274" s="3"/>
      <c r="W2274" s="86"/>
      <c r="Y2274" s="75"/>
    </row>
    <row r="2275" spans="1:25" x14ac:dyDescent="0.25">
      <c r="A2275" s="75"/>
      <c r="C2275" s="81"/>
      <c r="D2275" s="81"/>
      <c r="I2275" s="81"/>
      <c r="K2275" s="82"/>
      <c r="L2275" s="123"/>
      <c r="M2275" s="3"/>
      <c r="N2275" s="3"/>
      <c r="O2275" s="3"/>
      <c r="P2275" s="125"/>
      <c r="Q2275" s="125"/>
      <c r="R2275" s="127"/>
      <c r="S2275" s="123"/>
      <c r="T2275" s="3"/>
      <c r="W2275" s="86"/>
      <c r="Y2275" s="75"/>
    </row>
    <row r="2276" spans="1:25" x14ac:dyDescent="0.25">
      <c r="A2276" s="75"/>
      <c r="C2276" s="81"/>
      <c r="D2276" s="81"/>
      <c r="I2276" s="81"/>
      <c r="K2276" s="82"/>
      <c r="L2276" s="123"/>
      <c r="M2276" s="3"/>
      <c r="N2276" s="3"/>
      <c r="O2276" s="3"/>
      <c r="P2276" s="125"/>
      <c r="Q2276" s="125"/>
      <c r="R2276" s="127"/>
      <c r="S2276" s="123"/>
      <c r="T2276" s="3"/>
      <c r="W2276" s="86"/>
      <c r="Y2276" s="75"/>
    </row>
    <row r="2277" spans="1:25" x14ac:dyDescent="0.25">
      <c r="A2277" s="75"/>
      <c r="C2277" s="81"/>
      <c r="D2277" s="81"/>
      <c r="I2277" s="81"/>
      <c r="K2277" s="82"/>
      <c r="L2277" s="123"/>
      <c r="M2277" s="3"/>
      <c r="N2277" s="3"/>
      <c r="O2277" s="3"/>
      <c r="P2277" s="125"/>
      <c r="Q2277" s="125"/>
      <c r="R2277" s="127"/>
      <c r="S2277" s="123"/>
      <c r="T2277" s="3"/>
      <c r="W2277" s="86"/>
      <c r="Y2277" s="75"/>
    </row>
    <row r="2278" spans="1:25" x14ac:dyDescent="0.25">
      <c r="A2278" s="75"/>
      <c r="C2278" s="81"/>
      <c r="D2278" s="81"/>
      <c r="I2278" s="81"/>
      <c r="K2278" s="82"/>
      <c r="L2278" s="123"/>
      <c r="M2278" s="3"/>
      <c r="N2278" s="3"/>
      <c r="O2278" s="3"/>
      <c r="P2278" s="125"/>
      <c r="Q2278" s="125"/>
      <c r="R2278" s="127"/>
      <c r="S2278" s="123"/>
      <c r="T2278" s="3"/>
      <c r="W2278" s="86"/>
      <c r="Y2278" s="75"/>
    </row>
    <row r="2279" spans="1:25" x14ac:dyDescent="0.25">
      <c r="A2279" s="75"/>
      <c r="C2279" s="81"/>
      <c r="D2279" s="81"/>
      <c r="I2279" s="81"/>
      <c r="K2279" s="82"/>
      <c r="L2279" s="123"/>
      <c r="M2279" s="3"/>
      <c r="N2279" s="3"/>
      <c r="O2279" s="3"/>
      <c r="P2279" s="125"/>
      <c r="Q2279" s="125"/>
      <c r="R2279" s="127"/>
      <c r="S2279" s="123"/>
      <c r="T2279" s="3"/>
      <c r="W2279" s="86"/>
      <c r="Y2279" s="75"/>
    </row>
    <row r="2280" spans="1:25" x14ac:dyDescent="0.25">
      <c r="A2280" s="75"/>
      <c r="C2280" s="81"/>
      <c r="D2280" s="81"/>
      <c r="I2280" s="81"/>
      <c r="K2280" s="82"/>
      <c r="L2280" s="123"/>
      <c r="M2280" s="3"/>
      <c r="N2280" s="3"/>
      <c r="O2280" s="3"/>
      <c r="P2280" s="125"/>
      <c r="Q2280" s="125"/>
      <c r="R2280" s="127"/>
      <c r="S2280" s="123"/>
      <c r="T2280" s="3"/>
      <c r="W2280" s="86"/>
      <c r="Y2280" s="75"/>
    </row>
    <row r="2281" spans="1:25" x14ac:dyDescent="0.25">
      <c r="A2281" s="75"/>
      <c r="C2281" s="81"/>
      <c r="D2281" s="81"/>
      <c r="I2281" s="81"/>
      <c r="K2281" s="82"/>
      <c r="L2281" s="123"/>
      <c r="M2281" s="3"/>
      <c r="N2281" s="3"/>
      <c r="O2281" s="3"/>
      <c r="P2281" s="125"/>
      <c r="Q2281" s="125"/>
      <c r="R2281" s="127"/>
      <c r="S2281" s="123"/>
      <c r="T2281" s="3"/>
      <c r="W2281" s="86"/>
      <c r="Y2281" s="75"/>
    </row>
    <row r="2282" spans="1:25" x14ac:dyDescent="0.25">
      <c r="A2282" s="75"/>
      <c r="C2282" s="81"/>
      <c r="D2282" s="81"/>
      <c r="I2282" s="81"/>
      <c r="K2282" s="82"/>
      <c r="L2282" s="123"/>
      <c r="M2282" s="3"/>
      <c r="N2282" s="3"/>
      <c r="O2282" s="3"/>
      <c r="P2282" s="125"/>
      <c r="Q2282" s="125"/>
      <c r="R2282" s="127"/>
      <c r="S2282" s="123"/>
      <c r="T2282" s="3"/>
      <c r="W2282" s="86"/>
      <c r="Y2282" s="75"/>
    </row>
    <row r="2283" spans="1:25" x14ac:dyDescent="0.25">
      <c r="A2283" s="75"/>
      <c r="C2283" s="81"/>
      <c r="D2283" s="81"/>
      <c r="I2283" s="81"/>
      <c r="K2283" s="82"/>
      <c r="L2283" s="123"/>
      <c r="M2283" s="3"/>
      <c r="N2283" s="3"/>
      <c r="O2283" s="3"/>
      <c r="P2283" s="125"/>
      <c r="Q2283" s="125"/>
      <c r="R2283" s="127"/>
      <c r="S2283" s="123"/>
      <c r="T2283" s="3"/>
      <c r="W2283" s="86"/>
      <c r="Y2283" s="75"/>
    </row>
    <row r="2284" spans="1:25" x14ac:dyDescent="0.25">
      <c r="A2284" s="75"/>
      <c r="C2284" s="81"/>
      <c r="D2284" s="81"/>
      <c r="I2284" s="81"/>
      <c r="K2284" s="82"/>
      <c r="L2284" s="123"/>
      <c r="M2284" s="3"/>
      <c r="N2284" s="3"/>
      <c r="O2284" s="3"/>
      <c r="P2284" s="125"/>
      <c r="Q2284" s="125"/>
      <c r="R2284" s="127"/>
      <c r="S2284" s="123"/>
      <c r="T2284" s="3"/>
      <c r="W2284" s="86"/>
      <c r="Y2284" s="75"/>
    </row>
    <row r="2285" spans="1:25" x14ac:dyDescent="0.25">
      <c r="A2285" s="75"/>
      <c r="C2285" s="81"/>
      <c r="D2285" s="81"/>
      <c r="I2285" s="81"/>
      <c r="K2285" s="82"/>
      <c r="L2285" s="123"/>
      <c r="M2285" s="3"/>
      <c r="N2285" s="3"/>
      <c r="O2285" s="3"/>
      <c r="P2285" s="125"/>
      <c r="Q2285" s="125"/>
      <c r="R2285" s="127"/>
      <c r="S2285" s="123"/>
      <c r="T2285" s="3"/>
      <c r="W2285" s="86"/>
      <c r="Y2285" s="75"/>
    </row>
    <row r="2286" spans="1:25" x14ac:dyDescent="0.25">
      <c r="A2286" s="75"/>
      <c r="C2286" s="81"/>
      <c r="D2286" s="81"/>
      <c r="I2286" s="81"/>
      <c r="K2286" s="82"/>
      <c r="L2286" s="123"/>
      <c r="M2286" s="3"/>
      <c r="N2286" s="3"/>
      <c r="O2286" s="3"/>
      <c r="P2286" s="125"/>
      <c r="Q2286" s="125"/>
      <c r="R2286" s="127"/>
      <c r="S2286" s="123"/>
      <c r="T2286" s="3"/>
      <c r="W2286" s="86"/>
      <c r="Y2286" s="75"/>
    </row>
    <row r="2287" spans="1:25" x14ac:dyDescent="0.25">
      <c r="A2287" s="75"/>
      <c r="C2287" s="81"/>
      <c r="D2287" s="81"/>
      <c r="I2287" s="81"/>
      <c r="K2287" s="82"/>
      <c r="L2287" s="123"/>
      <c r="M2287" s="3"/>
      <c r="N2287" s="3"/>
      <c r="O2287" s="3"/>
      <c r="P2287" s="125"/>
      <c r="Q2287" s="125"/>
      <c r="R2287" s="127"/>
      <c r="S2287" s="123"/>
      <c r="T2287" s="3"/>
      <c r="W2287" s="86"/>
      <c r="Y2287" s="75"/>
    </row>
    <row r="2288" spans="1:25" x14ac:dyDescent="0.25">
      <c r="A2288" s="75"/>
      <c r="C2288" s="81"/>
      <c r="D2288" s="81"/>
      <c r="I2288" s="81"/>
      <c r="K2288" s="82"/>
      <c r="L2288" s="123"/>
      <c r="M2288" s="3"/>
      <c r="N2288" s="3"/>
      <c r="O2288" s="3"/>
      <c r="P2288" s="125"/>
      <c r="Q2288" s="125"/>
      <c r="R2288" s="127"/>
      <c r="S2288" s="123"/>
      <c r="T2288" s="3"/>
      <c r="W2288" s="86"/>
      <c r="Y2288" s="75"/>
    </row>
    <row r="2289" spans="1:25" x14ac:dyDescent="0.25">
      <c r="A2289" s="75"/>
      <c r="C2289" s="81"/>
      <c r="D2289" s="81"/>
      <c r="I2289" s="81"/>
      <c r="K2289" s="82"/>
      <c r="L2289" s="123"/>
      <c r="M2289" s="3"/>
      <c r="N2289" s="3"/>
      <c r="O2289" s="3"/>
      <c r="P2289" s="125"/>
      <c r="Q2289" s="125"/>
      <c r="R2289" s="127"/>
      <c r="S2289" s="123"/>
      <c r="T2289" s="3"/>
      <c r="W2289" s="86"/>
      <c r="Y2289" s="75"/>
    </row>
    <row r="2290" spans="1:25" x14ac:dyDescent="0.25">
      <c r="A2290" s="75"/>
      <c r="C2290" s="81"/>
      <c r="D2290" s="81"/>
      <c r="I2290" s="81"/>
      <c r="K2290" s="82"/>
      <c r="L2290" s="123"/>
      <c r="M2290" s="3"/>
      <c r="N2290" s="3"/>
      <c r="O2290" s="3"/>
      <c r="P2290" s="125"/>
      <c r="Q2290" s="125"/>
      <c r="R2290" s="127"/>
      <c r="S2290" s="123"/>
      <c r="T2290" s="3"/>
      <c r="W2290" s="86"/>
      <c r="Y2290" s="75"/>
    </row>
    <row r="2291" spans="1:25" x14ac:dyDescent="0.25">
      <c r="A2291" s="75"/>
      <c r="C2291" s="81"/>
      <c r="D2291" s="81"/>
      <c r="I2291" s="81"/>
      <c r="K2291" s="82"/>
      <c r="L2291" s="123"/>
      <c r="M2291" s="3"/>
      <c r="N2291" s="3"/>
      <c r="O2291" s="3"/>
      <c r="P2291" s="125"/>
      <c r="Q2291" s="125"/>
      <c r="R2291" s="127"/>
      <c r="S2291" s="123"/>
      <c r="T2291" s="3"/>
      <c r="W2291" s="86"/>
      <c r="Y2291" s="75"/>
    </row>
    <row r="2292" spans="1:25" x14ac:dyDescent="0.25">
      <c r="A2292" s="75"/>
      <c r="C2292" s="81"/>
      <c r="D2292" s="81"/>
      <c r="I2292" s="81"/>
      <c r="K2292" s="82"/>
      <c r="L2292" s="123"/>
      <c r="M2292" s="3"/>
      <c r="N2292" s="3"/>
      <c r="O2292" s="3"/>
      <c r="P2292" s="125"/>
      <c r="Q2292" s="125"/>
      <c r="R2292" s="127"/>
      <c r="S2292" s="123"/>
      <c r="T2292" s="3"/>
      <c r="W2292" s="86"/>
      <c r="Y2292" s="75"/>
    </row>
    <row r="2293" spans="1:25" x14ac:dyDescent="0.25">
      <c r="A2293" s="75"/>
      <c r="C2293" s="81"/>
      <c r="D2293" s="81"/>
      <c r="I2293" s="81"/>
      <c r="K2293" s="82"/>
      <c r="L2293" s="123"/>
      <c r="M2293" s="3"/>
      <c r="N2293" s="3"/>
      <c r="O2293" s="3"/>
      <c r="P2293" s="125"/>
      <c r="Q2293" s="125"/>
      <c r="R2293" s="127"/>
      <c r="S2293" s="123"/>
      <c r="T2293" s="3"/>
      <c r="W2293" s="86"/>
      <c r="Y2293" s="75"/>
    </row>
    <row r="2294" spans="1:25" x14ac:dyDescent="0.25">
      <c r="A2294" s="75"/>
      <c r="C2294" s="81"/>
      <c r="D2294" s="81"/>
      <c r="I2294" s="81"/>
      <c r="K2294" s="82"/>
      <c r="L2294" s="123"/>
      <c r="M2294" s="3"/>
      <c r="N2294" s="3"/>
      <c r="O2294" s="3"/>
      <c r="P2294" s="125"/>
      <c r="Q2294" s="125"/>
      <c r="R2294" s="127"/>
      <c r="S2294" s="123"/>
      <c r="T2294" s="3"/>
      <c r="W2294" s="86"/>
      <c r="Y2294" s="75"/>
    </row>
    <row r="2295" spans="1:25" x14ac:dyDescent="0.25">
      <c r="A2295" s="75"/>
      <c r="C2295" s="81"/>
      <c r="D2295" s="81"/>
      <c r="I2295" s="81"/>
      <c r="K2295" s="82"/>
      <c r="L2295" s="123"/>
      <c r="M2295" s="3"/>
      <c r="N2295" s="3"/>
      <c r="O2295" s="3"/>
      <c r="P2295" s="125"/>
      <c r="Q2295" s="125"/>
      <c r="R2295" s="127"/>
      <c r="S2295" s="123"/>
      <c r="T2295" s="3"/>
      <c r="W2295" s="86"/>
      <c r="Y2295" s="75"/>
    </row>
    <row r="2296" spans="1:25" x14ac:dyDescent="0.25">
      <c r="A2296" s="75"/>
      <c r="C2296" s="81"/>
      <c r="D2296" s="81"/>
      <c r="I2296" s="81"/>
      <c r="K2296" s="82"/>
      <c r="L2296" s="123"/>
      <c r="M2296" s="3"/>
      <c r="N2296" s="3"/>
      <c r="O2296" s="3"/>
      <c r="P2296" s="125"/>
      <c r="Q2296" s="125"/>
      <c r="R2296" s="127"/>
      <c r="S2296" s="123"/>
      <c r="T2296" s="3"/>
      <c r="W2296" s="86"/>
      <c r="Y2296" s="75"/>
    </row>
    <row r="2297" spans="1:25" x14ac:dyDescent="0.25">
      <c r="A2297" s="75"/>
      <c r="C2297" s="81"/>
      <c r="D2297" s="81"/>
      <c r="I2297" s="81"/>
      <c r="K2297" s="82"/>
      <c r="L2297" s="123"/>
      <c r="M2297" s="3"/>
      <c r="N2297" s="3"/>
      <c r="O2297" s="3"/>
      <c r="P2297" s="125"/>
      <c r="Q2297" s="125"/>
      <c r="R2297" s="127"/>
      <c r="S2297" s="123"/>
      <c r="T2297" s="3"/>
      <c r="W2297" s="86"/>
      <c r="Y2297" s="75"/>
    </row>
    <row r="2298" spans="1:25" x14ac:dyDescent="0.25">
      <c r="A2298" s="75"/>
      <c r="C2298" s="81"/>
      <c r="D2298" s="81"/>
      <c r="I2298" s="81"/>
      <c r="K2298" s="82"/>
      <c r="L2298" s="123"/>
      <c r="M2298" s="3"/>
      <c r="N2298" s="3"/>
      <c r="O2298" s="3"/>
      <c r="P2298" s="125"/>
      <c r="Q2298" s="125"/>
      <c r="R2298" s="127"/>
      <c r="S2298" s="123"/>
      <c r="T2298" s="3"/>
      <c r="W2298" s="86"/>
      <c r="Y2298" s="75"/>
    </row>
    <row r="2299" spans="1:25" x14ac:dyDescent="0.25">
      <c r="A2299" s="75"/>
      <c r="C2299" s="81"/>
      <c r="D2299" s="81"/>
      <c r="I2299" s="81"/>
      <c r="K2299" s="82"/>
      <c r="L2299" s="123"/>
      <c r="M2299" s="3"/>
      <c r="N2299" s="3"/>
      <c r="O2299" s="3"/>
      <c r="P2299" s="125"/>
      <c r="Q2299" s="125"/>
      <c r="R2299" s="127"/>
      <c r="S2299" s="123"/>
      <c r="T2299" s="3"/>
      <c r="W2299" s="86"/>
      <c r="Y2299" s="75"/>
    </row>
    <row r="2300" spans="1:25" x14ac:dyDescent="0.25">
      <c r="A2300" s="75"/>
      <c r="C2300" s="81"/>
      <c r="D2300" s="81"/>
      <c r="I2300" s="81"/>
      <c r="K2300" s="82"/>
      <c r="L2300" s="123"/>
      <c r="M2300" s="3"/>
      <c r="N2300" s="3"/>
      <c r="O2300" s="3"/>
      <c r="P2300" s="125"/>
      <c r="Q2300" s="125"/>
      <c r="R2300" s="127"/>
      <c r="S2300" s="123"/>
      <c r="T2300" s="3"/>
      <c r="W2300" s="86"/>
      <c r="Y2300" s="75"/>
    </row>
    <row r="2301" spans="1:25" x14ac:dyDescent="0.25">
      <c r="A2301" s="75"/>
      <c r="C2301" s="81"/>
      <c r="D2301" s="81"/>
      <c r="I2301" s="81"/>
      <c r="K2301" s="82"/>
      <c r="L2301" s="123"/>
      <c r="M2301" s="3"/>
      <c r="N2301" s="3"/>
      <c r="O2301" s="3"/>
      <c r="P2301" s="125"/>
      <c r="Q2301" s="125"/>
      <c r="R2301" s="127"/>
      <c r="S2301" s="123"/>
      <c r="T2301" s="3"/>
      <c r="W2301" s="86"/>
      <c r="Y2301" s="75"/>
    </row>
    <row r="2302" spans="1:25" x14ac:dyDescent="0.25">
      <c r="A2302" s="75"/>
      <c r="C2302" s="81"/>
      <c r="D2302" s="81"/>
      <c r="I2302" s="81"/>
      <c r="K2302" s="82"/>
      <c r="L2302" s="123"/>
      <c r="M2302" s="3"/>
      <c r="N2302" s="3"/>
      <c r="O2302" s="3"/>
      <c r="P2302" s="125"/>
      <c r="Q2302" s="125"/>
      <c r="R2302" s="127"/>
      <c r="S2302" s="123"/>
      <c r="T2302" s="3"/>
      <c r="W2302" s="86"/>
      <c r="Y2302" s="75"/>
    </row>
    <row r="2303" spans="1:25" x14ac:dyDescent="0.25">
      <c r="A2303" s="75"/>
      <c r="C2303" s="81"/>
      <c r="D2303" s="81"/>
      <c r="I2303" s="81"/>
      <c r="K2303" s="82"/>
      <c r="L2303" s="123"/>
      <c r="M2303" s="3"/>
      <c r="N2303" s="3"/>
      <c r="O2303" s="3"/>
      <c r="P2303" s="125"/>
      <c r="Q2303" s="125"/>
      <c r="R2303" s="127"/>
      <c r="S2303" s="123"/>
      <c r="T2303" s="3"/>
      <c r="W2303" s="86"/>
      <c r="Y2303" s="75"/>
    </row>
    <row r="2304" spans="1:25" x14ac:dyDescent="0.25">
      <c r="A2304" s="75"/>
      <c r="C2304" s="81"/>
      <c r="D2304" s="81"/>
      <c r="I2304" s="81"/>
      <c r="K2304" s="82"/>
      <c r="L2304" s="123"/>
      <c r="M2304" s="3"/>
      <c r="N2304" s="3"/>
      <c r="O2304" s="3"/>
      <c r="P2304" s="125"/>
      <c r="Q2304" s="125"/>
      <c r="R2304" s="127"/>
      <c r="S2304" s="123"/>
      <c r="T2304" s="3"/>
      <c r="W2304" s="86"/>
      <c r="Y2304" s="75"/>
    </row>
    <row r="2305" spans="1:25" x14ac:dyDescent="0.25">
      <c r="A2305" s="75"/>
      <c r="C2305" s="81"/>
      <c r="D2305" s="81"/>
      <c r="I2305" s="81"/>
      <c r="K2305" s="82"/>
      <c r="L2305" s="123"/>
      <c r="M2305" s="3"/>
      <c r="N2305" s="3"/>
      <c r="O2305" s="3"/>
      <c r="P2305" s="125"/>
      <c r="Q2305" s="125"/>
      <c r="R2305" s="127"/>
      <c r="S2305" s="123"/>
      <c r="T2305" s="3"/>
      <c r="W2305" s="86"/>
      <c r="Y2305" s="75"/>
    </row>
    <row r="2306" spans="1:25" x14ac:dyDescent="0.25">
      <c r="A2306" s="75"/>
      <c r="C2306" s="81"/>
      <c r="D2306" s="81"/>
      <c r="I2306" s="81"/>
      <c r="K2306" s="82"/>
      <c r="L2306" s="123"/>
      <c r="M2306" s="3"/>
      <c r="N2306" s="3"/>
      <c r="O2306" s="3"/>
      <c r="P2306" s="125"/>
      <c r="Q2306" s="125"/>
      <c r="R2306" s="127"/>
      <c r="S2306" s="123"/>
      <c r="T2306" s="3"/>
      <c r="W2306" s="86"/>
      <c r="Y2306" s="75"/>
    </row>
    <row r="2307" spans="1:25" x14ac:dyDescent="0.25">
      <c r="A2307" s="75"/>
      <c r="C2307" s="81"/>
      <c r="D2307" s="81"/>
      <c r="I2307" s="81"/>
      <c r="K2307" s="82"/>
      <c r="L2307" s="123"/>
      <c r="M2307" s="3"/>
      <c r="N2307" s="3"/>
      <c r="O2307" s="3"/>
      <c r="P2307" s="125"/>
      <c r="Q2307" s="125"/>
      <c r="R2307" s="127"/>
      <c r="S2307" s="123"/>
      <c r="T2307" s="3"/>
      <c r="W2307" s="86"/>
      <c r="Y2307" s="75"/>
    </row>
    <row r="2308" spans="1:25" x14ac:dyDescent="0.25">
      <c r="A2308" s="75"/>
      <c r="C2308" s="81"/>
      <c r="D2308" s="81"/>
      <c r="I2308" s="81"/>
      <c r="K2308" s="82"/>
      <c r="L2308" s="123"/>
      <c r="M2308" s="3"/>
      <c r="N2308" s="3"/>
      <c r="O2308" s="3"/>
      <c r="P2308" s="125"/>
      <c r="Q2308" s="125"/>
      <c r="R2308" s="127"/>
      <c r="S2308" s="123"/>
      <c r="T2308" s="3"/>
      <c r="W2308" s="86"/>
      <c r="Y2308" s="75"/>
    </row>
    <row r="2309" spans="1:25" x14ac:dyDescent="0.25">
      <c r="A2309" s="75"/>
      <c r="C2309" s="81"/>
      <c r="D2309" s="81"/>
      <c r="I2309" s="81"/>
      <c r="K2309" s="82"/>
      <c r="L2309" s="123"/>
      <c r="M2309" s="3"/>
      <c r="N2309" s="3"/>
      <c r="O2309" s="3"/>
      <c r="P2309" s="125"/>
      <c r="Q2309" s="125"/>
      <c r="R2309" s="127"/>
      <c r="S2309" s="123"/>
      <c r="T2309" s="3"/>
      <c r="W2309" s="86"/>
      <c r="Y2309" s="75"/>
    </row>
    <row r="2310" spans="1:25" x14ac:dyDescent="0.25">
      <c r="A2310" s="75"/>
      <c r="C2310" s="81"/>
      <c r="D2310" s="81"/>
      <c r="I2310" s="81"/>
      <c r="K2310" s="82"/>
      <c r="L2310" s="123"/>
      <c r="M2310" s="3"/>
      <c r="N2310" s="3"/>
      <c r="O2310" s="3"/>
      <c r="P2310" s="125"/>
      <c r="Q2310" s="125"/>
      <c r="R2310" s="127"/>
      <c r="S2310" s="123"/>
      <c r="T2310" s="3"/>
      <c r="W2310" s="86"/>
      <c r="Y2310" s="75"/>
    </row>
    <row r="2311" spans="1:25" x14ac:dyDescent="0.25">
      <c r="A2311" s="75"/>
      <c r="C2311" s="81"/>
      <c r="D2311" s="81"/>
      <c r="I2311" s="81"/>
      <c r="K2311" s="82"/>
      <c r="L2311" s="123"/>
      <c r="M2311" s="3"/>
      <c r="N2311" s="3"/>
      <c r="O2311" s="3"/>
      <c r="P2311" s="125"/>
      <c r="Q2311" s="125"/>
      <c r="R2311" s="127"/>
      <c r="S2311" s="123"/>
      <c r="T2311" s="3"/>
      <c r="W2311" s="86"/>
      <c r="Y2311" s="75"/>
    </row>
    <row r="2312" spans="1:25" x14ac:dyDescent="0.25">
      <c r="A2312" s="75"/>
      <c r="C2312" s="81"/>
      <c r="D2312" s="81"/>
      <c r="I2312" s="81"/>
      <c r="K2312" s="82"/>
      <c r="L2312" s="123"/>
      <c r="M2312" s="3"/>
      <c r="N2312" s="3"/>
      <c r="O2312" s="3"/>
      <c r="P2312" s="125"/>
      <c r="Q2312" s="125"/>
      <c r="R2312" s="127"/>
      <c r="S2312" s="123"/>
      <c r="T2312" s="3"/>
      <c r="W2312" s="86"/>
      <c r="Y2312" s="75"/>
    </row>
    <row r="2313" spans="1:25" x14ac:dyDescent="0.25">
      <c r="A2313" s="75"/>
      <c r="C2313" s="81"/>
      <c r="D2313" s="81"/>
      <c r="I2313" s="81"/>
      <c r="K2313" s="82"/>
      <c r="L2313" s="123"/>
      <c r="M2313" s="3"/>
      <c r="N2313" s="3"/>
      <c r="O2313" s="3"/>
      <c r="P2313" s="125"/>
      <c r="Q2313" s="125"/>
      <c r="R2313" s="127"/>
      <c r="S2313" s="123"/>
      <c r="T2313" s="3"/>
      <c r="W2313" s="86"/>
      <c r="Y2313" s="75"/>
    </row>
    <row r="2314" spans="1:25" x14ac:dyDescent="0.25">
      <c r="A2314" s="75"/>
      <c r="C2314" s="81"/>
      <c r="D2314" s="81"/>
      <c r="I2314" s="81"/>
      <c r="K2314" s="82"/>
      <c r="L2314" s="123"/>
      <c r="M2314" s="3"/>
      <c r="N2314" s="3"/>
      <c r="O2314" s="3"/>
      <c r="P2314" s="125"/>
      <c r="Q2314" s="125"/>
      <c r="R2314" s="127"/>
      <c r="S2314" s="123"/>
      <c r="T2314" s="3"/>
      <c r="W2314" s="86"/>
      <c r="Y2314" s="75"/>
    </row>
    <row r="2315" spans="1:25" x14ac:dyDescent="0.25">
      <c r="A2315" s="75"/>
      <c r="C2315" s="81"/>
      <c r="D2315" s="81"/>
      <c r="I2315" s="81"/>
      <c r="K2315" s="82"/>
      <c r="L2315" s="123"/>
      <c r="M2315" s="3"/>
      <c r="N2315" s="3"/>
      <c r="O2315" s="3"/>
      <c r="P2315" s="125"/>
      <c r="Q2315" s="125"/>
      <c r="R2315" s="127"/>
      <c r="S2315" s="123"/>
      <c r="T2315" s="3"/>
      <c r="W2315" s="86"/>
      <c r="Y2315" s="75"/>
    </row>
    <row r="2316" spans="1:25" x14ac:dyDescent="0.25">
      <c r="A2316" s="75"/>
      <c r="C2316" s="81"/>
      <c r="D2316" s="81"/>
      <c r="I2316" s="81"/>
      <c r="K2316" s="82"/>
      <c r="L2316" s="123"/>
      <c r="M2316" s="3"/>
      <c r="N2316" s="3"/>
      <c r="O2316" s="3"/>
      <c r="P2316" s="125"/>
      <c r="Q2316" s="125"/>
      <c r="R2316" s="127"/>
      <c r="S2316" s="123"/>
      <c r="T2316" s="3"/>
      <c r="W2316" s="86"/>
      <c r="Y2316" s="75"/>
    </row>
    <row r="2317" spans="1:25" x14ac:dyDescent="0.25">
      <c r="A2317" s="75"/>
      <c r="C2317" s="81"/>
      <c r="D2317" s="81"/>
      <c r="I2317" s="81"/>
      <c r="K2317" s="82"/>
      <c r="L2317" s="123"/>
      <c r="M2317" s="3"/>
      <c r="N2317" s="3"/>
      <c r="O2317" s="3"/>
      <c r="P2317" s="125"/>
      <c r="Q2317" s="125"/>
      <c r="R2317" s="127"/>
      <c r="S2317" s="123"/>
      <c r="T2317" s="3"/>
      <c r="W2317" s="86"/>
      <c r="Y2317" s="75"/>
    </row>
    <row r="2318" spans="1:25" x14ac:dyDescent="0.25">
      <c r="A2318" s="75"/>
      <c r="C2318" s="81"/>
      <c r="D2318" s="81"/>
      <c r="I2318" s="81"/>
      <c r="K2318" s="82"/>
      <c r="L2318" s="123"/>
      <c r="M2318" s="3"/>
      <c r="N2318" s="3"/>
      <c r="O2318" s="3"/>
      <c r="P2318" s="125"/>
      <c r="Q2318" s="125"/>
      <c r="R2318" s="127"/>
      <c r="S2318" s="123"/>
      <c r="T2318" s="3"/>
      <c r="W2318" s="86"/>
      <c r="Y2318" s="75"/>
    </row>
    <row r="2319" spans="1:25" x14ac:dyDescent="0.25">
      <c r="A2319" s="75"/>
      <c r="C2319" s="81"/>
      <c r="D2319" s="81"/>
      <c r="I2319" s="81"/>
      <c r="K2319" s="82"/>
      <c r="L2319" s="123"/>
      <c r="M2319" s="3"/>
      <c r="N2319" s="3"/>
      <c r="O2319" s="3"/>
      <c r="P2319" s="125"/>
      <c r="Q2319" s="125"/>
      <c r="R2319" s="127"/>
      <c r="S2319" s="123"/>
      <c r="T2319" s="3"/>
      <c r="W2319" s="86"/>
      <c r="Y2319" s="75"/>
    </row>
    <row r="2320" spans="1:25" x14ac:dyDescent="0.25">
      <c r="A2320" s="75"/>
      <c r="C2320" s="81"/>
      <c r="D2320" s="81"/>
      <c r="I2320" s="81"/>
      <c r="K2320" s="82"/>
      <c r="L2320" s="123"/>
      <c r="M2320" s="3"/>
      <c r="N2320" s="3"/>
      <c r="O2320" s="3"/>
      <c r="P2320" s="125"/>
      <c r="Q2320" s="125"/>
      <c r="R2320" s="127"/>
      <c r="S2320" s="123"/>
      <c r="T2320" s="3"/>
      <c r="W2320" s="86"/>
      <c r="Y2320" s="75"/>
    </row>
    <row r="2321" spans="1:25" x14ac:dyDescent="0.25">
      <c r="A2321" s="75"/>
      <c r="C2321" s="81"/>
      <c r="D2321" s="81"/>
      <c r="I2321" s="81"/>
      <c r="K2321" s="82"/>
      <c r="L2321" s="123"/>
      <c r="M2321" s="3"/>
      <c r="N2321" s="3"/>
      <c r="O2321" s="3"/>
      <c r="P2321" s="125"/>
      <c r="Q2321" s="125"/>
      <c r="R2321" s="127"/>
      <c r="S2321" s="123"/>
      <c r="T2321" s="3"/>
      <c r="W2321" s="86"/>
      <c r="Y2321" s="75"/>
    </row>
    <row r="2322" spans="1:25" x14ac:dyDescent="0.25">
      <c r="A2322" s="75"/>
      <c r="C2322" s="81"/>
      <c r="D2322" s="81"/>
      <c r="I2322" s="81"/>
      <c r="K2322" s="82"/>
      <c r="L2322" s="123"/>
      <c r="M2322" s="3"/>
      <c r="N2322" s="3"/>
      <c r="O2322" s="3"/>
      <c r="P2322" s="125"/>
      <c r="Q2322" s="125"/>
      <c r="R2322" s="127"/>
      <c r="S2322" s="123"/>
      <c r="T2322" s="3"/>
      <c r="W2322" s="86"/>
      <c r="Y2322" s="75"/>
    </row>
    <row r="2323" spans="1:25" x14ac:dyDescent="0.25">
      <c r="A2323" s="75"/>
      <c r="C2323" s="81"/>
      <c r="D2323" s="81"/>
      <c r="I2323" s="81"/>
      <c r="K2323" s="82"/>
      <c r="L2323" s="123"/>
      <c r="M2323" s="3"/>
      <c r="N2323" s="3"/>
      <c r="O2323" s="3"/>
      <c r="P2323" s="125"/>
      <c r="Q2323" s="125"/>
      <c r="R2323" s="127"/>
      <c r="S2323" s="123"/>
      <c r="T2323" s="3"/>
      <c r="W2323" s="86"/>
      <c r="Y2323" s="75"/>
    </row>
    <row r="2324" spans="1:25" x14ac:dyDescent="0.25">
      <c r="A2324" s="75"/>
      <c r="C2324" s="81"/>
      <c r="D2324" s="81"/>
      <c r="I2324" s="81"/>
      <c r="K2324" s="82"/>
      <c r="L2324" s="123"/>
      <c r="M2324" s="3"/>
      <c r="N2324" s="3"/>
      <c r="O2324" s="3"/>
      <c r="P2324" s="125"/>
      <c r="Q2324" s="125"/>
      <c r="R2324" s="127"/>
      <c r="S2324" s="123"/>
      <c r="T2324" s="3"/>
      <c r="W2324" s="86"/>
      <c r="Y2324" s="75"/>
    </row>
    <row r="2325" spans="1:25" x14ac:dyDescent="0.25">
      <c r="A2325" s="75"/>
      <c r="C2325" s="81"/>
      <c r="D2325" s="81"/>
      <c r="I2325" s="81"/>
      <c r="K2325" s="82"/>
      <c r="L2325" s="123"/>
      <c r="M2325" s="3"/>
      <c r="N2325" s="3"/>
      <c r="O2325" s="3"/>
      <c r="P2325" s="125"/>
      <c r="Q2325" s="125"/>
      <c r="R2325" s="127"/>
      <c r="S2325" s="123"/>
      <c r="T2325" s="3"/>
      <c r="W2325" s="86"/>
      <c r="Y2325" s="75"/>
    </row>
    <row r="2326" spans="1:25" x14ac:dyDescent="0.25">
      <c r="A2326" s="75"/>
      <c r="C2326" s="81"/>
      <c r="D2326" s="81"/>
      <c r="I2326" s="81"/>
      <c r="K2326" s="82"/>
      <c r="L2326" s="123"/>
      <c r="M2326" s="3"/>
      <c r="N2326" s="3"/>
      <c r="O2326" s="3"/>
      <c r="P2326" s="125"/>
      <c r="Q2326" s="125"/>
      <c r="R2326" s="127"/>
      <c r="S2326" s="123"/>
      <c r="T2326" s="3"/>
      <c r="W2326" s="86"/>
      <c r="Y2326" s="75"/>
    </row>
    <row r="2327" spans="1:25" x14ac:dyDescent="0.25">
      <c r="A2327" s="75"/>
      <c r="C2327" s="81"/>
      <c r="D2327" s="81"/>
      <c r="I2327" s="81"/>
      <c r="K2327" s="82"/>
      <c r="L2327" s="123"/>
      <c r="M2327" s="3"/>
      <c r="N2327" s="3"/>
      <c r="O2327" s="3"/>
      <c r="P2327" s="125"/>
      <c r="Q2327" s="125"/>
      <c r="R2327" s="127"/>
      <c r="S2327" s="123"/>
      <c r="T2327" s="3"/>
      <c r="W2327" s="86"/>
      <c r="Y2327" s="75"/>
    </row>
    <row r="2328" spans="1:25" x14ac:dyDescent="0.25">
      <c r="A2328" s="75"/>
      <c r="C2328" s="81"/>
      <c r="D2328" s="81"/>
      <c r="I2328" s="81"/>
      <c r="K2328" s="82"/>
      <c r="L2328" s="123"/>
      <c r="M2328" s="3"/>
      <c r="N2328" s="3"/>
      <c r="O2328" s="3"/>
      <c r="P2328" s="125"/>
      <c r="Q2328" s="125"/>
      <c r="R2328" s="127"/>
      <c r="S2328" s="123"/>
      <c r="T2328" s="3"/>
      <c r="W2328" s="86"/>
      <c r="Y2328" s="75"/>
    </row>
    <row r="2329" spans="1:25" x14ac:dyDescent="0.25">
      <c r="A2329" s="75"/>
      <c r="C2329" s="81"/>
      <c r="D2329" s="81"/>
      <c r="I2329" s="81"/>
      <c r="K2329" s="82"/>
      <c r="L2329" s="123"/>
      <c r="M2329" s="3"/>
      <c r="N2329" s="3"/>
      <c r="O2329" s="3"/>
      <c r="P2329" s="125"/>
      <c r="Q2329" s="125"/>
      <c r="R2329" s="127"/>
      <c r="S2329" s="123"/>
      <c r="T2329" s="3"/>
      <c r="W2329" s="86"/>
      <c r="Y2329" s="75"/>
    </row>
    <row r="2330" spans="1:25" x14ac:dyDescent="0.25">
      <c r="A2330" s="75"/>
      <c r="C2330" s="81"/>
      <c r="D2330" s="81"/>
      <c r="I2330" s="81"/>
      <c r="K2330" s="82"/>
      <c r="L2330" s="123"/>
      <c r="M2330" s="3"/>
      <c r="N2330" s="3"/>
      <c r="O2330" s="3"/>
      <c r="P2330" s="125"/>
      <c r="Q2330" s="125"/>
      <c r="R2330" s="127"/>
      <c r="S2330" s="123"/>
      <c r="T2330" s="3"/>
      <c r="W2330" s="86"/>
      <c r="Y2330" s="75"/>
    </row>
    <row r="2331" spans="1:25" x14ac:dyDescent="0.25">
      <c r="A2331" s="75"/>
      <c r="C2331" s="81"/>
      <c r="D2331" s="81"/>
      <c r="I2331" s="81"/>
      <c r="K2331" s="82"/>
      <c r="L2331" s="123"/>
      <c r="M2331" s="3"/>
      <c r="N2331" s="3"/>
      <c r="O2331" s="3"/>
      <c r="P2331" s="125"/>
      <c r="Q2331" s="125"/>
      <c r="R2331" s="127"/>
      <c r="S2331" s="123"/>
      <c r="T2331" s="3"/>
      <c r="W2331" s="86"/>
      <c r="Y2331" s="75"/>
    </row>
    <row r="2332" spans="1:25" x14ac:dyDescent="0.25">
      <c r="A2332" s="75"/>
      <c r="C2332" s="81"/>
      <c r="D2332" s="81"/>
      <c r="I2332" s="81"/>
      <c r="K2332" s="82"/>
      <c r="L2332" s="123"/>
      <c r="M2332" s="3"/>
      <c r="N2332" s="3"/>
      <c r="O2332" s="3"/>
      <c r="P2332" s="125"/>
      <c r="Q2332" s="125"/>
      <c r="R2332" s="127"/>
      <c r="S2332" s="123"/>
      <c r="T2332" s="3"/>
      <c r="W2332" s="86"/>
      <c r="Y2332" s="75"/>
    </row>
    <row r="2333" spans="1:25" x14ac:dyDescent="0.25">
      <c r="A2333" s="75"/>
      <c r="C2333" s="81"/>
      <c r="D2333" s="81"/>
      <c r="I2333" s="81"/>
      <c r="K2333" s="82"/>
      <c r="L2333" s="123"/>
      <c r="M2333" s="3"/>
      <c r="N2333" s="3"/>
      <c r="O2333" s="3"/>
      <c r="P2333" s="125"/>
      <c r="Q2333" s="125"/>
      <c r="R2333" s="127"/>
      <c r="S2333" s="123"/>
      <c r="T2333" s="3"/>
      <c r="W2333" s="86"/>
      <c r="Y2333" s="75"/>
    </row>
    <row r="2334" spans="1:25" x14ac:dyDescent="0.25">
      <c r="A2334" s="75"/>
      <c r="C2334" s="81"/>
      <c r="D2334" s="81"/>
      <c r="I2334" s="81"/>
      <c r="K2334" s="82"/>
      <c r="L2334" s="123"/>
      <c r="M2334" s="3"/>
      <c r="N2334" s="3"/>
      <c r="O2334" s="3"/>
      <c r="P2334" s="125"/>
      <c r="Q2334" s="125"/>
      <c r="R2334" s="127"/>
      <c r="S2334" s="123"/>
      <c r="T2334" s="3"/>
      <c r="W2334" s="86"/>
      <c r="Y2334" s="75"/>
    </row>
    <row r="2335" spans="1:25" x14ac:dyDescent="0.25">
      <c r="A2335" s="75"/>
      <c r="C2335" s="81"/>
      <c r="D2335" s="81"/>
      <c r="I2335" s="81"/>
      <c r="K2335" s="82"/>
      <c r="L2335" s="123"/>
      <c r="M2335" s="3"/>
      <c r="N2335" s="3"/>
      <c r="O2335" s="3"/>
      <c r="P2335" s="125"/>
      <c r="Q2335" s="125"/>
      <c r="R2335" s="127"/>
      <c r="S2335" s="123"/>
      <c r="T2335" s="3"/>
      <c r="W2335" s="86"/>
      <c r="Y2335" s="75"/>
    </row>
    <row r="2336" spans="1:25" x14ac:dyDescent="0.25">
      <c r="A2336" s="75"/>
      <c r="C2336" s="81"/>
      <c r="D2336" s="81"/>
      <c r="I2336" s="81"/>
      <c r="K2336" s="82"/>
      <c r="L2336" s="123"/>
      <c r="M2336" s="3"/>
      <c r="N2336" s="3"/>
      <c r="O2336" s="3"/>
      <c r="P2336" s="125"/>
      <c r="Q2336" s="125"/>
      <c r="R2336" s="127"/>
      <c r="S2336" s="123"/>
      <c r="T2336" s="3"/>
      <c r="W2336" s="86"/>
      <c r="Y2336" s="75"/>
    </row>
    <row r="2337" spans="1:25" x14ac:dyDescent="0.25">
      <c r="A2337" s="75"/>
      <c r="C2337" s="81"/>
      <c r="D2337" s="81"/>
      <c r="I2337" s="81"/>
      <c r="K2337" s="82"/>
      <c r="L2337" s="123"/>
      <c r="M2337" s="3"/>
      <c r="N2337" s="3"/>
      <c r="O2337" s="3"/>
      <c r="P2337" s="125"/>
      <c r="Q2337" s="125"/>
      <c r="R2337" s="127"/>
      <c r="S2337" s="123"/>
      <c r="T2337" s="3"/>
      <c r="W2337" s="86"/>
      <c r="Y2337" s="75"/>
    </row>
    <row r="2338" spans="1:25" x14ac:dyDescent="0.25">
      <c r="A2338" s="75"/>
      <c r="C2338" s="81"/>
      <c r="D2338" s="81"/>
      <c r="I2338" s="81"/>
      <c r="K2338" s="82"/>
      <c r="L2338" s="123"/>
      <c r="M2338" s="3"/>
      <c r="N2338" s="3"/>
      <c r="O2338" s="3"/>
      <c r="P2338" s="125"/>
      <c r="Q2338" s="125"/>
      <c r="R2338" s="127"/>
      <c r="S2338" s="123"/>
      <c r="T2338" s="3"/>
      <c r="W2338" s="86"/>
      <c r="Y2338" s="75"/>
    </row>
    <row r="2339" spans="1:25" x14ac:dyDescent="0.25">
      <c r="A2339" s="75"/>
      <c r="C2339" s="81"/>
      <c r="D2339" s="81"/>
      <c r="I2339" s="81"/>
      <c r="K2339" s="82"/>
      <c r="L2339" s="123"/>
      <c r="M2339" s="3"/>
      <c r="N2339" s="3"/>
      <c r="O2339" s="3"/>
      <c r="P2339" s="125"/>
      <c r="Q2339" s="125"/>
      <c r="R2339" s="127"/>
      <c r="S2339" s="123"/>
      <c r="T2339" s="3"/>
      <c r="W2339" s="86"/>
      <c r="Y2339" s="75"/>
    </row>
    <row r="2340" spans="1:25" x14ac:dyDescent="0.25">
      <c r="A2340" s="75"/>
      <c r="C2340" s="81"/>
      <c r="D2340" s="81"/>
      <c r="I2340" s="81"/>
      <c r="K2340" s="82"/>
      <c r="L2340" s="123"/>
      <c r="M2340" s="3"/>
      <c r="N2340" s="3"/>
      <c r="O2340" s="3"/>
      <c r="P2340" s="125"/>
      <c r="Q2340" s="125"/>
      <c r="R2340" s="127"/>
      <c r="S2340" s="123"/>
      <c r="T2340" s="3"/>
      <c r="W2340" s="86"/>
      <c r="Y2340" s="75"/>
    </row>
    <row r="2341" spans="1:25" x14ac:dyDescent="0.25">
      <c r="A2341" s="75"/>
      <c r="C2341" s="81"/>
      <c r="D2341" s="81"/>
      <c r="I2341" s="81"/>
      <c r="K2341" s="82"/>
      <c r="L2341" s="123"/>
      <c r="M2341" s="3"/>
      <c r="N2341" s="3"/>
      <c r="O2341" s="3"/>
      <c r="P2341" s="125"/>
      <c r="Q2341" s="125"/>
      <c r="R2341" s="127"/>
      <c r="S2341" s="123"/>
      <c r="T2341" s="3"/>
      <c r="W2341" s="86"/>
      <c r="Y2341" s="75"/>
    </row>
    <row r="2342" spans="1:25" x14ac:dyDescent="0.25">
      <c r="A2342" s="75"/>
      <c r="C2342" s="81"/>
      <c r="D2342" s="81"/>
      <c r="I2342" s="81"/>
      <c r="K2342" s="82"/>
      <c r="L2342" s="123"/>
      <c r="M2342" s="3"/>
      <c r="N2342" s="3"/>
      <c r="O2342" s="3"/>
      <c r="P2342" s="125"/>
      <c r="Q2342" s="125"/>
      <c r="R2342" s="127"/>
      <c r="S2342" s="123"/>
      <c r="T2342" s="3"/>
      <c r="W2342" s="86"/>
      <c r="Y2342" s="75"/>
    </row>
    <row r="2343" spans="1:25" x14ac:dyDescent="0.25">
      <c r="A2343" s="75"/>
      <c r="C2343" s="81"/>
      <c r="D2343" s="81"/>
      <c r="I2343" s="81"/>
      <c r="K2343" s="82"/>
      <c r="L2343" s="123"/>
      <c r="M2343" s="3"/>
      <c r="N2343" s="3"/>
      <c r="O2343" s="3"/>
      <c r="P2343" s="125"/>
      <c r="Q2343" s="125"/>
      <c r="R2343" s="127"/>
      <c r="S2343" s="123"/>
      <c r="T2343" s="3"/>
      <c r="W2343" s="86"/>
      <c r="Y2343" s="75"/>
    </row>
    <row r="2344" spans="1:25" x14ac:dyDescent="0.25">
      <c r="A2344" s="75"/>
      <c r="C2344" s="81"/>
      <c r="D2344" s="81"/>
      <c r="I2344" s="81"/>
      <c r="K2344" s="82"/>
      <c r="L2344" s="123"/>
      <c r="M2344" s="3"/>
      <c r="N2344" s="3"/>
      <c r="O2344" s="3"/>
      <c r="P2344" s="125"/>
      <c r="Q2344" s="125"/>
      <c r="R2344" s="127"/>
      <c r="S2344" s="123"/>
      <c r="T2344" s="3"/>
      <c r="W2344" s="86"/>
      <c r="Y2344" s="75"/>
    </row>
    <row r="2345" spans="1:25" x14ac:dyDescent="0.25">
      <c r="A2345" s="75"/>
      <c r="C2345" s="81"/>
      <c r="D2345" s="81"/>
      <c r="I2345" s="81"/>
      <c r="K2345" s="82"/>
      <c r="L2345" s="123"/>
      <c r="M2345" s="3"/>
      <c r="N2345" s="3"/>
      <c r="O2345" s="3"/>
      <c r="P2345" s="125"/>
      <c r="Q2345" s="125"/>
      <c r="R2345" s="127"/>
      <c r="S2345" s="123"/>
      <c r="T2345" s="3"/>
      <c r="W2345" s="86"/>
      <c r="Y2345" s="75"/>
    </row>
    <row r="2346" spans="1:25" x14ac:dyDescent="0.25">
      <c r="A2346" s="75"/>
      <c r="C2346" s="81"/>
      <c r="D2346" s="81"/>
      <c r="I2346" s="81"/>
      <c r="K2346" s="82"/>
      <c r="L2346" s="123"/>
      <c r="M2346" s="3"/>
      <c r="N2346" s="3"/>
      <c r="O2346" s="3"/>
      <c r="P2346" s="125"/>
      <c r="Q2346" s="125"/>
      <c r="R2346" s="127"/>
      <c r="S2346" s="123"/>
      <c r="T2346" s="3"/>
      <c r="W2346" s="86"/>
      <c r="Y2346" s="75"/>
    </row>
    <row r="2347" spans="1:25" x14ac:dyDescent="0.25">
      <c r="A2347" s="75"/>
      <c r="C2347" s="81"/>
      <c r="D2347" s="81"/>
      <c r="I2347" s="81"/>
      <c r="K2347" s="82"/>
      <c r="L2347" s="123"/>
      <c r="M2347" s="3"/>
      <c r="N2347" s="3"/>
      <c r="O2347" s="3"/>
      <c r="P2347" s="125"/>
      <c r="Q2347" s="125"/>
      <c r="R2347" s="127"/>
      <c r="S2347" s="123"/>
      <c r="T2347" s="3"/>
      <c r="W2347" s="86"/>
      <c r="Y2347" s="75"/>
    </row>
    <row r="2348" spans="1:25" x14ac:dyDescent="0.25">
      <c r="A2348" s="75"/>
      <c r="C2348" s="81"/>
      <c r="D2348" s="81"/>
      <c r="I2348" s="81"/>
      <c r="K2348" s="82"/>
      <c r="L2348" s="123"/>
      <c r="M2348" s="3"/>
      <c r="N2348" s="3"/>
      <c r="O2348" s="3"/>
      <c r="P2348" s="125"/>
      <c r="Q2348" s="125"/>
      <c r="R2348" s="127"/>
      <c r="S2348" s="123"/>
      <c r="T2348" s="3"/>
      <c r="W2348" s="86"/>
      <c r="Y2348" s="75"/>
    </row>
    <row r="2349" spans="1:25" x14ac:dyDescent="0.25">
      <c r="A2349" s="75"/>
      <c r="C2349" s="81"/>
      <c r="D2349" s="81"/>
      <c r="I2349" s="81"/>
      <c r="K2349" s="82"/>
      <c r="L2349" s="123"/>
      <c r="M2349" s="3"/>
      <c r="N2349" s="3"/>
      <c r="O2349" s="3"/>
      <c r="P2349" s="125"/>
      <c r="Q2349" s="125"/>
      <c r="R2349" s="127"/>
      <c r="S2349" s="123"/>
      <c r="T2349" s="3"/>
      <c r="W2349" s="86"/>
      <c r="Y2349" s="75"/>
    </row>
    <row r="2350" spans="1:25" x14ac:dyDescent="0.25">
      <c r="A2350" s="75"/>
      <c r="C2350" s="81"/>
      <c r="D2350" s="81"/>
      <c r="I2350" s="81"/>
      <c r="K2350" s="82"/>
      <c r="L2350" s="123"/>
      <c r="M2350" s="3"/>
      <c r="N2350" s="3"/>
      <c r="O2350" s="3"/>
      <c r="P2350" s="125"/>
      <c r="Q2350" s="125"/>
      <c r="R2350" s="127"/>
      <c r="S2350" s="123"/>
      <c r="T2350" s="3"/>
      <c r="W2350" s="86"/>
      <c r="Y2350" s="75"/>
    </row>
    <row r="2351" spans="1:25" x14ac:dyDescent="0.25">
      <c r="A2351" s="75"/>
      <c r="C2351" s="81"/>
      <c r="D2351" s="81"/>
      <c r="I2351" s="81"/>
      <c r="K2351" s="82"/>
      <c r="L2351" s="123"/>
      <c r="M2351" s="3"/>
      <c r="N2351" s="3"/>
      <c r="O2351" s="3"/>
      <c r="P2351" s="125"/>
      <c r="Q2351" s="125"/>
      <c r="R2351" s="127"/>
      <c r="S2351" s="123"/>
      <c r="T2351" s="3"/>
      <c r="W2351" s="86"/>
      <c r="Y2351" s="75"/>
    </row>
    <row r="2352" spans="1:25" x14ac:dyDescent="0.25">
      <c r="A2352" s="75"/>
      <c r="C2352" s="81"/>
      <c r="D2352" s="81"/>
      <c r="I2352" s="81"/>
      <c r="K2352" s="82"/>
      <c r="L2352" s="123"/>
      <c r="M2352" s="3"/>
      <c r="N2352" s="3"/>
      <c r="O2352" s="3"/>
      <c r="P2352" s="125"/>
      <c r="Q2352" s="125"/>
      <c r="R2352" s="127"/>
      <c r="S2352" s="123"/>
      <c r="T2352" s="3"/>
      <c r="W2352" s="86"/>
      <c r="Y2352" s="75"/>
    </row>
    <row r="2353" spans="1:25" x14ac:dyDescent="0.25">
      <c r="A2353" s="75"/>
      <c r="C2353" s="81"/>
      <c r="D2353" s="81"/>
      <c r="I2353" s="81"/>
      <c r="K2353" s="82"/>
      <c r="L2353" s="123"/>
      <c r="M2353" s="3"/>
      <c r="N2353" s="3"/>
      <c r="O2353" s="3"/>
      <c r="P2353" s="125"/>
      <c r="Q2353" s="125"/>
      <c r="R2353" s="127"/>
      <c r="S2353" s="123"/>
      <c r="T2353" s="3"/>
      <c r="W2353" s="86"/>
      <c r="Y2353" s="75"/>
    </row>
    <row r="2354" spans="1:25" x14ac:dyDescent="0.25">
      <c r="A2354" s="75"/>
      <c r="C2354" s="81"/>
      <c r="D2354" s="81"/>
      <c r="I2354" s="81"/>
      <c r="K2354" s="82"/>
      <c r="L2354" s="123"/>
      <c r="M2354" s="3"/>
      <c r="N2354" s="3"/>
      <c r="O2354" s="3"/>
      <c r="P2354" s="125"/>
      <c r="Q2354" s="125"/>
      <c r="R2354" s="127"/>
      <c r="S2354" s="123"/>
      <c r="T2354" s="3"/>
      <c r="W2354" s="86"/>
      <c r="Y2354" s="75"/>
    </row>
    <row r="2355" spans="1:25" x14ac:dyDescent="0.25">
      <c r="A2355" s="75"/>
      <c r="C2355" s="81"/>
      <c r="D2355" s="81"/>
      <c r="I2355" s="81"/>
      <c r="K2355" s="82"/>
      <c r="L2355" s="123"/>
      <c r="M2355" s="3"/>
      <c r="N2355" s="3"/>
      <c r="O2355" s="3"/>
      <c r="P2355" s="125"/>
      <c r="Q2355" s="125"/>
      <c r="R2355" s="127"/>
      <c r="S2355" s="123"/>
      <c r="T2355" s="3"/>
      <c r="W2355" s="86"/>
      <c r="Y2355" s="75"/>
    </row>
    <row r="2356" spans="1:25" x14ac:dyDescent="0.25">
      <c r="A2356" s="75"/>
      <c r="C2356" s="81"/>
      <c r="D2356" s="81"/>
      <c r="I2356" s="81"/>
      <c r="K2356" s="82"/>
      <c r="L2356" s="123"/>
      <c r="M2356" s="3"/>
      <c r="N2356" s="3"/>
      <c r="O2356" s="3"/>
      <c r="P2356" s="125"/>
      <c r="Q2356" s="125"/>
      <c r="R2356" s="127"/>
      <c r="S2356" s="123"/>
      <c r="T2356" s="3"/>
      <c r="W2356" s="86"/>
      <c r="Y2356" s="75"/>
    </row>
    <row r="2357" spans="1:25" x14ac:dyDescent="0.25">
      <c r="A2357" s="75"/>
      <c r="C2357" s="81"/>
      <c r="D2357" s="81"/>
      <c r="I2357" s="81"/>
      <c r="K2357" s="82"/>
      <c r="L2357" s="123"/>
      <c r="M2357" s="3"/>
      <c r="N2357" s="3"/>
      <c r="O2357" s="3"/>
      <c r="P2357" s="125"/>
      <c r="Q2357" s="125"/>
      <c r="R2357" s="127"/>
      <c r="S2357" s="123"/>
      <c r="T2357" s="3"/>
      <c r="W2357" s="86"/>
      <c r="Y2357" s="75"/>
    </row>
    <row r="2358" spans="1:25" x14ac:dyDescent="0.25">
      <c r="A2358" s="75"/>
      <c r="C2358" s="81"/>
      <c r="D2358" s="81"/>
      <c r="I2358" s="81"/>
      <c r="K2358" s="82"/>
      <c r="L2358" s="123"/>
      <c r="M2358" s="3"/>
      <c r="N2358" s="3"/>
      <c r="O2358" s="3"/>
      <c r="P2358" s="125"/>
      <c r="Q2358" s="125"/>
      <c r="R2358" s="127"/>
      <c r="S2358" s="123"/>
      <c r="T2358" s="3"/>
      <c r="W2358" s="86"/>
      <c r="Y2358" s="75"/>
    </row>
    <row r="2359" spans="1:25" x14ac:dyDescent="0.25">
      <c r="A2359" s="75"/>
      <c r="C2359" s="81"/>
      <c r="D2359" s="81"/>
      <c r="I2359" s="81"/>
      <c r="K2359" s="82"/>
      <c r="L2359" s="123"/>
      <c r="M2359" s="3"/>
      <c r="N2359" s="3"/>
      <c r="O2359" s="3"/>
      <c r="P2359" s="125"/>
      <c r="Q2359" s="125"/>
      <c r="R2359" s="127"/>
      <c r="S2359" s="123"/>
      <c r="T2359" s="3"/>
      <c r="W2359" s="86"/>
      <c r="Y2359" s="75"/>
    </row>
    <row r="2360" spans="1:25" x14ac:dyDescent="0.25">
      <c r="A2360" s="75"/>
      <c r="C2360" s="81"/>
      <c r="D2360" s="81"/>
      <c r="I2360" s="81"/>
      <c r="K2360" s="82"/>
      <c r="L2360" s="123"/>
      <c r="M2360" s="3"/>
      <c r="N2360" s="3"/>
      <c r="O2360" s="3"/>
      <c r="P2360" s="125"/>
      <c r="Q2360" s="125"/>
      <c r="R2360" s="127"/>
      <c r="S2360" s="123"/>
      <c r="T2360" s="3"/>
      <c r="W2360" s="86"/>
      <c r="Y2360" s="75"/>
    </row>
    <row r="2361" spans="1:25" x14ac:dyDescent="0.25">
      <c r="A2361" s="75"/>
      <c r="C2361" s="81"/>
      <c r="D2361" s="81"/>
      <c r="I2361" s="81"/>
      <c r="K2361" s="82"/>
      <c r="L2361" s="123"/>
      <c r="M2361" s="3"/>
      <c r="N2361" s="3"/>
      <c r="O2361" s="3"/>
      <c r="P2361" s="125"/>
      <c r="Q2361" s="125"/>
      <c r="R2361" s="127"/>
      <c r="S2361" s="123"/>
      <c r="T2361" s="3"/>
      <c r="W2361" s="86"/>
      <c r="Y2361" s="75"/>
    </row>
    <row r="2362" spans="1:25" x14ac:dyDescent="0.25">
      <c r="A2362" s="75"/>
      <c r="C2362" s="81"/>
      <c r="D2362" s="81"/>
      <c r="I2362" s="81"/>
      <c r="K2362" s="82"/>
      <c r="L2362" s="123"/>
      <c r="M2362" s="3"/>
      <c r="N2362" s="3"/>
      <c r="O2362" s="3"/>
      <c r="P2362" s="125"/>
      <c r="Q2362" s="125"/>
      <c r="R2362" s="127"/>
      <c r="S2362" s="123"/>
      <c r="T2362" s="3"/>
      <c r="W2362" s="86"/>
      <c r="Y2362" s="75"/>
    </row>
    <row r="2363" spans="1:25" x14ac:dyDescent="0.25">
      <c r="A2363" s="75"/>
      <c r="C2363" s="81"/>
      <c r="D2363" s="81"/>
      <c r="I2363" s="81"/>
      <c r="K2363" s="82"/>
      <c r="L2363" s="123"/>
      <c r="M2363" s="3"/>
      <c r="N2363" s="3"/>
      <c r="O2363" s="3"/>
      <c r="P2363" s="125"/>
      <c r="Q2363" s="125"/>
      <c r="R2363" s="127"/>
      <c r="S2363" s="123"/>
      <c r="T2363" s="3"/>
      <c r="W2363" s="86"/>
      <c r="Y2363" s="75"/>
    </row>
    <row r="2364" spans="1:25" x14ac:dyDescent="0.25">
      <c r="A2364" s="75"/>
      <c r="C2364" s="81"/>
      <c r="D2364" s="81"/>
      <c r="I2364" s="81"/>
      <c r="K2364" s="82"/>
      <c r="L2364" s="123"/>
      <c r="M2364" s="3"/>
      <c r="N2364" s="3"/>
      <c r="O2364" s="3"/>
      <c r="P2364" s="125"/>
      <c r="Q2364" s="125"/>
      <c r="R2364" s="127"/>
      <c r="S2364" s="123"/>
      <c r="T2364" s="3"/>
      <c r="W2364" s="86"/>
      <c r="Y2364" s="75"/>
    </row>
    <row r="2365" spans="1:25" x14ac:dyDescent="0.25">
      <c r="A2365" s="75"/>
      <c r="C2365" s="81"/>
      <c r="D2365" s="81"/>
      <c r="I2365" s="81"/>
      <c r="K2365" s="82"/>
      <c r="L2365" s="123"/>
      <c r="M2365" s="3"/>
      <c r="N2365" s="3"/>
      <c r="O2365" s="3"/>
      <c r="P2365" s="125"/>
      <c r="Q2365" s="125"/>
      <c r="R2365" s="127"/>
      <c r="S2365" s="123"/>
      <c r="T2365" s="3"/>
      <c r="W2365" s="86"/>
      <c r="Y2365" s="75"/>
    </row>
    <row r="2366" spans="1:25" x14ac:dyDescent="0.25">
      <c r="A2366" s="75"/>
      <c r="C2366" s="81"/>
      <c r="D2366" s="81"/>
      <c r="I2366" s="81"/>
      <c r="K2366" s="82"/>
      <c r="L2366" s="123"/>
      <c r="M2366" s="3"/>
      <c r="N2366" s="3"/>
      <c r="O2366" s="3"/>
      <c r="P2366" s="125"/>
      <c r="Q2366" s="125"/>
      <c r="R2366" s="127"/>
      <c r="S2366" s="123"/>
      <c r="T2366" s="3"/>
      <c r="W2366" s="86"/>
      <c r="Y2366" s="75"/>
    </row>
    <row r="2367" spans="1:25" x14ac:dyDescent="0.25">
      <c r="A2367" s="75"/>
      <c r="C2367" s="81"/>
      <c r="D2367" s="81"/>
      <c r="I2367" s="81"/>
      <c r="K2367" s="82"/>
      <c r="L2367" s="123"/>
      <c r="M2367" s="3"/>
      <c r="N2367" s="3"/>
      <c r="O2367" s="3"/>
      <c r="P2367" s="125"/>
      <c r="Q2367" s="125"/>
      <c r="R2367" s="127"/>
      <c r="S2367" s="123"/>
      <c r="T2367" s="3"/>
      <c r="W2367" s="86"/>
      <c r="Y2367" s="75"/>
    </row>
    <row r="2368" spans="1:25" x14ac:dyDescent="0.25">
      <c r="A2368" s="75"/>
      <c r="C2368" s="81"/>
      <c r="D2368" s="81"/>
      <c r="I2368" s="81"/>
      <c r="K2368" s="82"/>
      <c r="L2368" s="123"/>
      <c r="M2368" s="3"/>
      <c r="N2368" s="3"/>
      <c r="O2368" s="3"/>
      <c r="P2368" s="125"/>
      <c r="Q2368" s="125"/>
      <c r="R2368" s="127"/>
      <c r="S2368" s="123"/>
      <c r="T2368" s="3"/>
      <c r="W2368" s="86"/>
      <c r="Y2368" s="75"/>
    </row>
    <row r="2369" spans="1:25" x14ac:dyDescent="0.25">
      <c r="A2369" s="75"/>
      <c r="C2369" s="81"/>
      <c r="D2369" s="81"/>
      <c r="I2369" s="81"/>
      <c r="K2369" s="82"/>
      <c r="L2369" s="123"/>
      <c r="M2369" s="3"/>
      <c r="N2369" s="3"/>
      <c r="O2369" s="3"/>
      <c r="P2369" s="125"/>
      <c r="Q2369" s="125"/>
      <c r="R2369" s="127"/>
      <c r="S2369" s="123"/>
      <c r="T2369" s="3"/>
      <c r="W2369" s="86"/>
      <c r="Y2369" s="75"/>
    </row>
    <row r="2370" spans="1:25" x14ac:dyDescent="0.25">
      <c r="A2370" s="75"/>
      <c r="C2370" s="81"/>
      <c r="D2370" s="81"/>
      <c r="I2370" s="81"/>
      <c r="K2370" s="82"/>
      <c r="L2370" s="123"/>
      <c r="M2370" s="3"/>
      <c r="N2370" s="3"/>
      <c r="O2370" s="3"/>
      <c r="P2370" s="125"/>
      <c r="Q2370" s="125"/>
      <c r="R2370" s="127"/>
      <c r="S2370" s="123"/>
      <c r="T2370" s="3"/>
      <c r="W2370" s="86"/>
      <c r="Y2370" s="75"/>
    </row>
    <row r="2371" spans="1:25" x14ac:dyDescent="0.25">
      <c r="A2371" s="75"/>
      <c r="C2371" s="81"/>
      <c r="D2371" s="81"/>
      <c r="I2371" s="81"/>
      <c r="K2371" s="82"/>
      <c r="L2371" s="123"/>
      <c r="M2371" s="3"/>
      <c r="N2371" s="3"/>
      <c r="O2371" s="3"/>
      <c r="P2371" s="125"/>
      <c r="Q2371" s="125"/>
      <c r="R2371" s="127"/>
      <c r="S2371" s="123"/>
      <c r="T2371" s="3"/>
      <c r="W2371" s="86"/>
      <c r="Y2371" s="75"/>
    </row>
    <row r="2372" spans="1:25" x14ac:dyDescent="0.25">
      <c r="A2372" s="75"/>
      <c r="C2372" s="81"/>
      <c r="D2372" s="81"/>
      <c r="I2372" s="81"/>
      <c r="K2372" s="82"/>
      <c r="L2372" s="123"/>
      <c r="M2372" s="3"/>
      <c r="N2372" s="3"/>
      <c r="O2372" s="3"/>
      <c r="P2372" s="125"/>
      <c r="Q2372" s="125"/>
      <c r="R2372" s="127"/>
      <c r="S2372" s="123"/>
      <c r="T2372" s="3"/>
      <c r="W2372" s="86"/>
      <c r="Y2372" s="75"/>
    </row>
    <row r="2373" spans="1:25" x14ac:dyDescent="0.25">
      <c r="A2373" s="75"/>
      <c r="C2373" s="81"/>
      <c r="D2373" s="81"/>
      <c r="I2373" s="81"/>
      <c r="K2373" s="82"/>
      <c r="L2373" s="123"/>
      <c r="M2373" s="3"/>
      <c r="N2373" s="3"/>
      <c r="O2373" s="3"/>
      <c r="P2373" s="125"/>
      <c r="Q2373" s="125"/>
      <c r="R2373" s="127"/>
      <c r="S2373" s="123"/>
      <c r="T2373" s="3"/>
      <c r="W2373" s="86"/>
      <c r="Y2373" s="75"/>
    </row>
    <row r="2374" spans="1:25" x14ac:dyDescent="0.25">
      <c r="A2374" s="75"/>
      <c r="C2374" s="81"/>
      <c r="D2374" s="81"/>
      <c r="I2374" s="81"/>
      <c r="K2374" s="82"/>
      <c r="L2374" s="123"/>
      <c r="M2374" s="3"/>
      <c r="N2374" s="3"/>
      <c r="O2374" s="3"/>
      <c r="P2374" s="125"/>
      <c r="Q2374" s="125"/>
      <c r="R2374" s="127"/>
      <c r="S2374" s="123"/>
      <c r="T2374" s="3"/>
      <c r="W2374" s="86"/>
      <c r="Y2374" s="75"/>
    </row>
    <row r="2375" spans="1:25" x14ac:dyDescent="0.25">
      <c r="A2375" s="75"/>
      <c r="C2375" s="81"/>
      <c r="D2375" s="81"/>
      <c r="I2375" s="81"/>
      <c r="K2375" s="82"/>
      <c r="L2375" s="123"/>
      <c r="M2375" s="3"/>
      <c r="N2375" s="3"/>
      <c r="O2375" s="3"/>
      <c r="P2375" s="125"/>
      <c r="Q2375" s="125"/>
      <c r="R2375" s="127"/>
      <c r="S2375" s="123"/>
      <c r="T2375" s="3"/>
      <c r="W2375" s="86"/>
      <c r="Y2375" s="75"/>
    </row>
    <row r="2376" spans="1:25" x14ac:dyDescent="0.25">
      <c r="A2376" s="75"/>
      <c r="C2376" s="81"/>
      <c r="D2376" s="81"/>
      <c r="I2376" s="81"/>
      <c r="K2376" s="82"/>
      <c r="L2376" s="123"/>
      <c r="M2376" s="3"/>
      <c r="N2376" s="3"/>
      <c r="O2376" s="3"/>
      <c r="P2376" s="125"/>
      <c r="Q2376" s="125"/>
      <c r="R2376" s="127"/>
      <c r="S2376" s="123"/>
      <c r="T2376" s="3"/>
      <c r="W2376" s="86"/>
      <c r="Y2376" s="75"/>
    </row>
    <row r="2377" spans="1:25" x14ac:dyDescent="0.25">
      <c r="A2377" s="75"/>
      <c r="C2377" s="81"/>
      <c r="D2377" s="81"/>
      <c r="I2377" s="81"/>
      <c r="K2377" s="82"/>
      <c r="L2377" s="123"/>
      <c r="M2377" s="3"/>
      <c r="N2377" s="3"/>
      <c r="O2377" s="3"/>
      <c r="P2377" s="125"/>
      <c r="Q2377" s="125"/>
      <c r="R2377" s="127"/>
      <c r="S2377" s="123"/>
      <c r="T2377" s="3"/>
      <c r="W2377" s="86"/>
      <c r="Y2377" s="75"/>
    </row>
    <row r="2378" spans="1:25" x14ac:dyDescent="0.25">
      <c r="A2378" s="75"/>
      <c r="C2378" s="81"/>
      <c r="D2378" s="81"/>
      <c r="I2378" s="81"/>
      <c r="K2378" s="82"/>
      <c r="L2378" s="123"/>
      <c r="M2378" s="3"/>
      <c r="N2378" s="3"/>
      <c r="O2378" s="3"/>
      <c r="P2378" s="125"/>
      <c r="Q2378" s="125"/>
      <c r="R2378" s="127"/>
      <c r="S2378" s="123"/>
      <c r="T2378" s="3"/>
      <c r="W2378" s="86"/>
      <c r="Y2378" s="75"/>
    </row>
    <row r="2379" spans="1:25" x14ac:dyDescent="0.25">
      <c r="A2379" s="75"/>
      <c r="C2379" s="81"/>
      <c r="D2379" s="81"/>
      <c r="I2379" s="81"/>
      <c r="K2379" s="82"/>
      <c r="L2379" s="123"/>
      <c r="M2379" s="3"/>
      <c r="N2379" s="3"/>
      <c r="O2379" s="3"/>
      <c r="P2379" s="125"/>
      <c r="Q2379" s="125"/>
      <c r="R2379" s="127"/>
      <c r="S2379" s="123"/>
      <c r="T2379" s="3"/>
      <c r="W2379" s="86"/>
      <c r="Y2379" s="75"/>
    </row>
    <row r="2380" spans="1:25" x14ac:dyDescent="0.25">
      <c r="A2380" s="75"/>
      <c r="C2380" s="81"/>
      <c r="D2380" s="81"/>
      <c r="I2380" s="81"/>
      <c r="K2380" s="82"/>
      <c r="L2380" s="123"/>
      <c r="M2380" s="3"/>
      <c r="N2380" s="3"/>
      <c r="O2380" s="3"/>
      <c r="P2380" s="125"/>
      <c r="Q2380" s="125"/>
      <c r="R2380" s="127"/>
      <c r="S2380" s="123"/>
      <c r="T2380" s="3"/>
      <c r="W2380" s="86"/>
      <c r="Y2380" s="75"/>
    </row>
    <row r="2381" spans="1:25" x14ac:dyDescent="0.25">
      <c r="A2381" s="75"/>
      <c r="C2381" s="81"/>
      <c r="D2381" s="81"/>
      <c r="I2381" s="81"/>
      <c r="K2381" s="82"/>
      <c r="L2381" s="123"/>
      <c r="M2381" s="3"/>
      <c r="N2381" s="3"/>
      <c r="O2381" s="3"/>
      <c r="P2381" s="125"/>
      <c r="Q2381" s="125"/>
      <c r="R2381" s="127"/>
      <c r="S2381" s="123"/>
      <c r="T2381" s="3"/>
      <c r="W2381" s="86"/>
      <c r="Y2381" s="75"/>
    </row>
    <row r="2382" spans="1:25" x14ac:dyDescent="0.25">
      <c r="A2382" s="75"/>
      <c r="C2382" s="81"/>
      <c r="D2382" s="81"/>
      <c r="I2382" s="81"/>
      <c r="K2382" s="82"/>
      <c r="L2382" s="123"/>
      <c r="M2382" s="3"/>
      <c r="N2382" s="3"/>
      <c r="O2382" s="3"/>
      <c r="P2382" s="125"/>
      <c r="Q2382" s="125"/>
      <c r="R2382" s="127"/>
      <c r="S2382" s="123"/>
      <c r="T2382" s="3"/>
      <c r="W2382" s="86"/>
      <c r="Y2382" s="75"/>
    </row>
    <row r="2383" spans="1:25" x14ac:dyDescent="0.25">
      <c r="A2383" s="75"/>
      <c r="C2383" s="81"/>
      <c r="D2383" s="81"/>
      <c r="I2383" s="81"/>
      <c r="K2383" s="82"/>
      <c r="L2383" s="123"/>
      <c r="M2383" s="3"/>
      <c r="N2383" s="3"/>
      <c r="O2383" s="3"/>
      <c r="P2383" s="125"/>
      <c r="Q2383" s="125"/>
      <c r="R2383" s="127"/>
      <c r="S2383" s="123"/>
      <c r="T2383" s="3"/>
      <c r="W2383" s="86"/>
      <c r="Y2383" s="75"/>
    </row>
    <row r="2384" spans="1:25" x14ac:dyDescent="0.25">
      <c r="A2384" s="75"/>
      <c r="C2384" s="81"/>
      <c r="D2384" s="81"/>
      <c r="I2384" s="81"/>
      <c r="K2384" s="82"/>
      <c r="L2384" s="123"/>
      <c r="M2384" s="3"/>
      <c r="N2384" s="3"/>
      <c r="O2384" s="3"/>
      <c r="P2384" s="125"/>
      <c r="Q2384" s="125"/>
      <c r="R2384" s="127"/>
      <c r="S2384" s="123"/>
      <c r="T2384" s="3"/>
      <c r="W2384" s="86"/>
      <c r="Y2384" s="75"/>
    </row>
    <row r="2385" spans="1:25" x14ac:dyDescent="0.25">
      <c r="A2385" s="75"/>
      <c r="C2385" s="81"/>
      <c r="D2385" s="81"/>
      <c r="I2385" s="81"/>
      <c r="K2385" s="82"/>
      <c r="L2385" s="123"/>
      <c r="M2385" s="3"/>
      <c r="N2385" s="3"/>
      <c r="O2385" s="3"/>
      <c r="P2385" s="125"/>
      <c r="Q2385" s="125"/>
      <c r="R2385" s="127"/>
      <c r="S2385" s="123"/>
      <c r="T2385" s="3"/>
      <c r="W2385" s="86"/>
      <c r="Y2385" s="75"/>
    </row>
    <row r="2386" spans="1:25" x14ac:dyDescent="0.25">
      <c r="A2386" s="75"/>
      <c r="C2386" s="81"/>
      <c r="D2386" s="81"/>
      <c r="I2386" s="81"/>
      <c r="K2386" s="82"/>
      <c r="L2386" s="123"/>
      <c r="M2386" s="3"/>
      <c r="N2386" s="3"/>
      <c r="O2386" s="3"/>
      <c r="P2386" s="125"/>
      <c r="Q2386" s="125"/>
      <c r="R2386" s="127"/>
      <c r="S2386" s="123"/>
      <c r="T2386" s="3"/>
      <c r="W2386" s="86"/>
      <c r="Y2386" s="75"/>
    </row>
    <row r="2387" spans="1:25" x14ac:dyDescent="0.25">
      <c r="A2387" s="75"/>
      <c r="C2387" s="81"/>
      <c r="D2387" s="81"/>
      <c r="I2387" s="81"/>
      <c r="K2387" s="82"/>
      <c r="L2387" s="123"/>
      <c r="M2387" s="3"/>
      <c r="N2387" s="3"/>
      <c r="O2387" s="3"/>
      <c r="P2387" s="125"/>
      <c r="Q2387" s="125"/>
      <c r="R2387" s="127"/>
      <c r="S2387" s="123"/>
      <c r="T2387" s="3"/>
      <c r="W2387" s="86"/>
      <c r="Y2387" s="75"/>
    </row>
    <row r="2388" spans="1:25" x14ac:dyDescent="0.25">
      <c r="A2388" s="75"/>
      <c r="C2388" s="81"/>
      <c r="D2388" s="81"/>
      <c r="I2388" s="81"/>
      <c r="K2388" s="82"/>
      <c r="L2388" s="123"/>
      <c r="M2388" s="3"/>
      <c r="N2388" s="3"/>
      <c r="O2388" s="3"/>
      <c r="P2388" s="125"/>
      <c r="Q2388" s="125"/>
      <c r="R2388" s="127"/>
      <c r="S2388" s="123"/>
      <c r="T2388" s="3"/>
      <c r="W2388" s="86"/>
      <c r="Y2388" s="75"/>
    </row>
    <row r="2389" spans="1:25" x14ac:dyDescent="0.25">
      <c r="A2389" s="75"/>
      <c r="C2389" s="81"/>
      <c r="D2389" s="81"/>
      <c r="I2389" s="81"/>
      <c r="K2389" s="82"/>
      <c r="L2389" s="123"/>
      <c r="M2389" s="3"/>
      <c r="N2389" s="3"/>
      <c r="O2389" s="3"/>
      <c r="P2389" s="125"/>
      <c r="Q2389" s="125"/>
      <c r="R2389" s="127"/>
      <c r="S2389" s="123"/>
      <c r="T2389" s="3"/>
      <c r="W2389" s="86"/>
      <c r="Y2389" s="75"/>
    </row>
    <row r="2390" spans="1:25" x14ac:dyDescent="0.25">
      <c r="A2390" s="75"/>
      <c r="C2390" s="81"/>
      <c r="D2390" s="81"/>
      <c r="I2390" s="81"/>
      <c r="K2390" s="82"/>
      <c r="L2390" s="123"/>
      <c r="M2390" s="3"/>
      <c r="N2390" s="3"/>
      <c r="O2390" s="3"/>
      <c r="P2390" s="125"/>
      <c r="Q2390" s="125"/>
      <c r="R2390" s="127"/>
      <c r="S2390" s="123"/>
      <c r="T2390" s="3"/>
      <c r="W2390" s="86"/>
      <c r="Y2390" s="75"/>
    </row>
    <row r="2391" spans="1:25" x14ac:dyDescent="0.25">
      <c r="A2391" s="75"/>
      <c r="C2391" s="81"/>
      <c r="D2391" s="81"/>
      <c r="I2391" s="81"/>
      <c r="K2391" s="82"/>
      <c r="L2391" s="123"/>
      <c r="M2391" s="3"/>
      <c r="N2391" s="3"/>
      <c r="O2391" s="3"/>
      <c r="P2391" s="125"/>
      <c r="Q2391" s="125"/>
      <c r="R2391" s="127"/>
      <c r="S2391" s="123"/>
      <c r="T2391" s="3"/>
      <c r="W2391" s="86"/>
      <c r="Y2391" s="75"/>
    </row>
    <row r="2392" spans="1:25" x14ac:dyDescent="0.25">
      <c r="A2392" s="75"/>
      <c r="C2392" s="81"/>
      <c r="D2392" s="81"/>
      <c r="I2392" s="81"/>
      <c r="K2392" s="82"/>
      <c r="L2392" s="123"/>
      <c r="M2392" s="3"/>
      <c r="N2392" s="3"/>
      <c r="O2392" s="3"/>
      <c r="P2392" s="125"/>
      <c r="Q2392" s="125"/>
      <c r="R2392" s="127"/>
      <c r="S2392" s="123"/>
      <c r="T2392" s="3"/>
      <c r="W2392" s="86"/>
      <c r="Y2392" s="75"/>
    </row>
    <row r="2393" spans="1:25" x14ac:dyDescent="0.25">
      <c r="A2393" s="75"/>
      <c r="C2393" s="81"/>
      <c r="D2393" s="81"/>
      <c r="I2393" s="81"/>
      <c r="K2393" s="82"/>
      <c r="L2393" s="123"/>
      <c r="M2393" s="3"/>
      <c r="N2393" s="3"/>
      <c r="O2393" s="3"/>
      <c r="P2393" s="125"/>
      <c r="Q2393" s="125"/>
      <c r="R2393" s="127"/>
      <c r="S2393" s="123"/>
      <c r="T2393" s="3"/>
      <c r="W2393" s="86"/>
      <c r="Y2393" s="75"/>
    </row>
    <row r="2394" spans="1:25" x14ac:dyDescent="0.25">
      <c r="A2394" s="75"/>
      <c r="C2394" s="81"/>
      <c r="D2394" s="81"/>
      <c r="I2394" s="81"/>
      <c r="K2394" s="82"/>
      <c r="L2394" s="123"/>
      <c r="M2394" s="3"/>
      <c r="N2394" s="3"/>
      <c r="O2394" s="3"/>
      <c r="P2394" s="125"/>
      <c r="Q2394" s="125"/>
      <c r="R2394" s="127"/>
      <c r="S2394" s="123"/>
      <c r="T2394" s="3"/>
      <c r="W2394" s="86"/>
      <c r="Y2394" s="75"/>
    </row>
    <row r="2395" spans="1:25" x14ac:dyDescent="0.25">
      <c r="A2395" s="75"/>
      <c r="C2395" s="81"/>
      <c r="D2395" s="81"/>
      <c r="I2395" s="81"/>
      <c r="K2395" s="82"/>
      <c r="L2395" s="123"/>
      <c r="M2395" s="3"/>
      <c r="N2395" s="3"/>
      <c r="O2395" s="3"/>
      <c r="P2395" s="125"/>
      <c r="Q2395" s="125"/>
      <c r="R2395" s="127"/>
      <c r="S2395" s="123"/>
      <c r="T2395" s="3"/>
      <c r="W2395" s="86"/>
      <c r="Y2395" s="75"/>
    </row>
    <row r="2396" spans="1:25" x14ac:dyDescent="0.25">
      <c r="A2396" s="75"/>
      <c r="C2396" s="81"/>
      <c r="D2396" s="81"/>
      <c r="I2396" s="81"/>
      <c r="K2396" s="82"/>
      <c r="L2396" s="123"/>
      <c r="M2396" s="3"/>
      <c r="N2396" s="3"/>
      <c r="O2396" s="3"/>
      <c r="P2396" s="125"/>
      <c r="Q2396" s="125"/>
      <c r="R2396" s="127"/>
      <c r="S2396" s="123"/>
      <c r="T2396" s="3"/>
      <c r="W2396" s="86"/>
      <c r="Y2396" s="75"/>
    </row>
    <row r="2397" spans="1:25" x14ac:dyDescent="0.25">
      <c r="A2397" s="75"/>
      <c r="C2397" s="81"/>
      <c r="D2397" s="81"/>
      <c r="I2397" s="81"/>
      <c r="K2397" s="82"/>
      <c r="L2397" s="123"/>
      <c r="M2397" s="3"/>
      <c r="N2397" s="3"/>
      <c r="O2397" s="3"/>
      <c r="P2397" s="125"/>
      <c r="Q2397" s="125"/>
      <c r="R2397" s="127"/>
      <c r="S2397" s="123"/>
      <c r="T2397" s="3"/>
      <c r="W2397" s="86"/>
      <c r="Y2397" s="75"/>
    </row>
    <row r="2398" spans="1:25" x14ac:dyDescent="0.25">
      <c r="A2398" s="75"/>
      <c r="C2398" s="81"/>
      <c r="D2398" s="81"/>
      <c r="I2398" s="81"/>
      <c r="K2398" s="82"/>
      <c r="L2398" s="123"/>
      <c r="M2398" s="3"/>
      <c r="N2398" s="3"/>
      <c r="O2398" s="3"/>
      <c r="P2398" s="125"/>
      <c r="Q2398" s="125"/>
      <c r="R2398" s="127"/>
      <c r="S2398" s="123"/>
      <c r="T2398" s="3"/>
      <c r="W2398" s="86"/>
      <c r="Y2398" s="75"/>
    </row>
    <row r="2399" spans="1:25" x14ac:dyDescent="0.25">
      <c r="A2399" s="75"/>
      <c r="C2399" s="81"/>
      <c r="D2399" s="81"/>
      <c r="I2399" s="81"/>
      <c r="K2399" s="82"/>
      <c r="L2399" s="123"/>
      <c r="M2399" s="3"/>
      <c r="N2399" s="3"/>
      <c r="O2399" s="3"/>
      <c r="P2399" s="125"/>
      <c r="Q2399" s="125"/>
      <c r="R2399" s="127"/>
      <c r="S2399" s="123"/>
      <c r="T2399" s="3"/>
      <c r="W2399" s="86"/>
      <c r="Y2399" s="75"/>
    </row>
    <row r="2400" spans="1:25" x14ac:dyDescent="0.25">
      <c r="A2400" s="75"/>
      <c r="C2400" s="81"/>
      <c r="D2400" s="81"/>
      <c r="I2400" s="81"/>
      <c r="K2400" s="82"/>
      <c r="L2400" s="123"/>
      <c r="M2400" s="3"/>
      <c r="N2400" s="3"/>
      <c r="O2400" s="3"/>
      <c r="P2400" s="125"/>
      <c r="Q2400" s="125"/>
      <c r="R2400" s="127"/>
      <c r="S2400" s="123"/>
      <c r="T2400" s="3"/>
      <c r="W2400" s="86"/>
      <c r="Y2400" s="75"/>
    </row>
    <row r="2401" spans="1:25" x14ac:dyDescent="0.25">
      <c r="A2401" s="75"/>
      <c r="C2401" s="81"/>
      <c r="D2401" s="81"/>
      <c r="I2401" s="81"/>
      <c r="K2401" s="82"/>
      <c r="L2401" s="123"/>
      <c r="M2401" s="3"/>
      <c r="N2401" s="3"/>
      <c r="O2401" s="3"/>
      <c r="P2401" s="125"/>
      <c r="Q2401" s="125"/>
      <c r="R2401" s="127"/>
      <c r="S2401" s="123"/>
      <c r="T2401" s="3"/>
      <c r="W2401" s="86"/>
      <c r="Y2401" s="75"/>
    </row>
    <row r="2402" spans="1:25" x14ac:dyDescent="0.25">
      <c r="A2402" s="75"/>
      <c r="C2402" s="81"/>
      <c r="D2402" s="81"/>
      <c r="I2402" s="81"/>
      <c r="K2402" s="82"/>
      <c r="L2402" s="123"/>
      <c r="M2402" s="3"/>
      <c r="N2402" s="3"/>
      <c r="O2402" s="3"/>
      <c r="P2402" s="125"/>
      <c r="Q2402" s="125"/>
      <c r="R2402" s="127"/>
      <c r="S2402" s="123"/>
      <c r="T2402" s="3"/>
      <c r="W2402" s="86"/>
      <c r="Y2402" s="75"/>
    </row>
    <row r="2403" spans="1:25" x14ac:dyDescent="0.25">
      <c r="A2403" s="75"/>
      <c r="C2403" s="81"/>
      <c r="D2403" s="81"/>
      <c r="I2403" s="81"/>
      <c r="K2403" s="82"/>
      <c r="L2403" s="123"/>
      <c r="M2403" s="3"/>
      <c r="N2403" s="3"/>
      <c r="O2403" s="3"/>
      <c r="P2403" s="125"/>
      <c r="Q2403" s="125"/>
      <c r="R2403" s="127"/>
      <c r="S2403" s="123"/>
      <c r="T2403" s="3"/>
      <c r="W2403" s="86"/>
      <c r="Y2403" s="75"/>
    </row>
    <row r="2404" spans="1:25" x14ac:dyDescent="0.25">
      <c r="A2404" s="75"/>
      <c r="C2404" s="81"/>
      <c r="D2404" s="81"/>
      <c r="I2404" s="81"/>
      <c r="K2404" s="82"/>
      <c r="L2404" s="123"/>
      <c r="M2404" s="3"/>
      <c r="N2404" s="3"/>
      <c r="O2404" s="3"/>
      <c r="P2404" s="125"/>
      <c r="Q2404" s="125"/>
      <c r="R2404" s="127"/>
      <c r="S2404" s="123"/>
      <c r="T2404" s="3"/>
      <c r="W2404" s="86"/>
      <c r="Y2404" s="75"/>
    </row>
    <row r="2405" spans="1:25" x14ac:dyDescent="0.25">
      <c r="A2405" s="75"/>
      <c r="C2405" s="81"/>
      <c r="D2405" s="81"/>
      <c r="I2405" s="81"/>
      <c r="K2405" s="82"/>
      <c r="L2405" s="123"/>
      <c r="M2405" s="3"/>
      <c r="N2405" s="3"/>
      <c r="O2405" s="3"/>
      <c r="P2405" s="125"/>
      <c r="Q2405" s="125"/>
      <c r="R2405" s="127"/>
      <c r="S2405" s="123"/>
      <c r="T2405" s="3"/>
      <c r="W2405" s="86"/>
      <c r="Y2405" s="75"/>
    </row>
    <row r="2406" spans="1:25" x14ac:dyDescent="0.25">
      <c r="A2406" s="75"/>
      <c r="C2406" s="81"/>
      <c r="D2406" s="81"/>
      <c r="I2406" s="81"/>
      <c r="K2406" s="82"/>
      <c r="L2406" s="123"/>
      <c r="M2406" s="3"/>
      <c r="N2406" s="3"/>
      <c r="O2406" s="3"/>
      <c r="P2406" s="125"/>
      <c r="Q2406" s="125"/>
      <c r="R2406" s="127"/>
      <c r="S2406" s="123"/>
      <c r="T2406" s="3"/>
      <c r="W2406" s="86"/>
      <c r="Y2406" s="75"/>
    </row>
    <row r="2407" spans="1:25" x14ac:dyDescent="0.25">
      <c r="A2407" s="75"/>
      <c r="C2407" s="81"/>
      <c r="D2407" s="81"/>
      <c r="I2407" s="81"/>
      <c r="K2407" s="82"/>
      <c r="L2407" s="123"/>
      <c r="M2407" s="3"/>
      <c r="N2407" s="3"/>
      <c r="O2407" s="3"/>
      <c r="P2407" s="125"/>
      <c r="Q2407" s="125"/>
      <c r="R2407" s="127"/>
      <c r="S2407" s="123"/>
      <c r="T2407" s="3"/>
      <c r="W2407" s="86"/>
      <c r="Y2407" s="75"/>
    </row>
    <row r="2408" spans="1:25" x14ac:dyDescent="0.25">
      <c r="A2408" s="75"/>
      <c r="C2408" s="81"/>
      <c r="D2408" s="81"/>
      <c r="I2408" s="81"/>
      <c r="K2408" s="82"/>
      <c r="L2408" s="123"/>
      <c r="M2408" s="3"/>
      <c r="N2408" s="3"/>
      <c r="O2408" s="3"/>
      <c r="P2408" s="125"/>
      <c r="Q2408" s="125"/>
      <c r="R2408" s="127"/>
      <c r="S2408" s="123"/>
      <c r="T2408" s="3"/>
      <c r="W2408" s="86"/>
      <c r="Y2408" s="75"/>
    </row>
    <row r="2409" spans="1:25" x14ac:dyDescent="0.25">
      <c r="A2409" s="75"/>
      <c r="C2409" s="81"/>
      <c r="D2409" s="81"/>
      <c r="I2409" s="81"/>
      <c r="K2409" s="82"/>
      <c r="L2409" s="123"/>
      <c r="M2409" s="3"/>
      <c r="N2409" s="3"/>
      <c r="O2409" s="3"/>
      <c r="P2409" s="125"/>
      <c r="Q2409" s="125"/>
      <c r="R2409" s="127"/>
      <c r="S2409" s="123"/>
      <c r="T2409" s="3"/>
      <c r="W2409" s="86"/>
      <c r="Y2409" s="75"/>
    </row>
    <row r="2410" spans="1:25" x14ac:dyDescent="0.25">
      <c r="A2410" s="75"/>
      <c r="C2410" s="81"/>
      <c r="D2410" s="81"/>
      <c r="I2410" s="81"/>
      <c r="K2410" s="82"/>
      <c r="L2410" s="123"/>
      <c r="M2410" s="3"/>
      <c r="N2410" s="3"/>
      <c r="O2410" s="3"/>
      <c r="P2410" s="125"/>
      <c r="Q2410" s="125"/>
      <c r="R2410" s="127"/>
      <c r="S2410" s="123"/>
      <c r="T2410" s="3"/>
      <c r="W2410" s="86"/>
      <c r="Y2410" s="75"/>
    </row>
    <row r="2411" spans="1:25" x14ac:dyDescent="0.25">
      <c r="A2411" s="75"/>
      <c r="C2411" s="81"/>
      <c r="D2411" s="81"/>
      <c r="I2411" s="81"/>
      <c r="K2411" s="82"/>
      <c r="L2411" s="123"/>
      <c r="M2411" s="3"/>
      <c r="N2411" s="3"/>
      <c r="O2411" s="3"/>
      <c r="P2411" s="125"/>
      <c r="Q2411" s="125"/>
      <c r="R2411" s="127"/>
      <c r="S2411" s="123"/>
      <c r="T2411" s="3"/>
      <c r="W2411" s="86"/>
      <c r="Y2411" s="75"/>
    </row>
    <row r="2412" spans="1:25" x14ac:dyDescent="0.25">
      <c r="A2412" s="75"/>
      <c r="C2412" s="81"/>
      <c r="D2412" s="81"/>
      <c r="I2412" s="81"/>
      <c r="K2412" s="82"/>
      <c r="L2412" s="123"/>
      <c r="M2412" s="3"/>
      <c r="N2412" s="3"/>
      <c r="O2412" s="3"/>
      <c r="P2412" s="125"/>
      <c r="Q2412" s="125"/>
      <c r="R2412" s="127"/>
      <c r="S2412" s="123"/>
      <c r="T2412" s="3"/>
      <c r="W2412" s="86"/>
      <c r="Y2412" s="75"/>
    </row>
    <row r="2413" spans="1:25" x14ac:dyDescent="0.25">
      <c r="A2413" s="75"/>
      <c r="C2413" s="81"/>
      <c r="D2413" s="81"/>
      <c r="I2413" s="81"/>
      <c r="K2413" s="82"/>
      <c r="L2413" s="123"/>
      <c r="M2413" s="3"/>
      <c r="N2413" s="3"/>
      <c r="O2413" s="3"/>
      <c r="P2413" s="125"/>
      <c r="Q2413" s="125"/>
      <c r="R2413" s="127"/>
      <c r="S2413" s="123"/>
      <c r="T2413" s="3"/>
      <c r="W2413" s="86"/>
      <c r="Y2413" s="75"/>
    </row>
    <row r="2414" spans="1:25" x14ac:dyDescent="0.25">
      <c r="A2414" s="75"/>
      <c r="C2414" s="81"/>
      <c r="D2414" s="81"/>
      <c r="I2414" s="81"/>
      <c r="K2414" s="82"/>
      <c r="L2414" s="123"/>
      <c r="M2414" s="3"/>
      <c r="N2414" s="3"/>
      <c r="O2414" s="3"/>
      <c r="P2414" s="125"/>
      <c r="Q2414" s="125"/>
      <c r="R2414" s="127"/>
      <c r="S2414" s="123"/>
      <c r="T2414" s="3"/>
      <c r="W2414" s="86"/>
      <c r="Y2414" s="75"/>
    </row>
    <row r="2415" spans="1:25" x14ac:dyDescent="0.25">
      <c r="A2415" s="75"/>
      <c r="C2415" s="81"/>
      <c r="D2415" s="81"/>
      <c r="I2415" s="81"/>
      <c r="K2415" s="82"/>
      <c r="L2415" s="123"/>
      <c r="M2415" s="3"/>
      <c r="N2415" s="3"/>
      <c r="O2415" s="3"/>
      <c r="P2415" s="125"/>
      <c r="Q2415" s="125"/>
      <c r="R2415" s="127"/>
      <c r="S2415" s="123"/>
      <c r="T2415" s="3"/>
      <c r="W2415" s="86"/>
      <c r="Y2415" s="75"/>
    </row>
    <row r="2416" spans="1:25" x14ac:dyDescent="0.25">
      <c r="A2416" s="75"/>
      <c r="C2416" s="81"/>
      <c r="D2416" s="81"/>
      <c r="I2416" s="81"/>
      <c r="K2416" s="82"/>
      <c r="L2416" s="123"/>
      <c r="M2416" s="3"/>
      <c r="N2416" s="3"/>
      <c r="O2416" s="3"/>
      <c r="P2416" s="125"/>
      <c r="Q2416" s="125"/>
      <c r="R2416" s="127"/>
      <c r="S2416" s="123"/>
      <c r="T2416" s="3"/>
      <c r="W2416" s="86"/>
      <c r="Y2416" s="75"/>
    </row>
    <row r="2417" spans="1:25" x14ac:dyDescent="0.25">
      <c r="A2417" s="75"/>
      <c r="C2417" s="81"/>
      <c r="D2417" s="81"/>
      <c r="I2417" s="81"/>
      <c r="K2417" s="82"/>
      <c r="L2417" s="123"/>
      <c r="M2417" s="3"/>
      <c r="N2417" s="3"/>
      <c r="O2417" s="3"/>
      <c r="P2417" s="125"/>
      <c r="Q2417" s="125"/>
      <c r="R2417" s="127"/>
      <c r="S2417" s="123"/>
      <c r="T2417" s="3"/>
      <c r="W2417" s="86"/>
      <c r="Y2417" s="75"/>
    </row>
    <row r="2418" spans="1:25" x14ac:dyDescent="0.25">
      <c r="A2418" s="75"/>
      <c r="C2418" s="81"/>
      <c r="D2418" s="81"/>
      <c r="I2418" s="81"/>
      <c r="K2418" s="82"/>
      <c r="L2418" s="123"/>
      <c r="M2418" s="3"/>
      <c r="N2418" s="3"/>
      <c r="O2418" s="3"/>
      <c r="P2418" s="125"/>
      <c r="Q2418" s="125"/>
      <c r="R2418" s="127"/>
      <c r="S2418" s="123"/>
      <c r="T2418" s="3"/>
      <c r="W2418" s="86"/>
      <c r="Y2418" s="75"/>
    </row>
    <row r="2419" spans="1:25" x14ac:dyDescent="0.25">
      <c r="A2419" s="75"/>
      <c r="C2419" s="81"/>
      <c r="D2419" s="81"/>
      <c r="I2419" s="81"/>
      <c r="K2419" s="82"/>
      <c r="L2419" s="123"/>
      <c r="M2419" s="3"/>
      <c r="N2419" s="3"/>
      <c r="O2419" s="3"/>
      <c r="P2419" s="125"/>
      <c r="Q2419" s="125"/>
      <c r="R2419" s="127"/>
      <c r="S2419" s="123"/>
      <c r="T2419" s="3"/>
      <c r="W2419" s="86"/>
      <c r="Y2419" s="75"/>
    </row>
    <row r="2420" spans="1:25" x14ac:dyDescent="0.25">
      <c r="A2420" s="75"/>
      <c r="C2420" s="81"/>
      <c r="D2420" s="81"/>
      <c r="I2420" s="81"/>
      <c r="K2420" s="82"/>
      <c r="L2420" s="123"/>
      <c r="M2420" s="3"/>
      <c r="N2420" s="3"/>
      <c r="O2420" s="3"/>
      <c r="P2420" s="125"/>
      <c r="Q2420" s="125"/>
      <c r="R2420" s="127"/>
      <c r="S2420" s="123"/>
      <c r="T2420" s="3"/>
      <c r="W2420" s="86"/>
      <c r="Y2420" s="75"/>
    </row>
    <row r="2421" spans="1:25" x14ac:dyDescent="0.25">
      <c r="A2421" s="75"/>
      <c r="C2421" s="81"/>
      <c r="D2421" s="81"/>
      <c r="I2421" s="81"/>
      <c r="K2421" s="82"/>
      <c r="L2421" s="123"/>
      <c r="M2421" s="3"/>
      <c r="N2421" s="3"/>
      <c r="O2421" s="3"/>
      <c r="P2421" s="125"/>
      <c r="Q2421" s="125"/>
      <c r="R2421" s="127"/>
      <c r="S2421" s="123"/>
      <c r="T2421" s="3"/>
      <c r="W2421" s="86"/>
      <c r="Y2421" s="75"/>
    </row>
    <row r="2422" spans="1:25" x14ac:dyDescent="0.25">
      <c r="A2422" s="75"/>
      <c r="C2422" s="81"/>
      <c r="D2422" s="81"/>
      <c r="I2422" s="81"/>
      <c r="K2422" s="82"/>
      <c r="L2422" s="123"/>
      <c r="M2422" s="3"/>
      <c r="N2422" s="3"/>
      <c r="O2422" s="3"/>
      <c r="P2422" s="125"/>
      <c r="Q2422" s="125"/>
      <c r="R2422" s="127"/>
      <c r="S2422" s="123"/>
      <c r="T2422" s="3"/>
      <c r="W2422" s="86"/>
      <c r="Y2422" s="75"/>
    </row>
    <row r="2423" spans="1:25" x14ac:dyDescent="0.25">
      <c r="A2423" s="75"/>
      <c r="C2423" s="81"/>
      <c r="D2423" s="81"/>
      <c r="I2423" s="81"/>
      <c r="K2423" s="82"/>
      <c r="L2423" s="123"/>
      <c r="M2423" s="3"/>
      <c r="N2423" s="3"/>
      <c r="O2423" s="3"/>
      <c r="P2423" s="125"/>
      <c r="Q2423" s="125"/>
      <c r="R2423" s="127"/>
      <c r="S2423" s="123"/>
      <c r="T2423" s="3"/>
      <c r="W2423" s="86"/>
      <c r="Y2423" s="75"/>
    </row>
    <row r="2424" spans="1:25" x14ac:dyDescent="0.25">
      <c r="A2424" s="75"/>
      <c r="C2424" s="81"/>
      <c r="D2424" s="81"/>
      <c r="I2424" s="81"/>
      <c r="K2424" s="82"/>
      <c r="L2424" s="123"/>
      <c r="M2424" s="3"/>
      <c r="N2424" s="3"/>
      <c r="O2424" s="3"/>
      <c r="P2424" s="125"/>
      <c r="Q2424" s="125"/>
      <c r="R2424" s="127"/>
      <c r="S2424" s="123"/>
      <c r="T2424" s="3"/>
      <c r="W2424" s="86"/>
      <c r="Y2424" s="75"/>
    </row>
    <row r="2425" spans="1:25" x14ac:dyDescent="0.25">
      <c r="A2425" s="75"/>
      <c r="C2425" s="81"/>
      <c r="D2425" s="81"/>
      <c r="I2425" s="81"/>
      <c r="K2425" s="82"/>
      <c r="L2425" s="123"/>
      <c r="M2425" s="3"/>
      <c r="N2425" s="3"/>
      <c r="O2425" s="3"/>
      <c r="P2425" s="125"/>
      <c r="Q2425" s="125"/>
      <c r="R2425" s="127"/>
      <c r="S2425" s="123"/>
      <c r="T2425" s="3"/>
      <c r="W2425" s="86"/>
      <c r="Y2425" s="75"/>
    </row>
    <row r="2426" spans="1:25" x14ac:dyDescent="0.25">
      <c r="A2426" s="75"/>
      <c r="C2426" s="81"/>
      <c r="D2426" s="81"/>
      <c r="I2426" s="81"/>
      <c r="K2426" s="82"/>
      <c r="L2426" s="123"/>
      <c r="M2426" s="3"/>
      <c r="N2426" s="3"/>
      <c r="O2426" s="3"/>
      <c r="P2426" s="125"/>
      <c r="Q2426" s="125"/>
      <c r="R2426" s="127"/>
      <c r="S2426" s="123"/>
      <c r="T2426" s="3"/>
      <c r="W2426" s="86"/>
      <c r="Y2426" s="75"/>
    </row>
    <row r="2427" spans="1:25" x14ac:dyDescent="0.25">
      <c r="A2427" s="75"/>
      <c r="C2427" s="81"/>
      <c r="D2427" s="81"/>
      <c r="I2427" s="81"/>
      <c r="K2427" s="82"/>
      <c r="L2427" s="123"/>
      <c r="M2427" s="3"/>
      <c r="N2427" s="3"/>
      <c r="O2427" s="3"/>
      <c r="P2427" s="125"/>
      <c r="Q2427" s="125"/>
      <c r="R2427" s="127"/>
      <c r="S2427" s="123"/>
      <c r="T2427" s="3"/>
      <c r="W2427" s="86"/>
      <c r="Y2427" s="75"/>
    </row>
    <row r="2428" spans="1:25" x14ac:dyDescent="0.25">
      <c r="A2428" s="75"/>
      <c r="C2428" s="81"/>
      <c r="D2428" s="81"/>
      <c r="I2428" s="81"/>
      <c r="K2428" s="82"/>
      <c r="L2428" s="123"/>
      <c r="M2428" s="3"/>
      <c r="N2428" s="3"/>
      <c r="O2428" s="3"/>
      <c r="P2428" s="125"/>
      <c r="Q2428" s="125"/>
      <c r="R2428" s="127"/>
      <c r="S2428" s="123"/>
      <c r="T2428" s="3"/>
      <c r="W2428" s="86"/>
      <c r="Y2428" s="75"/>
    </row>
    <row r="2429" spans="1:25" x14ac:dyDescent="0.25">
      <c r="A2429" s="75"/>
      <c r="C2429" s="81"/>
      <c r="D2429" s="81"/>
      <c r="I2429" s="81"/>
      <c r="K2429" s="82"/>
      <c r="L2429" s="123"/>
      <c r="M2429" s="3"/>
      <c r="N2429" s="3"/>
      <c r="O2429" s="3"/>
      <c r="P2429" s="125"/>
      <c r="Q2429" s="125"/>
      <c r="R2429" s="127"/>
      <c r="S2429" s="123"/>
      <c r="T2429" s="3"/>
      <c r="W2429" s="86"/>
      <c r="Y2429" s="75"/>
    </row>
    <row r="2430" spans="1:25" x14ac:dyDescent="0.25">
      <c r="A2430" s="75"/>
      <c r="C2430" s="81"/>
      <c r="D2430" s="81"/>
      <c r="I2430" s="81"/>
      <c r="K2430" s="82"/>
      <c r="L2430" s="123"/>
      <c r="M2430" s="3"/>
      <c r="N2430" s="3"/>
      <c r="O2430" s="3"/>
      <c r="P2430" s="125"/>
      <c r="Q2430" s="125"/>
      <c r="R2430" s="127"/>
      <c r="S2430" s="123"/>
      <c r="T2430" s="3"/>
      <c r="W2430" s="86"/>
      <c r="Y2430" s="75"/>
    </row>
    <row r="2431" spans="1:25" x14ac:dyDescent="0.25">
      <c r="A2431" s="75"/>
      <c r="C2431" s="81"/>
      <c r="D2431" s="81"/>
      <c r="I2431" s="81"/>
      <c r="K2431" s="82"/>
      <c r="L2431" s="123"/>
      <c r="M2431" s="3"/>
      <c r="N2431" s="3"/>
      <c r="O2431" s="3"/>
      <c r="P2431" s="125"/>
      <c r="Q2431" s="125"/>
      <c r="R2431" s="127"/>
      <c r="S2431" s="123"/>
      <c r="T2431" s="3"/>
      <c r="W2431" s="86"/>
      <c r="Y2431" s="75"/>
    </row>
    <row r="2432" spans="1:25" x14ac:dyDescent="0.25">
      <c r="A2432" s="75"/>
      <c r="C2432" s="81"/>
      <c r="D2432" s="81"/>
      <c r="I2432" s="81"/>
      <c r="K2432" s="82"/>
      <c r="L2432" s="123"/>
      <c r="M2432" s="3"/>
      <c r="N2432" s="3"/>
      <c r="O2432" s="3"/>
      <c r="P2432" s="125"/>
      <c r="Q2432" s="125"/>
      <c r="R2432" s="127"/>
      <c r="S2432" s="123"/>
      <c r="T2432" s="3"/>
      <c r="W2432" s="86"/>
      <c r="Y2432" s="75"/>
    </row>
    <row r="2433" spans="1:25" x14ac:dyDescent="0.25">
      <c r="A2433" s="75"/>
      <c r="C2433" s="81"/>
      <c r="D2433" s="81"/>
      <c r="I2433" s="81"/>
      <c r="K2433" s="82"/>
      <c r="L2433" s="123"/>
      <c r="M2433" s="3"/>
      <c r="N2433" s="3"/>
      <c r="O2433" s="3"/>
      <c r="P2433" s="125"/>
      <c r="Q2433" s="125"/>
      <c r="R2433" s="127"/>
      <c r="S2433" s="123"/>
      <c r="T2433" s="3"/>
      <c r="W2433" s="86"/>
      <c r="Y2433" s="75"/>
    </row>
    <row r="2434" spans="1:25" x14ac:dyDescent="0.25">
      <c r="A2434" s="75"/>
      <c r="C2434" s="81"/>
      <c r="D2434" s="81"/>
      <c r="I2434" s="81"/>
      <c r="K2434" s="82"/>
      <c r="L2434" s="123"/>
      <c r="M2434" s="3"/>
      <c r="N2434" s="3"/>
      <c r="O2434" s="3"/>
      <c r="P2434" s="125"/>
      <c r="Q2434" s="125"/>
      <c r="R2434" s="127"/>
      <c r="S2434" s="123"/>
      <c r="T2434" s="3"/>
      <c r="W2434" s="86"/>
      <c r="Y2434" s="75"/>
    </row>
    <row r="2435" spans="1:25" x14ac:dyDescent="0.25">
      <c r="A2435" s="75"/>
      <c r="C2435" s="81"/>
      <c r="D2435" s="81"/>
      <c r="I2435" s="81"/>
      <c r="K2435" s="82"/>
      <c r="L2435" s="123"/>
      <c r="M2435" s="3"/>
      <c r="N2435" s="3"/>
      <c r="O2435" s="3"/>
      <c r="P2435" s="125"/>
      <c r="Q2435" s="125"/>
      <c r="R2435" s="127"/>
      <c r="S2435" s="123"/>
      <c r="T2435" s="3"/>
      <c r="W2435" s="86"/>
      <c r="Y2435" s="75"/>
    </row>
    <row r="2436" spans="1:25" x14ac:dyDescent="0.25">
      <c r="A2436" s="75"/>
      <c r="C2436" s="81"/>
      <c r="D2436" s="81"/>
      <c r="I2436" s="81"/>
      <c r="K2436" s="82"/>
      <c r="L2436" s="123"/>
      <c r="M2436" s="3"/>
      <c r="N2436" s="3"/>
      <c r="O2436" s="3"/>
      <c r="P2436" s="125"/>
      <c r="Q2436" s="125"/>
      <c r="R2436" s="127"/>
      <c r="S2436" s="123"/>
      <c r="T2436" s="3"/>
      <c r="W2436" s="86"/>
      <c r="Y2436" s="75"/>
    </row>
    <row r="2437" spans="1:25" x14ac:dyDescent="0.25">
      <c r="A2437" s="75"/>
      <c r="C2437" s="81"/>
      <c r="D2437" s="81"/>
      <c r="I2437" s="81"/>
      <c r="K2437" s="82"/>
      <c r="L2437" s="123"/>
      <c r="M2437" s="3"/>
      <c r="N2437" s="3"/>
      <c r="O2437" s="3"/>
      <c r="P2437" s="125"/>
      <c r="Q2437" s="125"/>
      <c r="R2437" s="127"/>
      <c r="S2437" s="123"/>
      <c r="T2437" s="3"/>
      <c r="W2437" s="86"/>
      <c r="Y2437" s="75"/>
    </row>
    <row r="2438" spans="1:25" x14ac:dyDescent="0.25">
      <c r="A2438" s="75"/>
      <c r="C2438" s="81"/>
      <c r="D2438" s="81"/>
      <c r="I2438" s="81"/>
      <c r="K2438" s="82"/>
      <c r="L2438" s="123"/>
      <c r="M2438" s="3"/>
      <c r="N2438" s="3"/>
      <c r="O2438" s="3"/>
      <c r="P2438" s="125"/>
      <c r="Q2438" s="125"/>
      <c r="R2438" s="127"/>
      <c r="S2438" s="123"/>
      <c r="T2438" s="3"/>
      <c r="W2438" s="86"/>
      <c r="Y2438" s="75"/>
    </row>
    <row r="2439" spans="1:25" x14ac:dyDescent="0.25">
      <c r="A2439" s="75"/>
      <c r="C2439" s="81"/>
      <c r="D2439" s="81"/>
      <c r="I2439" s="81"/>
      <c r="K2439" s="82"/>
      <c r="L2439" s="123"/>
      <c r="M2439" s="3"/>
      <c r="N2439" s="3"/>
      <c r="O2439" s="3"/>
      <c r="P2439" s="125"/>
      <c r="Q2439" s="125"/>
      <c r="R2439" s="127"/>
      <c r="S2439" s="123"/>
      <c r="T2439" s="3"/>
      <c r="W2439" s="86"/>
      <c r="Y2439" s="75"/>
    </row>
    <row r="2440" spans="1:25" x14ac:dyDescent="0.25">
      <c r="A2440" s="75"/>
      <c r="C2440" s="81"/>
      <c r="D2440" s="81"/>
      <c r="I2440" s="81"/>
      <c r="K2440" s="82"/>
      <c r="L2440" s="123"/>
      <c r="M2440" s="3"/>
      <c r="N2440" s="3"/>
      <c r="O2440" s="3"/>
      <c r="P2440" s="125"/>
      <c r="Q2440" s="125"/>
      <c r="R2440" s="127"/>
      <c r="S2440" s="123"/>
      <c r="T2440" s="3"/>
      <c r="W2440" s="86"/>
      <c r="Y2440" s="75"/>
    </row>
    <row r="2441" spans="1:25" x14ac:dyDescent="0.25">
      <c r="A2441" s="75"/>
      <c r="C2441" s="81"/>
      <c r="D2441" s="81"/>
      <c r="I2441" s="81"/>
      <c r="K2441" s="82"/>
      <c r="L2441" s="123"/>
      <c r="M2441" s="3"/>
      <c r="N2441" s="3"/>
      <c r="O2441" s="3"/>
      <c r="P2441" s="125"/>
      <c r="Q2441" s="125"/>
      <c r="R2441" s="127"/>
      <c r="S2441" s="123"/>
      <c r="T2441" s="3"/>
      <c r="W2441" s="86"/>
      <c r="Y2441" s="75"/>
    </row>
    <row r="2442" spans="1:25" x14ac:dyDescent="0.25">
      <c r="A2442" s="75"/>
      <c r="C2442" s="81"/>
      <c r="D2442" s="81"/>
      <c r="I2442" s="81"/>
      <c r="K2442" s="82"/>
      <c r="L2442" s="123"/>
      <c r="M2442" s="3"/>
      <c r="N2442" s="3"/>
      <c r="O2442" s="3"/>
      <c r="P2442" s="125"/>
      <c r="Q2442" s="125"/>
      <c r="R2442" s="127"/>
      <c r="S2442" s="123"/>
      <c r="T2442" s="3"/>
      <c r="W2442" s="86"/>
      <c r="Y2442" s="75"/>
    </row>
    <row r="2443" spans="1:25" x14ac:dyDescent="0.25">
      <c r="A2443" s="75"/>
      <c r="C2443" s="81"/>
      <c r="D2443" s="81"/>
      <c r="I2443" s="81"/>
      <c r="K2443" s="82"/>
      <c r="L2443" s="123"/>
      <c r="M2443" s="3"/>
      <c r="N2443" s="3"/>
      <c r="O2443" s="3"/>
      <c r="P2443" s="125"/>
      <c r="Q2443" s="125"/>
      <c r="R2443" s="127"/>
      <c r="S2443" s="123"/>
      <c r="T2443" s="3"/>
      <c r="W2443" s="86"/>
      <c r="Y2443" s="75"/>
    </row>
    <row r="2444" spans="1:25" x14ac:dyDescent="0.25">
      <c r="A2444" s="75"/>
      <c r="C2444" s="81"/>
      <c r="D2444" s="81"/>
      <c r="I2444" s="81"/>
      <c r="K2444" s="82"/>
      <c r="L2444" s="123"/>
      <c r="M2444" s="3"/>
      <c r="N2444" s="3"/>
      <c r="O2444" s="3"/>
      <c r="P2444" s="125"/>
      <c r="Q2444" s="125"/>
      <c r="R2444" s="127"/>
      <c r="S2444" s="123"/>
      <c r="T2444" s="3"/>
      <c r="W2444" s="86"/>
      <c r="Y2444" s="75"/>
    </row>
    <row r="2445" spans="1:25" x14ac:dyDescent="0.25">
      <c r="A2445" s="75"/>
      <c r="C2445" s="81"/>
      <c r="D2445" s="81"/>
      <c r="I2445" s="81"/>
      <c r="K2445" s="82"/>
      <c r="L2445" s="123"/>
      <c r="M2445" s="3"/>
      <c r="N2445" s="3"/>
      <c r="O2445" s="3"/>
      <c r="P2445" s="125"/>
      <c r="Q2445" s="125"/>
      <c r="R2445" s="127"/>
      <c r="S2445" s="123"/>
      <c r="T2445" s="3"/>
      <c r="W2445" s="86"/>
      <c r="Y2445" s="75"/>
    </row>
    <row r="2446" spans="1:25" x14ac:dyDescent="0.25">
      <c r="A2446" s="75"/>
      <c r="C2446" s="81"/>
      <c r="D2446" s="81"/>
      <c r="I2446" s="81"/>
      <c r="K2446" s="82"/>
      <c r="L2446" s="123"/>
      <c r="M2446" s="3"/>
      <c r="N2446" s="3"/>
      <c r="O2446" s="3"/>
      <c r="P2446" s="125"/>
      <c r="Q2446" s="125"/>
      <c r="R2446" s="127"/>
      <c r="S2446" s="123"/>
      <c r="T2446" s="3"/>
      <c r="W2446" s="86"/>
      <c r="Y2446" s="75"/>
    </row>
    <row r="2447" spans="1:25" x14ac:dyDescent="0.25">
      <c r="A2447" s="75"/>
      <c r="C2447" s="81"/>
      <c r="D2447" s="81"/>
      <c r="I2447" s="81"/>
      <c r="K2447" s="82"/>
      <c r="L2447" s="123"/>
      <c r="M2447" s="3"/>
      <c r="N2447" s="3"/>
      <c r="O2447" s="3"/>
      <c r="P2447" s="125"/>
      <c r="Q2447" s="125"/>
      <c r="R2447" s="127"/>
      <c r="S2447" s="123"/>
      <c r="T2447" s="3"/>
      <c r="W2447" s="86"/>
      <c r="Y2447" s="75"/>
    </row>
    <row r="2448" spans="1:25" x14ac:dyDescent="0.25">
      <c r="A2448" s="75"/>
      <c r="C2448" s="81"/>
      <c r="D2448" s="81"/>
      <c r="I2448" s="81"/>
      <c r="K2448" s="82"/>
      <c r="L2448" s="123"/>
      <c r="M2448" s="3"/>
      <c r="N2448" s="3"/>
      <c r="O2448" s="3"/>
      <c r="P2448" s="125"/>
      <c r="Q2448" s="125"/>
      <c r="R2448" s="127"/>
      <c r="S2448" s="123"/>
      <c r="T2448" s="3"/>
      <c r="W2448" s="86"/>
      <c r="Y2448" s="75"/>
    </row>
    <row r="2449" spans="1:25" x14ac:dyDescent="0.25">
      <c r="A2449" s="75"/>
      <c r="C2449" s="81"/>
      <c r="D2449" s="81"/>
      <c r="I2449" s="81"/>
      <c r="K2449" s="82"/>
      <c r="L2449" s="123"/>
      <c r="M2449" s="3"/>
      <c r="N2449" s="3"/>
      <c r="O2449" s="3"/>
      <c r="P2449" s="125"/>
      <c r="Q2449" s="125"/>
      <c r="R2449" s="127"/>
      <c r="S2449" s="123"/>
      <c r="T2449" s="3"/>
      <c r="W2449" s="86"/>
      <c r="Y2449" s="75"/>
    </row>
    <row r="2450" spans="1:25" x14ac:dyDescent="0.25">
      <c r="A2450" s="75"/>
      <c r="C2450" s="81"/>
      <c r="D2450" s="81"/>
      <c r="I2450" s="81"/>
      <c r="K2450" s="82"/>
      <c r="L2450" s="123"/>
      <c r="M2450" s="3"/>
      <c r="N2450" s="3"/>
      <c r="O2450" s="3"/>
      <c r="P2450" s="125"/>
      <c r="Q2450" s="125"/>
      <c r="R2450" s="127"/>
      <c r="S2450" s="123"/>
      <c r="T2450" s="3"/>
      <c r="W2450" s="86"/>
      <c r="Y2450" s="75"/>
    </row>
    <row r="2451" spans="1:25" x14ac:dyDescent="0.25">
      <c r="A2451" s="75"/>
      <c r="C2451" s="81"/>
      <c r="D2451" s="81"/>
      <c r="I2451" s="81"/>
      <c r="K2451" s="82"/>
      <c r="L2451" s="123"/>
      <c r="M2451" s="3"/>
      <c r="N2451" s="3"/>
      <c r="O2451" s="3"/>
      <c r="P2451" s="125"/>
      <c r="Q2451" s="125"/>
      <c r="R2451" s="127"/>
      <c r="S2451" s="123"/>
      <c r="T2451" s="3"/>
      <c r="W2451" s="86"/>
      <c r="Y2451" s="75"/>
    </row>
    <row r="2452" spans="1:25" x14ac:dyDescent="0.25">
      <c r="A2452" s="75"/>
      <c r="C2452" s="81"/>
      <c r="D2452" s="81"/>
      <c r="I2452" s="81"/>
      <c r="K2452" s="82"/>
      <c r="L2452" s="123"/>
      <c r="M2452" s="3"/>
      <c r="N2452" s="3"/>
      <c r="O2452" s="3"/>
      <c r="P2452" s="125"/>
      <c r="Q2452" s="125"/>
      <c r="R2452" s="127"/>
      <c r="S2452" s="123"/>
      <c r="T2452" s="3"/>
      <c r="W2452" s="86"/>
      <c r="Y2452" s="75"/>
    </row>
    <row r="2453" spans="1:25" x14ac:dyDescent="0.25">
      <c r="A2453" s="75"/>
      <c r="C2453" s="81"/>
      <c r="D2453" s="81"/>
      <c r="I2453" s="81"/>
      <c r="K2453" s="82"/>
      <c r="L2453" s="123"/>
      <c r="M2453" s="3"/>
      <c r="N2453" s="3"/>
      <c r="O2453" s="3"/>
      <c r="P2453" s="125"/>
      <c r="Q2453" s="125"/>
      <c r="R2453" s="127"/>
      <c r="S2453" s="123"/>
      <c r="T2453" s="3"/>
      <c r="W2453" s="86"/>
      <c r="Y2453" s="75"/>
    </row>
    <row r="2454" spans="1:25" x14ac:dyDescent="0.25">
      <c r="A2454" s="75"/>
      <c r="C2454" s="81"/>
      <c r="D2454" s="81"/>
      <c r="I2454" s="81"/>
      <c r="K2454" s="82"/>
      <c r="L2454" s="123"/>
      <c r="M2454" s="3"/>
      <c r="N2454" s="3"/>
      <c r="O2454" s="3"/>
      <c r="P2454" s="125"/>
      <c r="Q2454" s="125"/>
      <c r="R2454" s="127"/>
      <c r="S2454" s="123"/>
      <c r="T2454" s="3"/>
      <c r="W2454" s="86"/>
      <c r="Y2454" s="75"/>
    </row>
    <row r="2455" spans="1:25" x14ac:dyDescent="0.25">
      <c r="A2455" s="75"/>
      <c r="C2455" s="81"/>
      <c r="D2455" s="81"/>
      <c r="I2455" s="81"/>
      <c r="K2455" s="82"/>
      <c r="L2455" s="123"/>
      <c r="M2455" s="3"/>
      <c r="N2455" s="3"/>
      <c r="O2455" s="3"/>
      <c r="P2455" s="125"/>
      <c r="Q2455" s="125"/>
      <c r="R2455" s="127"/>
      <c r="S2455" s="123"/>
      <c r="T2455" s="3"/>
      <c r="W2455" s="86"/>
      <c r="Y2455" s="75"/>
    </row>
    <row r="2456" spans="1:25" x14ac:dyDescent="0.25">
      <c r="A2456" s="75"/>
      <c r="C2456" s="81"/>
      <c r="D2456" s="81"/>
      <c r="I2456" s="81"/>
      <c r="K2456" s="82"/>
      <c r="L2456" s="123"/>
      <c r="M2456" s="3"/>
      <c r="N2456" s="3"/>
      <c r="O2456" s="3"/>
      <c r="P2456" s="125"/>
      <c r="Q2456" s="125"/>
      <c r="R2456" s="127"/>
      <c r="S2456" s="123"/>
      <c r="T2456" s="3"/>
      <c r="W2456" s="86"/>
      <c r="Y2456" s="75"/>
    </row>
    <row r="2457" spans="1:25" x14ac:dyDescent="0.25">
      <c r="A2457" s="75"/>
      <c r="C2457" s="81"/>
      <c r="D2457" s="81"/>
      <c r="I2457" s="81"/>
      <c r="K2457" s="82"/>
      <c r="L2457" s="123"/>
      <c r="M2457" s="3"/>
      <c r="N2457" s="3"/>
      <c r="O2457" s="3"/>
      <c r="P2457" s="125"/>
      <c r="Q2457" s="125"/>
      <c r="R2457" s="127"/>
      <c r="S2457" s="123"/>
      <c r="T2457" s="3"/>
      <c r="W2457" s="86"/>
      <c r="Y2457" s="75"/>
    </row>
    <row r="2458" spans="1:25" x14ac:dyDescent="0.25">
      <c r="A2458" s="75"/>
      <c r="C2458" s="81"/>
      <c r="D2458" s="81"/>
      <c r="I2458" s="81"/>
      <c r="K2458" s="82"/>
      <c r="L2458" s="123"/>
      <c r="M2458" s="3"/>
      <c r="N2458" s="3"/>
      <c r="O2458" s="3"/>
      <c r="P2458" s="125"/>
      <c r="Q2458" s="125"/>
      <c r="R2458" s="127"/>
      <c r="S2458" s="123"/>
      <c r="T2458" s="3"/>
      <c r="W2458" s="86"/>
      <c r="Y2458" s="75"/>
    </row>
    <row r="2459" spans="1:25" x14ac:dyDescent="0.25">
      <c r="A2459" s="75"/>
      <c r="C2459" s="81"/>
      <c r="D2459" s="81"/>
      <c r="I2459" s="81"/>
      <c r="K2459" s="82"/>
      <c r="L2459" s="123"/>
      <c r="M2459" s="3"/>
      <c r="N2459" s="3"/>
      <c r="O2459" s="3"/>
      <c r="P2459" s="125"/>
      <c r="Q2459" s="125"/>
      <c r="R2459" s="127"/>
      <c r="S2459" s="123"/>
      <c r="T2459" s="3"/>
      <c r="W2459" s="86"/>
      <c r="Y2459" s="75"/>
    </row>
    <row r="2460" spans="1:25" x14ac:dyDescent="0.25">
      <c r="A2460" s="75"/>
      <c r="C2460" s="81"/>
      <c r="D2460" s="81"/>
      <c r="I2460" s="81"/>
      <c r="K2460" s="82"/>
      <c r="L2460" s="123"/>
      <c r="M2460" s="3"/>
      <c r="N2460" s="3"/>
      <c r="O2460" s="3"/>
      <c r="P2460" s="125"/>
      <c r="Q2460" s="125"/>
      <c r="R2460" s="127"/>
      <c r="S2460" s="123"/>
      <c r="T2460" s="3"/>
      <c r="W2460" s="86"/>
      <c r="Y2460" s="75"/>
    </row>
    <row r="2461" spans="1:25" x14ac:dyDescent="0.25">
      <c r="A2461" s="75"/>
      <c r="C2461" s="81"/>
      <c r="D2461" s="81"/>
      <c r="I2461" s="81"/>
      <c r="K2461" s="82"/>
      <c r="L2461" s="123"/>
      <c r="M2461" s="3"/>
      <c r="N2461" s="3"/>
      <c r="O2461" s="3"/>
      <c r="P2461" s="125"/>
      <c r="Q2461" s="125"/>
      <c r="R2461" s="127"/>
      <c r="S2461" s="123"/>
      <c r="T2461" s="3"/>
      <c r="W2461" s="86"/>
      <c r="Y2461" s="75"/>
    </row>
    <row r="2462" spans="1:25" x14ac:dyDescent="0.25">
      <c r="A2462" s="75"/>
      <c r="C2462" s="81"/>
      <c r="D2462" s="81"/>
      <c r="I2462" s="81"/>
      <c r="K2462" s="82"/>
      <c r="L2462" s="123"/>
      <c r="M2462" s="3"/>
      <c r="N2462" s="3"/>
      <c r="O2462" s="3"/>
      <c r="P2462" s="125"/>
      <c r="Q2462" s="125"/>
      <c r="R2462" s="127"/>
      <c r="S2462" s="123"/>
      <c r="T2462" s="3"/>
      <c r="W2462" s="86"/>
      <c r="Y2462" s="75"/>
    </row>
    <row r="2463" spans="1:25" x14ac:dyDescent="0.25">
      <c r="A2463" s="75"/>
      <c r="C2463" s="81"/>
      <c r="D2463" s="81"/>
      <c r="I2463" s="81"/>
      <c r="K2463" s="82"/>
      <c r="L2463" s="123"/>
      <c r="M2463" s="3"/>
      <c r="N2463" s="3"/>
      <c r="O2463" s="3"/>
      <c r="P2463" s="125"/>
      <c r="Q2463" s="125"/>
      <c r="R2463" s="127"/>
      <c r="S2463" s="123"/>
      <c r="T2463" s="3"/>
      <c r="W2463" s="86"/>
      <c r="Y2463" s="75"/>
    </row>
    <row r="2464" spans="1:25" x14ac:dyDescent="0.25">
      <c r="A2464" s="75"/>
      <c r="C2464" s="81"/>
      <c r="D2464" s="81"/>
      <c r="I2464" s="81"/>
      <c r="K2464" s="82"/>
      <c r="L2464" s="123"/>
      <c r="M2464" s="3"/>
      <c r="N2464" s="3"/>
      <c r="O2464" s="3"/>
      <c r="P2464" s="125"/>
      <c r="Q2464" s="125"/>
      <c r="R2464" s="127"/>
      <c r="S2464" s="123"/>
      <c r="T2464" s="3"/>
      <c r="W2464" s="86"/>
      <c r="Y2464" s="75"/>
    </row>
    <row r="2465" spans="1:25" x14ac:dyDescent="0.25">
      <c r="A2465" s="75"/>
      <c r="C2465" s="81"/>
      <c r="D2465" s="81"/>
      <c r="I2465" s="81"/>
      <c r="K2465" s="82"/>
      <c r="L2465" s="123"/>
      <c r="M2465" s="3"/>
      <c r="N2465" s="3"/>
      <c r="O2465" s="3"/>
      <c r="P2465" s="125"/>
      <c r="Q2465" s="125"/>
      <c r="R2465" s="127"/>
      <c r="S2465" s="123"/>
      <c r="T2465" s="3"/>
      <c r="W2465" s="86"/>
      <c r="Y2465" s="75"/>
    </row>
    <row r="2466" spans="1:25" x14ac:dyDescent="0.25">
      <c r="A2466" s="75"/>
      <c r="C2466" s="81"/>
      <c r="D2466" s="81"/>
      <c r="I2466" s="81"/>
      <c r="K2466" s="82"/>
      <c r="L2466" s="123"/>
      <c r="M2466" s="3"/>
      <c r="N2466" s="3"/>
      <c r="O2466" s="3"/>
      <c r="P2466" s="125"/>
      <c r="Q2466" s="125"/>
      <c r="R2466" s="127"/>
      <c r="S2466" s="123"/>
      <c r="T2466" s="3"/>
      <c r="W2466" s="86"/>
      <c r="Y2466" s="75"/>
    </row>
    <row r="2467" spans="1:25" x14ac:dyDescent="0.25">
      <c r="A2467" s="75"/>
      <c r="C2467" s="81"/>
      <c r="D2467" s="81"/>
      <c r="I2467" s="81"/>
      <c r="K2467" s="82"/>
      <c r="L2467" s="123"/>
      <c r="M2467" s="3"/>
      <c r="N2467" s="3"/>
      <c r="O2467" s="3"/>
      <c r="P2467" s="125"/>
      <c r="Q2467" s="125"/>
      <c r="R2467" s="127"/>
      <c r="S2467" s="123"/>
      <c r="T2467" s="3"/>
      <c r="W2467" s="86"/>
      <c r="Y2467" s="75"/>
    </row>
    <row r="2468" spans="1:25" x14ac:dyDescent="0.25">
      <c r="A2468" s="75"/>
      <c r="C2468" s="81"/>
      <c r="D2468" s="81"/>
      <c r="I2468" s="81"/>
      <c r="K2468" s="82"/>
      <c r="L2468" s="123"/>
      <c r="M2468" s="3"/>
      <c r="N2468" s="3"/>
      <c r="O2468" s="3"/>
      <c r="P2468" s="125"/>
      <c r="Q2468" s="125"/>
      <c r="R2468" s="127"/>
      <c r="S2468" s="123"/>
      <c r="T2468" s="3"/>
      <c r="W2468" s="86"/>
      <c r="Y2468" s="75"/>
    </row>
    <row r="2469" spans="1:25" x14ac:dyDescent="0.25">
      <c r="A2469" s="75"/>
      <c r="C2469" s="81"/>
      <c r="D2469" s="81"/>
      <c r="I2469" s="81"/>
      <c r="K2469" s="82"/>
      <c r="L2469" s="123"/>
      <c r="M2469" s="3"/>
      <c r="N2469" s="3"/>
      <c r="O2469" s="3"/>
      <c r="P2469" s="125"/>
      <c r="Q2469" s="125"/>
      <c r="R2469" s="127"/>
      <c r="S2469" s="123"/>
      <c r="T2469" s="3"/>
      <c r="W2469" s="86"/>
      <c r="Y2469" s="75"/>
    </row>
    <row r="2470" spans="1:25" x14ac:dyDescent="0.25">
      <c r="A2470" s="75"/>
      <c r="C2470" s="81"/>
      <c r="D2470" s="81"/>
      <c r="I2470" s="81"/>
      <c r="K2470" s="82"/>
      <c r="L2470" s="123"/>
      <c r="M2470" s="3"/>
      <c r="N2470" s="3"/>
      <c r="O2470" s="3"/>
      <c r="P2470" s="125"/>
      <c r="Q2470" s="125"/>
      <c r="R2470" s="127"/>
      <c r="S2470" s="123"/>
      <c r="T2470" s="3"/>
      <c r="W2470" s="86"/>
      <c r="Y2470" s="75"/>
    </row>
    <row r="2471" spans="1:25" x14ac:dyDescent="0.25">
      <c r="A2471" s="75"/>
      <c r="C2471" s="81"/>
      <c r="D2471" s="81"/>
      <c r="I2471" s="81"/>
      <c r="K2471" s="82"/>
      <c r="L2471" s="123"/>
      <c r="M2471" s="3"/>
      <c r="N2471" s="3"/>
      <c r="O2471" s="3"/>
      <c r="P2471" s="125"/>
      <c r="Q2471" s="125"/>
      <c r="R2471" s="127"/>
      <c r="S2471" s="123"/>
      <c r="T2471" s="3"/>
      <c r="W2471" s="86"/>
      <c r="Y2471" s="75"/>
    </row>
    <row r="2472" spans="1:25" x14ac:dyDescent="0.25">
      <c r="A2472" s="75"/>
      <c r="C2472" s="81"/>
      <c r="D2472" s="81"/>
      <c r="I2472" s="81"/>
      <c r="K2472" s="82"/>
      <c r="L2472" s="123"/>
      <c r="M2472" s="3"/>
      <c r="N2472" s="3"/>
      <c r="O2472" s="3"/>
      <c r="P2472" s="125"/>
      <c r="Q2472" s="125"/>
      <c r="R2472" s="127"/>
      <c r="S2472" s="123"/>
      <c r="T2472" s="3"/>
      <c r="W2472" s="86"/>
      <c r="Y2472" s="75"/>
    </row>
    <row r="2473" spans="1:25" x14ac:dyDescent="0.25">
      <c r="A2473" s="75"/>
      <c r="C2473" s="81"/>
      <c r="D2473" s="81"/>
      <c r="I2473" s="81"/>
      <c r="K2473" s="82"/>
      <c r="L2473" s="123"/>
      <c r="M2473" s="3"/>
      <c r="N2473" s="3"/>
      <c r="O2473" s="3"/>
      <c r="P2473" s="125"/>
      <c r="Q2473" s="125"/>
      <c r="R2473" s="127"/>
      <c r="S2473" s="123"/>
      <c r="T2473" s="3"/>
      <c r="W2473" s="86"/>
      <c r="Y2473" s="75"/>
    </row>
    <row r="2474" spans="1:25" x14ac:dyDescent="0.25">
      <c r="A2474" s="75"/>
      <c r="C2474" s="81"/>
      <c r="D2474" s="81"/>
      <c r="I2474" s="81"/>
      <c r="K2474" s="82"/>
      <c r="L2474" s="123"/>
      <c r="M2474" s="3"/>
      <c r="N2474" s="3"/>
      <c r="O2474" s="3"/>
      <c r="P2474" s="125"/>
      <c r="Q2474" s="125"/>
      <c r="R2474" s="127"/>
      <c r="S2474" s="123"/>
      <c r="T2474" s="3"/>
      <c r="W2474" s="86"/>
      <c r="Y2474" s="75"/>
    </row>
    <row r="2475" spans="1:25" x14ac:dyDescent="0.25">
      <c r="A2475" s="75"/>
      <c r="C2475" s="81"/>
      <c r="D2475" s="81"/>
      <c r="I2475" s="81"/>
      <c r="K2475" s="82"/>
      <c r="L2475" s="123"/>
      <c r="M2475" s="3"/>
      <c r="N2475" s="3"/>
      <c r="O2475" s="3"/>
      <c r="P2475" s="125"/>
      <c r="Q2475" s="125"/>
      <c r="R2475" s="127"/>
      <c r="S2475" s="123"/>
      <c r="T2475" s="3"/>
      <c r="W2475" s="86"/>
      <c r="Y2475" s="75"/>
    </row>
    <row r="2476" spans="1:25" x14ac:dyDescent="0.25">
      <c r="A2476" s="75"/>
      <c r="C2476" s="81"/>
      <c r="D2476" s="81"/>
      <c r="I2476" s="81"/>
      <c r="K2476" s="82"/>
      <c r="L2476" s="123"/>
      <c r="M2476" s="3"/>
      <c r="N2476" s="3"/>
      <c r="O2476" s="3"/>
      <c r="P2476" s="125"/>
      <c r="Q2476" s="125"/>
      <c r="R2476" s="127"/>
      <c r="S2476" s="123"/>
      <c r="T2476" s="3"/>
      <c r="W2476" s="86"/>
      <c r="Y2476" s="75"/>
    </row>
    <row r="2477" spans="1:25" x14ac:dyDescent="0.25">
      <c r="A2477" s="75"/>
      <c r="C2477" s="81"/>
      <c r="D2477" s="81"/>
      <c r="I2477" s="81"/>
      <c r="K2477" s="82"/>
      <c r="L2477" s="123"/>
      <c r="M2477" s="3"/>
      <c r="N2477" s="3"/>
      <c r="O2477" s="3"/>
      <c r="P2477" s="125"/>
      <c r="Q2477" s="125"/>
      <c r="R2477" s="127"/>
      <c r="S2477" s="123"/>
      <c r="T2477" s="3"/>
      <c r="W2477" s="86"/>
      <c r="Y2477" s="75"/>
    </row>
    <row r="2478" spans="1:25" x14ac:dyDescent="0.25">
      <c r="A2478" s="75"/>
      <c r="C2478" s="81"/>
      <c r="D2478" s="81"/>
      <c r="I2478" s="81"/>
      <c r="K2478" s="82"/>
      <c r="L2478" s="123"/>
      <c r="M2478" s="3"/>
      <c r="N2478" s="3"/>
      <c r="O2478" s="3"/>
      <c r="P2478" s="125"/>
      <c r="Q2478" s="125"/>
      <c r="R2478" s="127"/>
      <c r="S2478" s="123"/>
      <c r="T2478" s="3"/>
      <c r="W2478" s="86"/>
      <c r="Y2478" s="75"/>
    </row>
    <row r="2479" spans="1:25" x14ac:dyDescent="0.25">
      <c r="A2479" s="75"/>
      <c r="C2479" s="81"/>
      <c r="D2479" s="81"/>
      <c r="I2479" s="81"/>
      <c r="K2479" s="82"/>
      <c r="L2479" s="123"/>
      <c r="M2479" s="3"/>
      <c r="N2479" s="3"/>
      <c r="O2479" s="3"/>
      <c r="P2479" s="125"/>
      <c r="Q2479" s="125"/>
      <c r="R2479" s="127"/>
      <c r="S2479" s="123"/>
      <c r="T2479" s="3"/>
      <c r="W2479" s="86"/>
      <c r="Y2479" s="75"/>
    </row>
    <row r="2480" spans="1:25" x14ac:dyDescent="0.25">
      <c r="A2480" s="75"/>
      <c r="C2480" s="81"/>
      <c r="D2480" s="81"/>
      <c r="I2480" s="81"/>
      <c r="K2480" s="82"/>
      <c r="L2480" s="123"/>
      <c r="M2480" s="3"/>
      <c r="N2480" s="3"/>
      <c r="O2480" s="3"/>
      <c r="P2480" s="125"/>
      <c r="Q2480" s="125"/>
      <c r="R2480" s="127"/>
      <c r="S2480" s="123"/>
      <c r="T2480" s="3"/>
      <c r="W2480" s="86"/>
      <c r="Y2480" s="75"/>
    </row>
    <row r="2481" spans="1:25" x14ac:dyDescent="0.25">
      <c r="A2481" s="75"/>
      <c r="C2481" s="81"/>
      <c r="D2481" s="81"/>
      <c r="I2481" s="81"/>
      <c r="K2481" s="82"/>
      <c r="L2481" s="123"/>
      <c r="M2481" s="3"/>
      <c r="N2481" s="3"/>
      <c r="O2481" s="3"/>
      <c r="P2481" s="125"/>
      <c r="Q2481" s="125"/>
      <c r="R2481" s="127"/>
      <c r="S2481" s="123"/>
      <c r="T2481" s="3"/>
      <c r="W2481" s="86"/>
      <c r="Y2481" s="75"/>
    </row>
    <row r="2482" spans="1:25" x14ac:dyDescent="0.25">
      <c r="A2482" s="75"/>
      <c r="C2482" s="81"/>
      <c r="D2482" s="81"/>
      <c r="I2482" s="81"/>
      <c r="K2482" s="82"/>
      <c r="L2482" s="123"/>
      <c r="M2482" s="3"/>
      <c r="N2482" s="3"/>
      <c r="O2482" s="3"/>
      <c r="P2482" s="125"/>
      <c r="Q2482" s="125"/>
      <c r="R2482" s="127"/>
      <c r="S2482" s="123"/>
      <c r="T2482" s="3"/>
      <c r="W2482" s="86"/>
      <c r="Y2482" s="75"/>
    </row>
    <row r="2483" spans="1:25" x14ac:dyDescent="0.25">
      <c r="A2483" s="75"/>
      <c r="C2483" s="81"/>
      <c r="D2483" s="81"/>
      <c r="I2483" s="81"/>
      <c r="K2483" s="82"/>
      <c r="L2483" s="123"/>
      <c r="M2483" s="3"/>
      <c r="N2483" s="3"/>
      <c r="O2483" s="3"/>
      <c r="P2483" s="125"/>
      <c r="Q2483" s="125"/>
      <c r="R2483" s="127"/>
      <c r="S2483" s="123"/>
      <c r="T2483" s="3"/>
      <c r="W2483" s="86"/>
      <c r="Y2483" s="75"/>
    </row>
    <row r="2484" spans="1:25" x14ac:dyDescent="0.25">
      <c r="A2484" s="75"/>
      <c r="C2484" s="81"/>
      <c r="D2484" s="81"/>
      <c r="I2484" s="81"/>
      <c r="K2484" s="82"/>
      <c r="L2484" s="123"/>
      <c r="M2484" s="3"/>
      <c r="N2484" s="3"/>
      <c r="O2484" s="3"/>
      <c r="P2484" s="125"/>
      <c r="Q2484" s="125"/>
      <c r="R2484" s="127"/>
      <c r="S2484" s="123"/>
      <c r="T2484" s="3"/>
      <c r="W2484" s="86"/>
      <c r="Y2484" s="75"/>
    </row>
    <row r="2485" spans="1:25" x14ac:dyDescent="0.25">
      <c r="A2485" s="75"/>
      <c r="C2485" s="81"/>
      <c r="D2485" s="81"/>
      <c r="I2485" s="81"/>
      <c r="K2485" s="82"/>
      <c r="L2485" s="123"/>
      <c r="M2485" s="3"/>
      <c r="N2485" s="3"/>
      <c r="O2485" s="3"/>
      <c r="P2485" s="125"/>
      <c r="Q2485" s="125"/>
      <c r="R2485" s="127"/>
      <c r="S2485" s="123"/>
      <c r="T2485" s="3"/>
      <c r="W2485" s="86"/>
      <c r="Y2485" s="75"/>
    </row>
    <row r="2486" spans="1:25" x14ac:dyDescent="0.25">
      <c r="A2486" s="75"/>
      <c r="C2486" s="81"/>
      <c r="D2486" s="81"/>
      <c r="I2486" s="81"/>
      <c r="K2486" s="82"/>
      <c r="L2486" s="123"/>
      <c r="M2486" s="3"/>
      <c r="N2486" s="3"/>
      <c r="O2486" s="3"/>
      <c r="P2486" s="125"/>
      <c r="Q2486" s="125"/>
      <c r="R2486" s="127"/>
      <c r="S2486" s="123"/>
      <c r="T2486" s="3"/>
      <c r="W2486" s="86"/>
      <c r="Y2486" s="75"/>
    </row>
    <row r="2487" spans="1:25" x14ac:dyDescent="0.25">
      <c r="A2487" s="75"/>
      <c r="C2487" s="81"/>
      <c r="D2487" s="81"/>
      <c r="I2487" s="81"/>
      <c r="K2487" s="82"/>
      <c r="L2487" s="123"/>
      <c r="M2487" s="3"/>
      <c r="N2487" s="3"/>
      <c r="O2487" s="3"/>
      <c r="P2487" s="125"/>
      <c r="Q2487" s="125"/>
      <c r="R2487" s="127"/>
      <c r="S2487" s="123"/>
      <c r="T2487" s="3"/>
      <c r="W2487" s="86"/>
      <c r="Y2487" s="75"/>
    </row>
    <row r="2488" spans="1:25" x14ac:dyDescent="0.25">
      <c r="A2488" s="75"/>
      <c r="C2488" s="81"/>
      <c r="D2488" s="81"/>
      <c r="I2488" s="81"/>
      <c r="K2488" s="82"/>
      <c r="L2488" s="123"/>
      <c r="M2488" s="3"/>
      <c r="N2488" s="3"/>
      <c r="O2488" s="3"/>
      <c r="P2488" s="125"/>
      <c r="Q2488" s="125"/>
      <c r="R2488" s="127"/>
      <c r="S2488" s="123"/>
      <c r="T2488" s="3"/>
      <c r="W2488" s="86"/>
      <c r="Y2488" s="75"/>
    </row>
    <row r="2489" spans="1:25" x14ac:dyDescent="0.25">
      <c r="A2489" s="75"/>
      <c r="C2489" s="81"/>
      <c r="D2489" s="81"/>
      <c r="I2489" s="81"/>
      <c r="K2489" s="82"/>
      <c r="L2489" s="123"/>
      <c r="M2489" s="3"/>
      <c r="N2489" s="3"/>
      <c r="O2489" s="3"/>
      <c r="P2489" s="125"/>
      <c r="Q2489" s="125"/>
      <c r="R2489" s="127"/>
      <c r="S2489" s="123"/>
      <c r="T2489" s="3"/>
      <c r="W2489" s="86"/>
      <c r="Y2489" s="75"/>
    </row>
    <row r="2490" spans="1:25" x14ac:dyDescent="0.25">
      <c r="A2490" s="75"/>
      <c r="C2490" s="81"/>
      <c r="D2490" s="81"/>
      <c r="I2490" s="81"/>
      <c r="K2490" s="82"/>
      <c r="L2490" s="123"/>
      <c r="M2490" s="3"/>
      <c r="N2490" s="3"/>
      <c r="O2490" s="3"/>
      <c r="P2490" s="125"/>
      <c r="Q2490" s="125"/>
      <c r="R2490" s="127"/>
      <c r="S2490" s="123"/>
      <c r="T2490" s="3"/>
      <c r="W2490" s="86"/>
      <c r="Y2490" s="75"/>
    </row>
    <row r="2491" spans="1:25" x14ac:dyDescent="0.25">
      <c r="A2491" s="75"/>
      <c r="C2491" s="81"/>
      <c r="D2491" s="81"/>
      <c r="I2491" s="81"/>
      <c r="K2491" s="82"/>
      <c r="L2491" s="123"/>
      <c r="M2491" s="3"/>
      <c r="N2491" s="3"/>
      <c r="O2491" s="3"/>
      <c r="P2491" s="125"/>
      <c r="Q2491" s="125"/>
      <c r="R2491" s="127"/>
      <c r="S2491" s="123"/>
      <c r="T2491" s="3"/>
      <c r="W2491" s="86"/>
      <c r="Y2491" s="75"/>
    </row>
    <row r="2492" spans="1:25" x14ac:dyDescent="0.25">
      <c r="A2492" s="75"/>
      <c r="C2492" s="81"/>
      <c r="D2492" s="81"/>
      <c r="I2492" s="81"/>
      <c r="K2492" s="82"/>
      <c r="L2492" s="123"/>
      <c r="M2492" s="3"/>
      <c r="N2492" s="3"/>
      <c r="O2492" s="3"/>
      <c r="P2492" s="125"/>
      <c r="Q2492" s="125"/>
      <c r="R2492" s="127"/>
      <c r="S2492" s="123"/>
      <c r="T2492" s="3"/>
      <c r="W2492" s="86"/>
      <c r="Y2492" s="75"/>
    </row>
    <row r="2493" spans="1:25" x14ac:dyDescent="0.25">
      <c r="A2493" s="75"/>
      <c r="C2493" s="81"/>
      <c r="D2493" s="81"/>
      <c r="I2493" s="81"/>
      <c r="K2493" s="82"/>
      <c r="L2493" s="123"/>
      <c r="M2493" s="3"/>
      <c r="N2493" s="3"/>
      <c r="O2493" s="3"/>
      <c r="P2493" s="125"/>
      <c r="Q2493" s="125"/>
      <c r="R2493" s="127"/>
      <c r="S2493" s="123"/>
      <c r="T2493" s="3"/>
      <c r="W2493" s="86"/>
      <c r="Y2493" s="75"/>
    </row>
    <row r="2494" spans="1:25" x14ac:dyDescent="0.25">
      <c r="A2494" s="75"/>
      <c r="C2494" s="81"/>
      <c r="D2494" s="81"/>
      <c r="I2494" s="81"/>
      <c r="K2494" s="82"/>
      <c r="L2494" s="123"/>
      <c r="M2494" s="3"/>
      <c r="N2494" s="3"/>
      <c r="O2494" s="3"/>
      <c r="P2494" s="125"/>
      <c r="Q2494" s="125"/>
      <c r="R2494" s="127"/>
      <c r="S2494" s="123"/>
      <c r="T2494" s="3"/>
      <c r="W2494" s="86"/>
      <c r="Y2494" s="75"/>
    </row>
    <row r="2495" spans="1:25" x14ac:dyDescent="0.25">
      <c r="A2495" s="75"/>
      <c r="C2495" s="81"/>
      <c r="D2495" s="81"/>
      <c r="I2495" s="81"/>
      <c r="K2495" s="82"/>
      <c r="L2495" s="123"/>
      <c r="M2495" s="3"/>
      <c r="N2495" s="3"/>
      <c r="O2495" s="3"/>
      <c r="P2495" s="125"/>
      <c r="Q2495" s="125"/>
      <c r="R2495" s="127"/>
      <c r="S2495" s="123"/>
      <c r="T2495" s="3"/>
      <c r="W2495" s="86"/>
      <c r="Y2495" s="75"/>
    </row>
    <row r="2496" spans="1:25" x14ac:dyDescent="0.25">
      <c r="A2496" s="75"/>
      <c r="C2496" s="81"/>
      <c r="D2496" s="81"/>
      <c r="I2496" s="81"/>
      <c r="K2496" s="82"/>
      <c r="L2496" s="123"/>
      <c r="M2496" s="3"/>
      <c r="N2496" s="3"/>
      <c r="O2496" s="3"/>
      <c r="P2496" s="125"/>
      <c r="Q2496" s="125"/>
      <c r="R2496" s="127"/>
      <c r="S2496" s="123"/>
      <c r="T2496" s="3"/>
      <c r="W2496" s="86"/>
      <c r="Y2496" s="75"/>
    </row>
    <row r="2497" spans="1:25" x14ac:dyDescent="0.25">
      <c r="A2497" s="75"/>
      <c r="C2497" s="81"/>
      <c r="D2497" s="81"/>
      <c r="I2497" s="81"/>
      <c r="K2497" s="82"/>
      <c r="L2497" s="123"/>
      <c r="M2497" s="3"/>
      <c r="N2497" s="3"/>
      <c r="O2497" s="3"/>
      <c r="P2497" s="125"/>
      <c r="Q2497" s="125"/>
      <c r="R2497" s="127"/>
      <c r="S2497" s="123"/>
      <c r="T2497" s="3"/>
      <c r="W2497" s="86"/>
      <c r="Y2497" s="75"/>
    </row>
    <row r="2498" spans="1:25" x14ac:dyDescent="0.25">
      <c r="A2498" s="75"/>
      <c r="C2498" s="81"/>
      <c r="D2498" s="81"/>
      <c r="I2498" s="81"/>
      <c r="K2498" s="82"/>
      <c r="L2498" s="123"/>
      <c r="M2498" s="3"/>
      <c r="N2498" s="3"/>
      <c r="O2498" s="3"/>
      <c r="P2498" s="125"/>
      <c r="Q2498" s="125"/>
      <c r="R2498" s="127"/>
      <c r="S2498" s="123"/>
      <c r="T2498" s="3"/>
      <c r="W2498" s="86"/>
      <c r="Y2498" s="75"/>
    </row>
    <row r="2499" spans="1:25" x14ac:dyDescent="0.25">
      <c r="A2499" s="75"/>
      <c r="C2499" s="81"/>
      <c r="D2499" s="81"/>
      <c r="I2499" s="81"/>
      <c r="K2499" s="82"/>
      <c r="L2499" s="123"/>
      <c r="M2499" s="3"/>
      <c r="N2499" s="3"/>
      <c r="O2499" s="3"/>
      <c r="P2499" s="125"/>
      <c r="Q2499" s="125"/>
      <c r="R2499" s="127"/>
      <c r="S2499" s="123"/>
      <c r="T2499" s="3"/>
      <c r="W2499" s="86"/>
      <c r="Y2499" s="75"/>
    </row>
    <row r="2500" spans="1:25" x14ac:dyDescent="0.25">
      <c r="A2500" s="75"/>
      <c r="C2500" s="81"/>
      <c r="D2500" s="81"/>
      <c r="I2500" s="81"/>
      <c r="K2500" s="82"/>
      <c r="L2500" s="123"/>
      <c r="M2500" s="3"/>
      <c r="N2500" s="3"/>
      <c r="O2500" s="3"/>
      <c r="P2500" s="125"/>
      <c r="Q2500" s="125"/>
      <c r="R2500" s="127"/>
      <c r="S2500" s="123"/>
      <c r="T2500" s="3"/>
      <c r="W2500" s="86"/>
      <c r="Y2500" s="75"/>
    </row>
    <row r="2501" spans="1:25" x14ac:dyDescent="0.25">
      <c r="A2501" s="75"/>
      <c r="C2501" s="81"/>
      <c r="D2501" s="81"/>
      <c r="I2501" s="81"/>
      <c r="K2501" s="82"/>
      <c r="L2501" s="123"/>
      <c r="M2501" s="3"/>
      <c r="N2501" s="3"/>
      <c r="O2501" s="3"/>
      <c r="P2501" s="125"/>
      <c r="Q2501" s="125"/>
      <c r="R2501" s="127"/>
      <c r="S2501" s="123"/>
      <c r="T2501" s="3"/>
      <c r="W2501" s="86"/>
      <c r="Y2501" s="75"/>
    </row>
    <row r="2502" spans="1:25" x14ac:dyDescent="0.25">
      <c r="A2502" s="75"/>
      <c r="C2502" s="81"/>
      <c r="D2502" s="81"/>
      <c r="I2502" s="81"/>
      <c r="K2502" s="82"/>
      <c r="L2502" s="123"/>
      <c r="M2502" s="3"/>
      <c r="N2502" s="3"/>
      <c r="O2502" s="3"/>
      <c r="P2502" s="125"/>
      <c r="Q2502" s="125"/>
      <c r="R2502" s="127"/>
      <c r="S2502" s="123"/>
      <c r="T2502" s="3"/>
      <c r="W2502" s="86"/>
      <c r="Y2502" s="75"/>
    </row>
    <row r="2503" spans="1:25" x14ac:dyDescent="0.25">
      <c r="A2503" s="75"/>
      <c r="C2503" s="81"/>
      <c r="D2503" s="81"/>
      <c r="I2503" s="81"/>
      <c r="K2503" s="82"/>
      <c r="L2503" s="123"/>
      <c r="M2503" s="3"/>
      <c r="N2503" s="3"/>
      <c r="O2503" s="3"/>
      <c r="P2503" s="125"/>
      <c r="Q2503" s="125"/>
      <c r="R2503" s="127"/>
      <c r="S2503" s="123"/>
      <c r="T2503" s="3"/>
      <c r="W2503" s="86"/>
      <c r="Y2503" s="75"/>
    </row>
    <row r="2504" spans="1:25" x14ac:dyDescent="0.25">
      <c r="A2504" s="75"/>
      <c r="C2504" s="81"/>
      <c r="D2504" s="81"/>
      <c r="I2504" s="81"/>
      <c r="K2504" s="82"/>
      <c r="L2504" s="123"/>
      <c r="M2504" s="3"/>
      <c r="N2504" s="3"/>
      <c r="O2504" s="3"/>
      <c r="P2504" s="125"/>
      <c r="Q2504" s="125"/>
      <c r="R2504" s="127"/>
      <c r="S2504" s="123"/>
      <c r="T2504" s="3"/>
      <c r="W2504" s="86"/>
      <c r="Y2504" s="75"/>
    </row>
    <row r="2505" spans="1:25" x14ac:dyDescent="0.25">
      <c r="A2505" s="75"/>
      <c r="C2505" s="81"/>
      <c r="D2505" s="81"/>
      <c r="I2505" s="81"/>
      <c r="K2505" s="82"/>
      <c r="L2505" s="123"/>
      <c r="M2505" s="3"/>
      <c r="N2505" s="3"/>
      <c r="O2505" s="3"/>
      <c r="P2505" s="125"/>
      <c r="Q2505" s="125"/>
      <c r="R2505" s="127"/>
      <c r="S2505" s="123"/>
      <c r="T2505" s="3"/>
      <c r="W2505" s="86"/>
      <c r="Y2505" s="75"/>
    </row>
    <row r="2506" spans="1:25" x14ac:dyDescent="0.25">
      <c r="A2506" s="75"/>
      <c r="C2506" s="81"/>
      <c r="D2506" s="81"/>
      <c r="I2506" s="81"/>
      <c r="K2506" s="82"/>
      <c r="L2506" s="123"/>
      <c r="M2506" s="3"/>
      <c r="N2506" s="3"/>
      <c r="O2506" s="3"/>
      <c r="P2506" s="125"/>
      <c r="Q2506" s="125"/>
      <c r="R2506" s="127"/>
      <c r="S2506" s="123"/>
      <c r="T2506" s="3"/>
      <c r="W2506" s="86"/>
      <c r="Y2506" s="75"/>
    </row>
    <row r="2507" spans="1:25" x14ac:dyDescent="0.25">
      <c r="A2507" s="75"/>
      <c r="C2507" s="81"/>
      <c r="D2507" s="81"/>
      <c r="I2507" s="81"/>
      <c r="K2507" s="82"/>
      <c r="L2507" s="123"/>
      <c r="M2507" s="3"/>
      <c r="N2507" s="3"/>
      <c r="O2507" s="3"/>
      <c r="P2507" s="125"/>
      <c r="Q2507" s="125"/>
      <c r="R2507" s="127"/>
      <c r="S2507" s="123"/>
      <c r="T2507" s="3"/>
      <c r="W2507" s="86"/>
      <c r="Y2507" s="75"/>
    </row>
    <row r="2508" spans="1:25" x14ac:dyDescent="0.25">
      <c r="A2508" s="75"/>
      <c r="C2508" s="81"/>
      <c r="D2508" s="81"/>
      <c r="I2508" s="81"/>
      <c r="K2508" s="82"/>
      <c r="L2508" s="123"/>
      <c r="M2508" s="3"/>
      <c r="N2508" s="3"/>
      <c r="O2508" s="3"/>
      <c r="P2508" s="125"/>
      <c r="Q2508" s="125"/>
      <c r="R2508" s="127"/>
      <c r="S2508" s="123"/>
      <c r="T2508" s="3"/>
      <c r="W2508" s="86"/>
      <c r="Y2508" s="75"/>
    </row>
    <row r="2509" spans="1:25" x14ac:dyDescent="0.25">
      <c r="A2509" s="75"/>
      <c r="C2509" s="81"/>
      <c r="D2509" s="81"/>
      <c r="I2509" s="81"/>
      <c r="K2509" s="82"/>
      <c r="L2509" s="123"/>
      <c r="M2509" s="3"/>
      <c r="N2509" s="3"/>
      <c r="O2509" s="3"/>
      <c r="P2509" s="125"/>
      <c r="Q2509" s="125"/>
      <c r="R2509" s="127"/>
      <c r="S2509" s="123"/>
      <c r="T2509" s="3"/>
      <c r="W2509" s="86"/>
      <c r="Y2509" s="75"/>
    </row>
    <row r="2510" spans="1:25" x14ac:dyDescent="0.25">
      <c r="A2510" s="75"/>
      <c r="C2510" s="81"/>
      <c r="D2510" s="81"/>
      <c r="I2510" s="81"/>
      <c r="K2510" s="82"/>
      <c r="L2510" s="123"/>
      <c r="M2510" s="3"/>
      <c r="N2510" s="3"/>
      <c r="O2510" s="3"/>
      <c r="P2510" s="125"/>
      <c r="Q2510" s="125"/>
      <c r="R2510" s="127"/>
      <c r="S2510" s="123"/>
      <c r="T2510" s="3"/>
      <c r="W2510" s="86"/>
      <c r="Y2510" s="75"/>
    </row>
    <row r="2511" spans="1:25" x14ac:dyDescent="0.25">
      <c r="A2511" s="75"/>
      <c r="C2511" s="81"/>
      <c r="D2511" s="81"/>
      <c r="I2511" s="81"/>
      <c r="K2511" s="82"/>
      <c r="L2511" s="123"/>
      <c r="M2511" s="3"/>
      <c r="N2511" s="3"/>
      <c r="O2511" s="3"/>
      <c r="P2511" s="125"/>
      <c r="Q2511" s="125"/>
      <c r="R2511" s="127"/>
      <c r="S2511" s="123"/>
      <c r="T2511" s="3"/>
      <c r="W2511" s="86"/>
      <c r="Y2511" s="75"/>
    </row>
    <row r="2512" spans="1:25" x14ac:dyDescent="0.25">
      <c r="A2512" s="75"/>
      <c r="C2512" s="81"/>
      <c r="D2512" s="81"/>
      <c r="I2512" s="81"/>
      <c r="K2512" s="82"/>
      <c r="L2512" s="123"/>
      <c r="M2512" s="3"/>
      <c r="N2512" s="3"/>
      <c r="O2512" s="3"/>
      <c r="P2512" s="125"/>
      <c r="Q2512" s="125"/>
      <c r="R2512" s="127"/>
      <c r="S2512" s="123"/>
      <c r="T2512" s="3"/>
      <c r="W2512" s="86"/>
      <c r="Y2512" s="75"/>
    </row>
    <row r="2513" spans="1:25" x14ac:dyDescent="0.25">
      <c r="A2513" s="75"/>
      <c r="C2513" s="81"/>
      <c r="D2513" s="81"/>
      <c r="I2513" s="81"/>
      <c r="K2513" s="82"/>
      <c r="L2513" s="123"/>
      <c r="M2513" s="3"/>
      <c r="N2513" s="3"/>
      <c r="O2513" s="3"/>
      <c r="P2513" s="125"/>
      <c r="Q2513" s="125"/>
      <c r="R2513" s="127"/>
      <c r="S2513" s="123"/>
      <c r="T2513" s="3"/>
      <c r="W2513" s="86"/>
      <c r="Y2513" s="75"/>
    </row>
    <row r="2514" spans="1:25" x14ac:dyDescent="0.25">
      <c r="A2514" s="75"/>
      <c r="C2514" s="81"/>
      <c r="D2514" s="81"/>
      <c r="I2514" s="81"/>
      <c r="K2514" s="82"/>
      <c r="L2514" s="123"/>
      <c r="M2514" s="3"/>
      <c r="N2514" s="3"/>
      <c r="O2514" s="3"/>
      <c r="P2514" s="125"/>
      <c r="Q2514" s="125"/>
      <c r="R2514" s="127"/>
      <c r="S2514" s="123"/>
      <c r="T2514" s="3"/>
      <c r="W2514" s="86"/>
      <c r="Y2514" s="75"/>
    </row>
    <row r="2515" spans="1:25" x14ac:dyDescent="0.25">
      <c r="A2515" s="75"/>
      <c r="C2515" s="81"/>
      <c r="D2515" s="81"/>
      <c r="I2515" s="81"/>
      <c r="K2515" s="82"/>
      <c r="L2515" s="123"/>
      <c r="M2515" s="3"/>
      <c r="N2515" s="3"/>
      <c r="O2515" s="3"/>
      <c r="P2515" s="125"/>
      <c r="Q2515" s="125"/>
      <c r="R2515" s="127"/>
      <c r="S2515" s="123"/>
      <c r="T2515" s="3"/>
      <c r="W2515" s="86"/>
      <c r="Y2515" s="75"/>
    </row>
    <row r="2516" spans="1:25" x14ac:dyDescent="0.25">
      <c r="A2516" s="75"/>
      <c r="C2516" s="81"/>
      <c r="D2516" s="81"/>
      <c r="I2516" s="81"/>
      <c r="K2516" s="82"/>
      <c r="L2516" s="123"/>
      <c r="M2516" s="3"/>
      <c r="N2516" s="3"/>
      <c r="O2516" s="3"/>
      <c r="P2516" s="125"/>
      <c r="Q2516" s="125"/>
      <c r="R2516" s="127"/>
      <c r="S2516" s="123"/>
      <c r="T2516" s="3"/>
      <c r="W2516" s="86"/>
      <c r="Y2516" s="75"/>
    </row>
    <row r="2517" spans="1:25" x14ac:dyDescent="0.25">
      <c r="A2517" s="75"/>
      <c r="C2517" s="81"/>
      <c r="D2517" s="81"/>
      <c r="I2517" s="81"/>
      <c r="K2517" s="82"/>
      <c r="L2517" s="123"/>
      <c r="M2517" s="3"/>
      <c r="N2517" s="3"/>
      <c r="O2517" s="3"/>
      <c r="P2517" s="125"/>
      <c r="Q2517" s="125"/>
      <c r="R2517" s="127"/>
      <c r="S2517" s="123"/>
      <c r="T2517" s="3"/>
      <c r="W2517" s="86"/>
      <c r="Y2517" s="75"/>
    </row>
    <row r="2518" spans="1:25" x14ac:dyDescent="0.25">
      <c r="A2518" s="75"/>
      <c r="C2518" s="81"/>
      <c r="D2518" s="81"/>
      <c r="I2518" s="81"/>
      <c r="K2518" s="82"/>
      <c r="L2518" s="123"/>
      <c r="M2518" s="3"/>
      <c r="N2518" s="3"/>
      <c r="O2518" s="3"/>
      <c r="P2518" s="125"/>
      <c r="Q2518" s="125"/>
      <c r="R2518" s="127"/>
      <c r="S2518" s="123"/>
      <c r="T2518" s="3"/>
      <c r="W2518" s="86"/>
      <c r="Y2518" s="75"/>
    </row>
    <row r="2519" spans="1:25" x14ac:dyDescent="0.25">
      <c r="A2519" s="75"/>
      <c r="C2519" s="81"/>
      <c r="D2519" s="81"/>
      <c r="I2519" s="81"/>
      <c r="K2519" s="82"/>
      <c r="L2519" s="123"/>
      <c r="M2519" s="3"/>
      <c r="N2519" s="3"/>
      <c r="O2519" s="3"/>
      <c r="P2519" s="125"/>
      <c r="Q2519" s="125"/>
      <c r="R2519" s="127"/>
      <c r="S2519" s="123"/>
      <c r="T2519" s="3"/>
      <c r="W2519" s="86"/>
      <c r="Y2519" s="75"/>
    </row>
    <row r="2520" spans="1:25" x14ac:dyDescent="0.25">
      <c r="A2520" s="75"/>
      <c r="C2520" s="81"/>
      <c r="D2520" s="81"/>
      <c r="I2520" s="81"/>
      <c r="K2520" s="82"/>
      <c r="L2520" s="123"/>
      <c r="M2520" s="3"/>
      <c r="N2520" s="3"/>
      <c r="O2520" s="3"/>
      <c r="P2520" s="125"/>
      <c r="Q2520" s="125"/>
      <c r="R2520" s="127"/>
      <c r="S2520" s="123"/>
      <c r="T2520" s="3"/>
      <c r="W2520" s="86"/>
      <c r="Y2520" s="75"/>
    </row>
    <row r="2521" spans="1:25" x14ac:dyDescent="0.25">
      <c r="A2521" s="75"/>
      <c r="C2521" s="81"/>
      <c r="D2521" s="81"/>
      <c r="I2521" s="81"/>
      <c r="K2521" s="82"/>
      <c r="L2521" s="123"/>
      <c r="M2521" s="3"/>
      <c r="N2521" s="3"/>
      <c r="O2521" s="3"/>
      <c r="P2521" s="125"/>
      <c r="Q2521" s="125"/>
      <c r="R2521" s="127"/>
      <c r="S2521" s="123"/>
      <c r="T2521" s="3"/>
      <c r="W2521" s="86"/>
      <c r="Y2521" s="75"/>
    </row>
    <row r="2522" spans="1:25" x14ac:dyDescent="0.25">
      <c r="A2522" s="75"/>
      <c r="C2522" s="81"/>
      <c r="D2522" s="81"/>
      <c r="I2522" s="81"/>
      <c r="K2522" s="82"/>
      <c r="L2522" s="123"/>
      <c r="M2522" s="3"/>
      <c r="N2522" s="3"/>
      <c r="O2522" s="3"/>
      <c r="P2522" s="125"/>
      <c r="Q2522" s="125"/>
      <c r="R2522" s="127"/>
      <c r="S2522" s="123"/>
      <c r="T2522" s="3"/>
      <c r="W2522" s="86"/>
      <c r="Y2522" s="75"/>
    </row>
    <row r="2523" spans="1:25" x14ac:dyDescent="0.25">
      <c r="A2523" s="75"/>
      <c r="C2523" s="81"/>
      <c r="D2523" s="81"/>
      <c r="I2523" s="81"/>
      <c r="K2523" s="82"/>
      <c r="L2523" s="123"/>
      <c r="M2523" s="3"/>
      <c r="N2523" s="3"/>
      <c r="O2523" s="3"/>
      <c r="P2523" s="125"/>
      <c r="Q2523" s="125"/>
      <c r="R2523" s="127"/>
      <c r="S2523" s="123"/>
      <c r="T2523" s="3"/>
      <c r="W2523" s="86"/>
      <c r="Y2523" s="75"/>
    </row>
    <row r="2524" spans="1:25" x14ac:dyDescent="0.25">
      <c r="A2524" s="75"/>
      <c r="C2524" s="81"/>
      <c r="D2524" s="81"/>
      <c r="I2524" s="81"/>
      <c r="K2524" s="82"/>
      <c r="L2524" s="123"/>
      <c r="M2524" s="3"/>
      <c r="N2524" s="3"/>
      <c r="O2524" s="3"/>
      <c r="P2524" s="125"/>
      <c r="Q2524" s="125"/>
      <c r="R2524" s="127"/>
      <c r="S2524" s="123"/>
      <c r="T2524" s="3"/>
      <c r="W2524" s="86"/>
      <c r="Y2524" s="75"/>
    </row>
    <row r="2525" spans="1:25" x14ac:dyDescent="0.25">
      <c r="A2525" s="75"/>
      <c r="C2525" s="81"/>
      <c r="D2525" s="81"/>
      <c r="I2525" s="81"/>
      <c r="K2525" s="82"/>
      <c r="L2525" s="123"/>
      <c r="M2525" s="3"/>
      <c r="N2525" s="3"/>
      <c r="O2525" s="3"/>
      <c r="P2525" s="125"/>
      <c r="Q2525" s="125"/>
      <c r="R2525" s="127"/>
      <c r="S2525" s="123"/>
      <c r="T2525" s="3"/>
      <c r="W2525" s="86"/>
      <c r="Y2525" s="75"/>
    </row>
    <row r="2526" spans="1:25" x14ac:dyDescent="0.25">
      <c r="A2526" s="75"/>
      <c r="C2526" s="81"/>
      <c r="D2526" s="81"/>
      <c r="I2526" s="81"/>
      <c r="K2526" s="82"/>
      <c r="L2526" s="123"/>
      <c r="M2526" s="3"/>
      <c r="N2526" s="3"/>
      <c r="O2526" s="3"/>
      <c r="P2526" s="125"/>
      <c r="Q2526" s="125"/>
      <c r="R2526" s="127"/>
      <c r="S2526" s="123"/>
      <c r="T2526" s="3"/>
      <c r="W2526" s="86"/>
      <c r="Y2526" s="75"/>
    </row>
    <row r="2527" spans="1:25" x14ac:dyDescent="0.25">
      <c r="A2527" s="75"/>
      <c r="C2527" s="81"/>
      <c r="D2527" s="81"/>
      <c r="I2527" s="81"/>
      <c r="K2527" s="82"/>
      <c r="L2527" s="123"/>
      <c r="M2527" s="3"/>
      <c r="N2527" s="3"/>
      <c r="O2527" s="3"/>
      <c r="P2527" s="125"/>
      <c r="Q2527" s="125"/>
      <c r="R2527" s="127"/>
      <c r="S2527" s="123"/>
      <c r="T2527" s="3"/>
      <c r="W2527" s="86"/>
      <c r="Y2527" s="75"/>
    </row>
    <row r="2528" spans="1:25" x14ac:dyDescent="0.25">
      <c r="A2528" s="75"/>
      <c r="C2528" s="81"/>
      <c r="D2528" s="81"/>
      <c r="I2528" s="81"/>
      <c r="K2528" s="82"/>
      <c r="L2528" s="123"/>
      <c r="M2528" s="3"/>
      <c r="N2528" s="3"/>
      <c r="O2528" s="3"/>
      <c r="P2528" s="125"/>
      <c r="Q2528" s="125"/>
      <c r="R2528" s="127"/>
      <c r="S2528" s="123"/>
      <c r="T2528" s="3"/>
      <c r="W2528" s="86"/>
      <c r="Y2528" s="75"/>
    </row>
    <row r="2529" spans="1:25" x14ac:dyDescent="0.25">
      <c r="A2529" s="75"/>
      <c r="C2529" s="81"/>
      <c r="D2529" s="81"/>
      <c r="I2529" s="81"/>
      <c r="K2529" s="82"/>
      <c r="L2529" s="123"/>
      <c r="M2529" s="3"/>
      <c r="N2529" s="3"/>
      <c r="O2529" s="3"/>
      <c r="P2529" s="125"/>
      <c r="Q2529" s="125"/>
      <c r="R2529" s="127"/>
      <c r="S2529" s="123"/>
      <c r="T2529" s="3"/>
      <c r="W2529" s="86"/>
      <c r="Y2529" s="75"/>
    </row>
    <row r="2530" spans="1:25" x14ac:dyDescent="0.25">
      <c r="A2530" s="75"/>
      <c r="C2530" s="81"/>
      <c r="D2530" s="81"/>
      <c r="I2530" s="81"/>
      <c r="K2530" s="82"/>
      <c r="L2530" s="123"/>
      <c r="M2530" s="3"/>
      <c r="N2530" s="3"/>
      <c r="O2530" s="3"/>
      <c r="P2530" s="125"/>
      <c r="Q2530" s="125"/>
      <c r="R2530" s="127"/>
      <c r="S2530" s="123"/>
      <c r="T2530" s="3"/>
      <c r="W2530" s="86"/>
      <c r="Y2530" s="75"/>
    </row>
    <row r="2531" spans="1:25" x14ac:dyDescent="0.25">
      <c r="A2531" s="75"/>
      <c r="C2531" s="81"/>
      <c r="D2531" s="81"/>
      <c r="I2531" s="81"/>
      <c r="K2531" s="82"/>
      <c r="L2531" s="123"/>
      <c r="M2531" s="3"/>
      <c r="N2531" s="3"/>
      <c r="O2531" s="3"/>
      <c r="P2531" s="125"/>
      <c r="Q2531" s="125"/>
      <c r="R2531" s="127"/>
      <c r="S2531" s="123"/>
      <c r="T2531" s="3"/>
      <c r="W2531" s="86"/>
      <c r="Y2531" s="75"/>
    </row>
    <row r="2532" spans="1:25" x14ac:dyDescent="0.25">
      <c r="A2532" s="75"/>
      <c r="C2532" s="81"/>
      <c r="D2532" s="81"/>
      <c r="I2532" s="81"/>
      <c r="K2532" s="82"/>
      <c r="L2532" s="123"/>
      <c r="M2532" s="3"/>
      <c r="N2532" s="3"/>
      <c r="O2532" s="3"/>
      <c r="P2532" s="125"/>
      <c r="Q2532" s="125"/>
      <c r="R2532" s="127"/>
      <c r="S2532" s="123"/>
      <c r="T2532" s="3"/>
      <c r="W2532" s="86"/>
      <c r="Y2532" s="75"/>
    </row>
    <row r="2533" spans="1:25" x14ac:dyDescent="0.25">
      <c r="A2533" s="75"/>
      <c r="C2533" s="81"/>
      <c r="D2533" s="81"/>
      <c r="I2533" s="81"/>
      <c r="K2533" s="82"/>
      <c r="L2533" s="123"/>
      <c r="M2533" s="3"/>
      <c r="N2533" s="3"/>
      <c r="O2533" s="3"/>
      <c r="P2533" s="125"/>
      <c r="Q2533" s="125"/>
      <c r="R2533" s="127"/>
      <c r="S2533" s="123"/>
      <c r="T2533" s="3"/>
      <c r="W2533" s="86"/>
      <c r="Y2533" s="75"/>
    </row>
    <row r="2534" spans="1:25" x14ac:dyDescent="0.25">
      <c r="A2534" s="75"/>
      <c r="C2534" s="81"/>
      <c r="D2534" s="81"/>
      <c r="I2534" s="81"/>
      <c r="K2534" s="82"/>
      <c r="L2534" s="123"/>
      <c r="M2534" s="3"/>
      <c r="N2534" s="3"/>
      <c r="O2534" s="3"/>
      <c r="P2534" s="125"/>
      <c r="Q2534" s="125"/>
      <c r="R2534" s="127"/>
      <c r="S2534" s="123"/>
      <c r="T2534" s="3"/>
      <c r="W2534" s="86"/>
      <c r="Y2534" s="75"/>
    </row>
    <row r="2535" spans="1:25" x14ac:dyDescent="0.25">
      <c r="A2535" s="75"/>
      <c r="C2535" s="81"/>
      <c r="D2535" s="81"/>
      <c r="I2535" s="81"/>
      <c r="K2535" s="82"/>
      <c r="L2535" s="123"/>
      <c r="M2535" s="3"/>
      <c r="N2535" s="3"/>
      <c r="O2535" s="3"/>
      <c r="P2535" s="125"/>
      <c r="Q2535" s="125"/>
      <c r="R2535" s="127"/>
      <c r="S2535" s="123"/>
      <c r="T2535" s="3"/>
      <c r="W2535" s="86"/>
      <c r="Y2535" s="75"/>
    </row>
    <row r="2536" spans="1:25" x14ac:dyDescent="0.25">
      <c r="A2536" s="75"/>
      <c r="C2536" s="81"/>
      <c r="D2536" s="81"/>
      <c r="I2536" s="81"/>
      <c r="K2536" s="82"/>
      <c r="L2536" s="123"/>
      <c r="M2536" s="3"/>
      <c r="N2536" s="3"/>
      <c r="O2536" s="3"/>
      <c r="P2536" s="125"/>
      <c r="Q2536" s="125"/>
      <c r="R2536" s="127"/>
      <c r="S2536" s="123"/>
      <c r="T2536" s="3"/>
      <c r="W2536" s="86"/>
      <c r="Y2536" s="75"/>
    </row>
    <row r="2537" spans="1:25" x14ac:dyDescent="0.25">
      <c r="A2537" s="75"/>
      <c r="C2537" s="81"/>
      <c r="D2537" s="81"/>
      <c r="I2537" s="81"/>
      <c r="K2537" s="82"/>
      <c r="L2537" s="123"/>
      <c r="M2537" s="3"/>
      <c r="N2537" s="3"/>
      <c r="O2537" s="3"/>
      <c r="P2537" s="125"/>
      <c r="Q2537" s="125"/>
      <c r="R2537" s="127"/>
      <c r="S2537" s="123"/>
      <c r="T2537" s="3"/>
      <c r="W2537" s="86"/>
      <c r="Y2537" s="75"/>
    </row>
    <row r="2538" spans="1:25" x14ac:dyDescent="0.25">
      <c r="A2538" s="75"/>
      <c r="C2538" s="81"/>
      <c r="D2538" s="81"/>
      <c r="I2538" s="81"/>
      <c r="K2538" s="82"/>
      <c r="L2538" s="123"/>
      <c r="M2538" s="3"/>
      <c r="N2538" s="3"/>
      <c r="O2538" s="3"/>
      <c r="P2538" s="125"/>
      <c r="Q2538" s="125"/>
      <c r="R2538" s="127"/>
      <c r="S2538" s="123"/>
      <c r="T2538" s="3"/>
      <c r="W2538" s="86"/>
      <c r="Y2538" s="75"/>
    </row>
    <row r="2539" spans="1:25" x14ac:dyDescent="0.25">
      <c r="A2539" s="75"/>
      <c r="C2539" s="81"/>
      <c r="D2539" s="81"/>
      <c r="I2539" s="81"/>
      <c r="K2539" s="82"/>
      <c r="L2539" s="123"/>
      <c r="M2539" s="3"/>
      <c r="N2539" s="3"/>
      <c r="O2539" s="3"/>
      <c r="P2539" s="125"/>
      <c r="Q2539" s="125"/>
      <c r="R2539" s="127"/>
      <c r="S2539" s="123"/>
      <c r="T2539" s="3"/>
      <c r="W2539" s="86"/>
      <c r="Y2539" s="75"/>
    </row>
    <row r="2540" spans="1:25" x14ac:dyDescent="0.25">
      <c r="A2540" s="75"/>
      <c r="C2540" s="81"/>
      <c r="D2540" s="81"/>
      <c r="I2540" s="81"/>
      <c r="K2540" s="82"/>
      <c r="L2540" s="123"/>
      <c r="M2540" s="3"/>
      <c r="N2540" s="3"/>
      <c r="O2540" s="3"/>
      <c r="P2540" s="125"/>
      <c r="Q2540" s="125"/>
      <c r="R2540" s="127"/>
      <c r="S2540" s="123"/>
      <c r="T2540" s="3"/>
      <c r="W2540" s="86"/>
      <c r="Y2540" s="75"/>
    </row>
    <row r="2541" spans="1:25" x14ac:dyDescent="0.25">
      <c r="A2541" s="75"/>
      <c r="C2541" s="81"/>
      <c r="D2541" s="81"/>
      <c r="I2541" s="81"/>
      <c r="K2541" s="82"/>
      <c r="L2541" s="123"/>
      <c r="M2541" s="3"/>
      <c r="N2541" s="3"/>
      <c r="O2541" s="3"/>
      <c r="P2541" s="125"/>
      <c r="Q2541" s="125"/>
      <c r="R2541" s="127"/>
      <c r="S2541" s="123"/>
      <c r="T2541" s="3"/>
      <c r="W2541" s="86"/>
      <c r="Y2541" s="75"/>
    </row>
    <row r="2542" spans="1:25" x14ac:dyDescent="0.25">
      <c r="A2542" s="75"/>
      <c r="C2542" s="81"/>
      <c r="D2542" s="81"/>
      <c r="I2542" s="81"/>
      <c r="K2542" s="82"/>
      <c r="L2542" s="123"/>
      <c r="M2542" s="3"/>
      <c r="N2542" s="3"/>
      <c r="O2542" s="3"/>
      <c r="P2542" s="125"/>
      <c r="Q2542" s="125"/>
      <c r="R2542" s="127"/>
      <c r="S2542" s="123"/>
      <c r="T2542" s="3"/>
      <c r="W2542" s="86"/>
      <c r="Y2542" s="75"/>
    </row>
    <row r="2543" spans="1:25" x14ac:dyDescent="0.25">
      <c r="A2543" s="75"/>
      <c r="C2543" s="81"/>
      <c r="D2543" s="81"/>
      <c r="I2543" s="81"/>
      <c r="K2543" s="82"/>
      <c r="L2543" s="123"/>
      <c r="M2543" s="3"/>
      <c r="N2543" s="3"/>
      <c r="O2543" s="3"/>
      <c r="P2543" s="125"/>
      <c r="Q2543" s="125"/>
      <c r="R2543" s="127"/>
      <c r="S2543" s="123"/>
      <c r="T2543" s="3"/>
      <c r="W2543" s="86"/>
      <c r="Y2543" s="75"/>
    </row>
    <row r="2544" spans="1:25" x14ac:dyDescent="0.25">
      <c r="A2544" s="75"/>
      <c r="C2544" s="81"/>
      <c r="D2544" s="81"/>
      <c r="I2544" s="81"/>
      <c r="K2544" s="82"/>
      <c r="L2544" s="123"/>
      <c r="M2544" s="3"/>
      <c r="N2544" s="3"/>
      <c r="O2544" s="3"/>
      <c r="P2544" s="125"/>
      <c r="Q2544" s="125"/>
      <c r="R2544" s="127"/>
      <c r="S2544" s="123"/>
      <c r="T2544" s="3"/>
      <c r="W2544" s="86"/>
      <c r="Y2544" s="75"/>
    </row>
    <row r="2545" spans="1:25" x14ac:dyDescent="0.25">
      <c r="A2545" s="75"/>
      <c r="C2545" s="81"/>
      <c r="D2545" s="81"/>
      <c r="I2545" s="81"/>
      <c r="K2545" s="82"/>
      <c r="L2545" s="123"/>
      <c r="M2545" s="3"/>
      <c r="N2545" s="3"/>
      <c r="O2545" s="3"/>
      <c r="P2545" s="125"/>
      <c r="Q2545" s="125"/>
      <c r="R2545" s="127"/>
      <c r="S2545" s="123"/>
      <c r="T2545" s="3"/>
      <c r="W2545" s="86"/>
      <c r="Y2545" s="75"/>
    </row>
    <row r="2546" spans="1:25" x14ac:dyDescent="0.25">
      <c r="A2546" s="75"/>
      <c r="C2546" s="81"/>
      <c r="D2546" s="81"/>
      <c r="I2546" s="81"/>
      <c r="K2546" s="82"/>
      <c r="L2546" s="123"/>
      <c r="M2546" s="3"/>
      <c r="N2546" s="3"/>
      <c r="O2546" s="3"/>
      <c r="P2546" s="125"/>
      <c r="Q2546" s="125"/>
      <c r="R2546" s="127"/>
      <c r="S2546" s="123"/>
      <c r="T2546" s="3"/>
      <c r="W2546" s="86"/>
      <c r="Y2546" s="75"/>
    </row>
    <row r="2547" spans="1:25" x14ac:dyDescent="0.25">
      <c r="A2547" s="75"/>
      <c r="C2547" s="81"/>
      <c r="D2547" s="81"/>
      <c r="I2547" s="81"/>
      <c r="K2547" s="82"/>
      <c r="L2547" s="123"/>
      <c r="M2547" s="3"/>
      <c r="N2547" s="3"/>
      <c r="O2547" s="3"/>
      <c r="P2547" s="125"/>
      <c r="Q2547" s="125"/>
      <c r="R2547" s="127"/>
      <c r="S2547" s="123"/>
      <c r="T2547" s="3"/>
      <c r="W2547" s="86"/>
      <c r="Y2547" s="75"/>
    </row>
    <row r="2548" spans="1:25" x14ac:dyDescent="0.25">
      <c r="A2548" s="75"/>
      <c r="C2548" s="81"/>
      <c r="D2548" s="81"/>
      <c r="I2548" s="81"/>
      <c r="K2548" s="82"/>
      <c r="L2548" s="123"/>
      <c r="M2548" s="3"/>
      <c r="N2548" s="3"/>
      <c r="O2548" s="3"/>
      <c r="P2548" s="125"/>
      <c r="Q2548" s="125"/>
      <c r="R2548" s="127"/>
      <c r="S2548" s="123"/>
      <c r="T2548" s="3"/>
      <c r="W2548" s="86"/>
      <c r="Y2548" s="75"/>
    </row>
    <row r="2549" spans="1:25" x14ac:dyDescent="0.25">
      <c r="A2549" s="75"/>
      <c r="C2549" s="81"/>
      <c r="D2549" s="81"/>
      <c r="I2549" s="81"/>
      <c r="K2549" s="82"/>
      <c r="L2549" s="123"/>
      <c r="M2549" s="3"/>
      <c r="N2549" s="3"/>
      <c r="O2549" s="3"/>
      <c r="P2549" s="125"/>
      <c r="Q2549" s="125"/>
      <c r="R2549" s="127"/>
      <c r="S2549" s="123"/>
      <c r="T2549" s="3"/>
      <c r="W2549" s="86"/>
      <c r="Y2549" s="75"/>
    </row>
    <row r="2550" spans="1:25" x14ac:dyDescent="0.25">
      <c r="A2550" s="75"/>
      <c r="C2550" s="81"/>
      <c r="D2550" s="81"/>
      <c r="I2550" s="81"/>
      <c r="K2550" s="82"/>
      <c r="L2550" s="123"/>
      <c r="M2550" s="3"/>
      <c r="N2550" s="3"/>
      <c r="O2550" s="3"/>
      <c r="P2550" s="125"/>
      <c r="Q2550" s="125"/>
      <c r="R2550" s="127"/>
      <c r="S2550" s="123"/>
      <c r="T2550" s="3"/>
      <c r="W2550" s="86"/>
      <c r="Y2550" s="75"/>
    </row>
    <row r="2551" spans="1:25" x14ac:dyDescent="0.25">
      <c r="A2551" s="75"/>
      <c r="C2551" s="81"/>
      <c r="D2551" s="81"/>
      <c r="I2551" s="81"/>
      <c r="K2551" s="82"/>
      <c r="L2551" s="123"/>
      <c r="M2551" s="3"/>
      <c r="N2551" s="3"/>
      <c r="O2551" s="3"/>
      <c r="P2551" s="125"/>
      <c r="Q2551" s="125"/>
      <c r="R2551" s="127"/>
      <c r="S2551" s="123"/>
      <c r="T2551" s="3"/>
      <c r="W2551" s="86"/>
      <c r="Y2551" s="75"/>
    </row>
    <row r="2552" spans="1:25" x14ac:dyDescent="0.25">
      <c r="A2552" s="75"/>
      <c r="C2552" s="81"/>
      <c r="D2552" s="81"/>
      <c r="I2552" s="81"/>
      <c r="K2552" s="82"/>
      <c r="L2552" s="123"/>
      <c r="M2552" s="3"/>
      <c r="N2552" s="3"/>
      <c r="O2552" s="3"/>
      <c r="P2552" s="125"/>
      <c r="Q2552" s="125"/>
      <c r="R2552" s="127"/>
      <c r="S2552" s="123"/>
      <c r="T2552" s="3"/>
      <c r="W2552" s="86"/>
      <c r="Y2552" s="75"/>
    </row>
    <row r="2553" spans="1:25" x14ac:dyDescent="0.25">
      <c r="A2553" s="75"/>
      <c r="C2553" s="81"/>
      <c r="D2553" s="81"/>
      <c r="I2553" s="81"/>
      <c r="K2553" s="82"/>
      <c r="L2553" s="123"/>
      <c r="M2553" s="3"/>
      <c r="N2553" s="3"/>
      <c r="O2553" s="3"/>
      <c r="P2553" s="125"/>
      <c r="Q2553" s="125"/>
      <c r="R2553" s="127"/>
      <c r="S2553" s="123"/>
      <c r="T2553" s="3"/>
      <c r="W2553" s="86"/>
      <c r="Y2553" s="75"/>
    </row>
    <row r="2554" spans="1:25" x14ac:dyDescent="0.25">
      <c r="A2554" s="75"/>
      <c r="C2554" s="81"/>
      <c r="D2554" s="81"/>
      <c r="I2554" s="81"/>
      <c r="K2554" s="82"/>
      <c r="L2554" s="123"/>
      <c r="M2554" s="3"/>
      <c r="N2554" s="3"/>
      <c r="O2554" s="3"/>
      <c r="P2554" s="125"/>
      <c r="Q2554" s="125"/>
      <c r="R2554" s="127"/>
      <c r="S2554" s="123"/>
      <c r="T2554" s="3"/>
      <c r="W2554" s="86"/>
      <c r="Y2554" s="75"/>
    </row>
    <row r="2555" spans="1:25" x14ac:dyDescent="0.25">
      <c r="A2555" s="75"/>
      <c r="C2555" s="81"/>
      <c r="D2555" s="81"/>
      <c r="I2555" s="81"/>
      <c r="K2555" s="82"/>
      <c r="L2555" s="123"/>
      <c r="M2555" s="3"/>
      <c r="N2555" s="3"/>
      <c r="O2555" s="3"/>
      <c r="P2555" s="125"/>
      <c r="Q2555" s="125"/>
      <c r="R2555" s="127"/>
      <c r="S2555" s="123"/>
      <c r="T2555" s="3"/>
      <c r="W2555" s="86"/>
      <c r="Y2555" s="75"/>
    </row>
    <row r="2556" spans="1:25" x14ac:dyDescent="0.25">
      <c r="A2556" s="75"/>
      <c r="C2556" s="81"/>
      <c r="D2556" s="81"/>
      <c r="I2556" s="81"/>
      <c r="K2556" s="82"/>
      <c r="L2556" s="123"/>
      <c r="M2556" s="3"/>
      <c r="N2556" s="3"/>
      <c r="O2556" s="3"/>
      <c r="P2556" s="125"/>
      <c r="Q2556" s="125"/>
      <c r="R2556" s="127"/>
      <c r="S2556" s="123"/>
      <c r="T2556" s="3"/>
      <c r="W2556" s="86"/>
      <c r="Y2556" s="75"/>
    </row>
    <row r="2557" spans="1:25" x14ac:dyDescent="0.25">
      <c r="A2557" s="75"/>
      <c r="C2557" s="81"/>
      <c r="D2557" s="81"/>
      <c r="I2557" s="81"/>
      <c r="K2557" s="82"/>
      <c r="L2557" s="123"/>
      <c r="M2557" s="3"/>
      <c r="N2557" s="3"/>
      <c r="O2557" s="3"/>
      <c r="P2557" s="125"/>
      <c r="Q2557" s="125"/>
      <c r="R2557" s="127"/>
      <c r="S2557" s="123"/>
      <c r="T2557" s="3"/>
      <c r="W2557" s="86"/>
      <c r="Y2557" s="75"/>
    </row>
    <row r="2558" spans="1:25" x14ac:dyDescent="0.25">
      <c r="A2558" s="75"/>
      <c r="C2558" s="81"/>
      <c r="D2558" s="81"/>
      <c r="I2558" s="81"/>
      <c r="K2558" s="82"/>
      <c r="L2558" s="123"/>
      <c r="M2558" s="3"/>
      <c r="N2558" s="3"/>
      <c r="O2558" s="3"/>
      <c r="P2558" s="125"/>
      <c r="Q2558" s="125"/>
      <c r="R2558" s="127"/>
      <c r="S2558" s="123"/>
      <c r="T2558" s="3"/>
      <c r="W2558" s="86"/>
      <c r="Y2558" s="75"/>
    </row>
    <row r="2559" spans="1:25" x14ac:dyDescent="0.25">
      <c r="A2559" s="75"/>
      <c r="C2559" s="81"/>
      <c r="D2559" s="81"/>
      <c r="I2559" s="81"/>
      <c r="K2559" s="82"/>
      <c r="L2559" s="123"/>
      <c r="M2559" s="3"/>
      <c r="N2559" s="3"/>
      <c r="O2559" s="3"/>
      <c r="P2559" s="125"/>
      <c r="Q2559" s="125"/>
      <c r="R2559" s="127"/>
      <c r="S2559" s="123"/>
      <c r="T2559" s="3"/>
      <c r="W2559" s="86"/>
      <c r="Y2559" s="75"/>
    </row>
    <row r="2560" spans="1:25" x14ac:dyDescent="0.25">
      <c r="A2560" s="75"/>
      <c r="C2560" s="81"/>
      <c r="D2560" s="81"/>
      <c r="I2560" s="81"/>
      <c r="K2560" s="82"/>
      <c r="L2560" s="123"/>
      <c r="M2560" s="3"/>
      <c r="N2560" s="3"/>
      <c r="O2560" s="3"/>
      <c r="P2560" s="125"/>
      <c r="Q2560" s="125"/>
      <c r="R2560" s="127"/>
      <c r="S2560" s="123"/>
      <c r="T2560" s="3"/>
      <c r="W2560" s="86"/>
      <c r="Y2560" s="75"/>
    </row>
    <row r="2561" spans="1:25" x14ac:dyDescent="0.25">
      <c r="A2561" s="75"/>
      <c r="C2561" s="81"/>
      <c r="D2561" s="81"/>
      <c r="I2561" s="81"/>
      <c r="K2561" s="82"/>
      <c r="L2561" s="123"/>
      <c r="M2561" s="3"/>
      <c r="N2561" s="3"/>
      <c r="O2561" s="3"/>
      <c r="P2561" s="125"/>
      <c r="Q2561" s="125"/>
      <c r="R2561" s="127"/>
      <c r="S2561" s="123"/>
      <c r="T2561" s="3"/>
      <c r="W2561" s="86"/>
      <c r="Y2561" s="75"/>
    </row>
    <row r="2562" spans="1:25" x14ac:dyDescent="0.25">
      <c r="A2562" s="75"/>
      <c r="C2562" s="81"/>
      <c r="D2562" s="81"/>
      <c r="I2562" s="81"/>
      <c r="K2562" s="82"/>
      <c r="L2562" s="123"/>
      <c r="M2562" s="3"/>
      <c r="N2562" s="3"/>
      <c r="O2562" s="3"/>
      <c r="P2562" s="125"/>
      <c r="Q2562" s="125"/>
      <c r="R2562" s="127"/>
      <c r="S2562" s="123"/>
      <c r="T2562" s="3"/>
      <c r="W2562" s="86"/>
      <c r="Y2562" s="75"/>
    </row>
    <row r="2563" spans="1:25" x14ac:dyDescent="0.25">
      <c r="A2563" s="75"/>
      <c r="C2563" s="81"/>
      <c r="D2563" s="81"/>
      <c r="I2563" s="81"/>
      <c r="K2563" s="82"/>
      <c r="L2563" s="123"/>
      <c r="M2563" s="3"/>
      <c r="N2563" s="3"/>
      <c r="O2563" s="3"/>
      <c r="P2563" s="125"/>
      <c r="Q2563" s="125"/>
      <c r="R2563" s="127"/>
      <c r="S2563" s="123"/>
      <c r="T2563" s="3"/>
      <c r="W2563" s="86"/>
      <c r="Y2563" s="75"/>
    </row>
    <row r="2564" spans="1:25" x14ac:dyDescent="0.25">
      <c r="A2564" s="75"/>
      <c r="C2564" s="81"/>
      <c r="D2564" s="81"/>
      <c r="I2564" s="81"/>
      <c r="K2564" s="82"/>
      <c r="L2564" s="123"/>
      <c r="M2564" s="3"/>
      <c r="N2564" s="3"/>
      <c r="O2564" s="3"/>
      <c r="P2564" s="125"/>
      <c r="Q2564" s="125"/>
      <c r="R2564" s="127"/>
      <c r="S2564" s="123"/>
      <c r="T2564" s="3"/>
      <c r="W2564" s="86"/>
      <c r="Y2564" s="75"/>
    </row>
    <row r="2565" spans="1:25" x14ac:dyDescent="0.25">
      <c r="A2565" s="75"/>
      <c r="C2565" s="81"/>
      <c r="D2565" s="81"/>
      <c r="I2565" s="81"/>
      <c r="K2565" s="82"/>
      <c r="L2565" s="123"/>
      <c r="M2565" s="3"/>
      <c r="N2565" s="3"/>
      <c r="O2565" s="3"/>
      <c r="P2565" s="125"/>
      <c r="Q2565" s="125"/>
      <c r="R2565" s="127"/>
      <c r="S2565" s="123"/>
      <c r="T2565" s="3"/>
      <c r="W2565" s="86"/>
      <c r="Y2565" s="75"/>
    </row>
    <row r="2566" spans="1:25" x14ac:dyDescent="0.25">
      <c r="A2566" s="75"/>
      <c r="C2566" s="81"/>
      <c r="D2566" s="81"/>
      <c r="I2566" s="81"/>
      <c r="K2566" s="82"/>
      <c r="L2566" s="123"/>
      <c r="M2566" s="3"/>
      <c r="N2566" s="3"/>
      <c r="O2566" s="3"/>
      <c r="P2566" s="125"/>
      <c r="Q2566" s="125"/>
      <c r="R2566" s="127"/>
      <c r="S2566" s="123"/>
      <c r="T2566" s="3"/>
      <c r="W2566" s="86"/>
      <c r="Y2566" s="75"/>
    </row>
    <row r="2567" spans="1:25" x14ac:dyDescent="0.25">
      <c r="A2567" s="75"/>
      <c r="C2567" s="81"/>
      <c r="D2567" s="81"/>
      <c r="I2567" s="81"/>
      <c r="K2567" s="82"/>
      <c r="L2567" s="123"/>
      <c r="M2567" s="3"/>
      <c r="N2567" s="3"/>
      <c r="O2567" s="3"/>
      <c r="P2567" s="125"/>
      <c r="Q2567" s="125"/>
      <c r="R2567" s="127"/>
      <c r="S2567" s="123"/>
      <c r="T2567" s="3"/>
      <c r="W2567" s="86"/>
      <c r="Y2567" s="75"/>
    </row>
    <row r="2568" spans="1:25" x14ac:dyDescent="0.25">
      <c r="A2568" s="75"/>
      <c r="C2568" s="81"/>
      <c r="D2568" s="81"/>
      <c r="I2568" s="81"/>
      <c r="K2568" s="82"/>
      <c r="L2568" s="123"/>
      <c r="M2568" s="3"/>
      <c r="N2568" s="3"/>
      <c r="O2568" s="3"/>
      <c r="P2568" s="125"/>
      <c r="Q2568" s="125"/>
      <c r="R2568" s="127"/>
      <c r="S2568" s="123"/>
      <c r="T2568" s="3"/>
      <c r="W2568" s="86"/>
      <c r="Y2568" s="75"/>
    </row>
    <row r="2569" spans="1:25" x14ac:dyDescent="0.25">
      <c r="A2569" s="75"/>
      <c r="C2569" s="81"/>
      <c r="D2569" s="81"/>
      <c r="I2569" s="81"/>
      <c r="K2569" s="82"/>
      <c r="L2569" s="123"/>
      <c r="M2569" s="3"/>
      <c r="N2569" s="3"/>
      <c r="O2569" s="3"/>
      <c r="P2569" s="125"/>
      <c r="Q2569" s="125"/>
      <c r="R2569" s="127"/>
      <c r="S2569" s="123"/>
      <c r="T2569" s="3"/>
      <c r="W2569" s="86"/>
      <c r="Y2569" s="75"/>
    </row>
    <row r="2570" spans="1:25" x14ac:dyDescent="0.25">
      <c r="A2570" s="75"/>
      <c r="C2570" s="81"/>
      <c r="D2570" s="81"/>
      <c r="I2570" s="81"/>
      <c r="K2570" s="82"/>
      <c r="L2570" s="123"/>
      <c r="M2570" s="3"/>
      <c r="N2570" s="3"/>
      <c r="O2570" s="3"/>
      <c r="P2570" s="125"/>
      <c r="Q2570" s="125"/>
      <c r="R2570" s="127"/>
      <c r="S2570" s="123"/>
      <c r="T2570" s="3"/>
      <c r="W2570" s="86"/>
      <c r="Y2570" s="75"/>
    </row>
    <row r="2571" spans="1:25" x14ac:dyDescent="0.25">
      <c r="A2571" s="75"/>
      <c r="C2571" s="81"/>
      <c r="D2571" s="81"/>
      <c r="I2571" s="81"/>
      <c r="K2571" s="82"/>
      <c r="L2571" s="123"/>
      <c r="M2571" s="3"/>
      <c r="N2571" s="3"/>
      <c r="O2571" s="3"/>
      <c r="P2571" s="125"/>
      <c r="Q2571" s="125"/>
      <c r="R2571" s="127"/>
      <c r="S2571" s="123"/>
      <c r="T2571" s="3"/>
      <c r="W2571" s="86"/>
      <c r="Y2571" s="75"/>
    </row>
    <row r="2572" spans="1:25" x14ac:dyDescent="0.25">
      <c r="A2572" s="75"/>
      <c r="C2572" s="81"/>
      <c r="D2572" s="81"/>
      <c r="I2572" s="81"/>
      <c r="K2572" s="82"/>
      <c r="L2572" s="123"/>
      <c r="M2572" s="3"/>
      <c r="N2572" s="3"/>
      <c r="O2572" s="3"/>
      <c r="P2572" s="125"/>
      <c r="Q2572" s="125"/>
      <c r="R2572" s="127"/>
      <c r="S2572" s="123"/>
      <c r="T2572" s="3"/>
      <c r="W2572" s="86"/>
      <c r="Y2572" s="75"/>
    </row>
    <row r="2573" spans="1:25" x14ac:dyDescent="0.25">
      <c r="A2573" s="75"/>
      <c r="C2573" s="81"/>
      <c r="D2573" s="81"/>
      <c r="I2573" s="81"/>
      <c r="K2573" s="82"/>
      <c r="L2573" s="123"/>
      <c r="M2573" s="3"/>
      <c r="N2573" s="3"/>
      <c r="O2573" s="3"/>
      <c r="P2573" s="125"/>
      <c r="Q2573" s="125"/>
      <c r="R2573" s="127"/>
      <c r="S2573" s="123"/>
      <c r="T2573" s="3"/>
      <c r="W2573" s="86"/>
      <c r="Y2573" s="75"/>
    </row>
    <row r="2574" spans="1:25" x14ac:dyDescent="0.25">
      <c r="A2574" s="75"/>
      <c r="C2574" s="81"/>
      <c r="D2574" s="81"/>
      <c r="I2574" s="81"/>
      <c r="K2574" s="82"/>
      <c r="L2574" s="123"/>
      <c r="M2574" s="3"/>
      <c r="N2574" s="3"/>
      <c r="O2574" s="3"/>
      <c r="P2574" s="125"/>
      <c r="Q2574" s="125"/>
      <c r="R2574" s="127"/>
      <c r="S2574" s="123"/>
      <c r="T2574" s="3"/>
      <c r="W2574" s="86"/>
      <c r="Y2574" s="75"/>
    </row>
    <row r="2575" spans="1:25" x14ac:dyDescent="0.25">
      <c r="A2575" s="75"/>
      <c r="C2575" s="81"/>
      <c r="D2575" s="81"/>
      <c r="I2575" s="81"/>
      <c r="K2575" s="82"/>
      <c r="L2575" s="123"/>
      <c r="M2575" s="3"/>
      <c r="N2575" s="3"/>
      <c r="O2575" s="3"/>
      <c r="P2575" s="125"/>
      <c r="Q2575" s="125"/>
      <c r="R2575" s="127"/>
      <c r="S2575" s="123"/>
      <c r="T2575" s="3"/>
      <c r="W2575" s="86"/>
      <c r="Y2575" s="75"/>
    </row>
    <row r="2576" spans="1:25" x14ac:dyDescent="0.25">
      <c r="A2576" s="75"/>
      <c r="C2576" s="81"/>
      <c r="D2576" s="81"/>
      <c r="I2576" s="81"/>
      <c r="K2576" s="82"/>
      <c r="L2576" s="123"/>
      <c r="M2576" s="3"/>
      <c r="N2576" s="3"/>
      <c r="O2576" s="3"/>
      <c r="P2576" s="125"/>
      <c r="Q2576" s="125"/>
      <c r="R2576" s="127"/>
      <c r="S2576" s="123"/>
      <c r="T2576" s="3"/>
      <c r="W2576" s="86"/>
      <c r="Y2576" s="75"/>
    </row>
    <row r="2577" spans="1:25" x14ac:dyDescent="0.25">
      <c r="A2577" s="75"/>
      <c r="C2577" s="81"/>
      <c r="D2577" s="81"/>
      <c r="I2577" s="81"/>
      <c r="K2577" s="82"/>
      <c r="L2577" s="123"/>
      <c r="M2577" s="3"/>
      <c r="N2577" s="3"/>
      <c r="O2577" s="3"/>
      <c r="P2577" s="125"/>
      <c r="Q2577" s="125"/>
      <c r="R2577" s="127"/>
      <c r="S2577" s="123"/>
      <c r="T2577" s="3"/>
      <c r="W2577" s="86"/>
      <c r="Y2577" s="75"/>
    </row>
    <row r="2578" spans="1:25" x14ac:dyDescent="0.25">
      <c r="A2578" s="75"/>
      <c r="C2578" s="81"/>
      <c r="D2578" s="81"/>
      <c r="I2578" s="81"/>
      <c r="K2578" s="82"/>
      <c r="L2578" s="123"/>
      <c r="M2578" s="3"/>
      <c r="N2578" s="3"/>
      <c r="O2578" s="3"/>
      <c r="P2578" s="125"/>
      <c r="Q2578" s="125"/>
      <c r="R2578" s="127"/>
      <c r="S2578" s="123"/>
      <c r="T2578" s="3"/>
      <c r="W2578" s="86"/>
      <c r="Y2578" s="75"/>
    </row>
    <row r="2579" spans="1:25" x14ac:dyDescent="0.25">
      <c r="A2579" s="75"/>
      <c r="C2579" s="81"/>
      <c r="D2579" s="81"/>
      <c r="I2579" s="81"/>
      <c r="K2579" s="82"/>
      <c r="L2579" s="123"/>
      <c r="M2579" s="3"/>
      <c r="N2579" s="3"/>
      <c r="O2579" s="3"/>
      <c r="P2579" s="125"/>
      <c r="Q2579" s="125"/>
      <c r="R2579" s="127"/>
      <c r="S2579" s="123"/>
      <c r="T2579" s="3"/>
      <c r="W2579" s="86"/>
      <c r="Y2579" s="75"/>
    </row>
    <row r="2580" spans="1:25" x14ac:dyDescent="0.25">
      <c r="A2580" s="75"/>
      <c r="C2580" s="81"/>
      <c r="D2580" s="81"/>
      <c r="I2580" s="81"/>
      <c r="K2580" s="82"/>
      <c r="L2580" s="123"/>
      <c r="M2580" s="3"/>
      <c r="N2580" s="3"/>
      <c r="O2580" s="3"/>
      <c r="P2580" s="125"/>
      <c r="Q2580" s="125"/>
      <c r="R2580" s="127"/>
      <c r="S2580" s="123"/>
      <c r="T2580" s="3"/>
      <c r="W2580" s="86"/>
      <c r="Y2580" s="75"/>
    </row>
    <row r="2581" spans="1:25" x14ac:dyDescent="0.25">
      <c r="A2581" s="75"/>
      <c r="C2581" s="81"/>
      <c r="D2581" s="81"/>
      <c r="I2581" s="81"/>
      <c r="K2581" s="82"/>
      <c r="L2581" s="123"/>
      <c r="M2581" s="3"/>
      <c r="N2581" s="3"/>
      <c r="O2581" s="3"/>
      <c r="P2581" s="125"/>
      <c r="Q2581" s="125"/>
      <c r="R2581" s="127"/>
      <c r="S2581" s="123"/>
      <c r="T2581" s="3"/>
      <c r="W2581" s="86"/>
      <c r="Y2581" s="75"/>
    </row>
    <row r="2582" spans="1:25" x14ac:dyDescent="0.25">
      <c r="A2582" s="75"/>
      <c r="C2582" s="81"/>
      <c r="D2582" s="81"/>
      <c r="I2582" s="81"/>
      <c r="K2582" s="82"/>
      <c r="L2582" s="123"/>
      <c r="M2582" s="3"/>
      <c r="N2582" s="3"/>
      <c r="O2582" s="3"/>
      <c r="P2582" s="125"/>
      <c r="Q2582" s="125"/>
      <c r="R2582" s="127"/>
      <c r="S2582" s="123"/>
      <c r="T2582" s="3"/>
      <c r="W2582" s="86"/>
      <c r="Y2582" s="75"/>
    </row>
    <row r="2583" spans="1:25" x14ac:dyDescent="0.25">
      <c r="A2583" s="75"/>
      <c r="C2583" s="81"/>
      <c r="D2583" s="81"/>
      <c r="I2583" s="81"/>
      <c r="K2583" s="82"/>
      <c r="L2583" s="123"/>
      <c r="M2583" s="3"/>
      <c r="N2583" s="3"/>
      <c r="O2583" s="3"/>
      <c r="P2583" s="125"/>
      <c r="Q2583" s="125"/>
      <c r="R2583" s="127"/>
      <c r="S2583" s="123"/>
      <c r="T2583" s="3"/>
      <c r="W2583" s="86"/>
      <c r="Y2583" s="75"/>
    </row>
    <row r="2584" spans="1:25" x14ac:dyDescent="0.25">
      <c r="A2584" s="75"/>
      <c r="C2584" s="81"/>
      <c r="D2584" s="81"/>
      <c r="I2584" s="81"/>
      <c r="K2584" s="82"/>
      <c r="L2584" s="123"/>
      <c r="M2584" s="3"/>
      <c r="N2584" s="3"/>
      <c r="O2584" s="3"/>
      <c r="P2584" s="125"/>
      <c r="Q2584" s="125"/>
      <c r="R2584" s="127"/>
      <c r="S2584" s="123"/>
      <c r="T2584" s="3"/>
      <c r="W2584" s="86"/>
      <c r="Y2584" s="75"/>
    </row>
    <row r="2585" spans="1:25" x14ac:dyDescent="0.25">
      <c r="A2585" s="75"/>
      <c r="C2585" s="81"/>
      <c r="D2585" s="81"/>
      <c r="I2585" s="81"/>
      <c r="K2585" s="82"/>
      <c r="L2585" s="123"/>
      <c r="M2585" s="3"/>
      <c r="N2585" s="3"/>
      <c r="O2585" s="3"/>
      <c r="P2585" s="125"/>
      <c r="Q2585" s="125"/>
      <c r="R2585" s="127"/>
      <c r="S2585" s="123"/>
      <c r="T2585" s="3"/>
      <c r="W2585" s="86"/>
      <c r="Y2585" s="75"/>
    </row>
    <row r="2586" spans="1:25" x14ac:dyDescent="0.25">
      <c r="A2586" s="75"/>
      <c r="C2586" s="81"/>
      <c r="D2586" s="81"/>
      <c r="I2586" s="81"/>
      <c r="K2586" s="82"/>
      <c r="L2586" s="123"/>
      <c r="M2586" s="3"/>
      <c r="N2586" s="3"/>
      <c r="O2586" s="3"/>
      <c r="P2586" s="125"/>
      <c r="Q2586" s="125"/>
      <c r="R2586" s="127"/>
      <c r="S2586" s="123"/>
      <c r="T2586" s="3"/>
      <c r="W2586" s="86"/>
      <c r="Y2586" s="75"/>
    </row>
    <row r="2587" spans="1:25" x14ac:dyDescent="0.25">
      <c r="A2587" s="75"/>
      <c r="C2587" s="81"/>
      <c r="D2587" s="81"/>
      <c r="I2587" s="81"/>
      <c r="K2587" s="82"/>
      <c r="L2587" s="123"/>
      <c r="M2587" s="3"/>
      <c r="N2587" s="3"/>
      <c r="O2587" s="3"/>
      <c r="P2587" s="125"/>
      <c r="Q2587" s="125"/>
      <c r="R2587" s="127"/>
      <c r="S2587" s="123"/>
      <c r="T2587" s="3"/>
      <c r="W2587" s="86"/>
      <c r="Y2587" s="75"/>
    </row>
    <row r="2588" spans="1:25" x14ac:dyDescent="0.25">
      <c r="A2588" s="75"/>
      <c r="C2588" s="81"/>
      <c r="D2588" s="81"/>
      <c r="I2588" s="81"/>
      <c r="K2588" s="82"/>
      <c r="L2588" s="123"/>
      <c r="M2588" s="3"/>
      <c r="N2588" s="3"/>
      <c r="O2588" s="3"/>
      <c r="P2588" s="125"/>
      <c r="Q2588" s="125"/>
      <c r="R2588" s="127"/>
      <c r="S2588" s="123"/>
      <c r="T2588" s="3"/>
      <c r="W2588" s="86"/>
      <c r="Y2588" s="75"/>
    </row>
    <row r="2589" spans="1:25" x14ac:dyDescent="0.25">
      <c r="A2589" s="75"/>
      <c r="C2589" s="81"/>
      <c r="D2589" s="81"/>
      <c r="I2589" s="81"/>
      <c r="K2589" s="82"/>
      <c r="L2589" s="123"/>
      <c r="M2589" s="3"/>
      <c r="N2589" s="3"/>
      <c r="O2589" s="3"/>
      <c r="P2589" s="125"/>
      <c r="Q2589" s="125"/>
      <c r="R2589" s="127"/>
      <c r="S2589" s="123"/>
      <c r="T2589" s="3"/>
      <c r="W2589" s="86"/>
      <c r="Y2589" s="75"/>
    </row>
    <row r="2590" spans="1:25" x14ac:dyDescent="0.25">
      <c r="A2590" s="75"/>
      <c r="C2590" s="81"/>
      <c r="D2590" s="81"/>
      <c r="I2590" s="81"/>
      <c r="K2590" s="82"/>
      <c r="L2590" s="123"/>
      <c r="M2590" s="3"/>
      <c r="N2590" s="3"/>
      <c r="O2590" s="3"/>
      <c r="P2590" s="125"/>
      <c r="Q2590" s="125"/>
      <c r="R2590" s="127"/>
      <c r="S2590" s="123"/>
      <c r="T2590" s="3"/>
      <c r="W2590" s="86"/>
      <c r="Y2590" s="75"/>
    </row>
    <row r="2591" spans="1:25" x14ac:dyDescent="0.25">
      <c r="A2591" s="75"/>
      <c r="C2591" s="81"/>
      <c r="D2591" s="81"/>
      <c r="I2591" s="81"/>
      <c r="K2591" s="82"/>
      <c r="L2591" s="123"/>
      <c r="M2591" s="3"/>
      <c r="N2591" s="3"/>
      <c r="O2591" s="3"/>
      <c r="P2591" s="125"/>
      <c r="Q2591" s="125"/>
      <c r="R2591" s="127"/>
      <c r="S2591" s="123"/>
      <c r="T2591" s="3"/>
      <c r="W2591" s="86"/>
      <c r="Y2591" s="75"/>
    </row>
    <row r="2592" spans="1:25" x14ac:dyDescent="0.25">
      <c r="A2592" s="75"/>
      <c r="C2592" s="81"/>
      <c r="D2592" s="81"/>
      <c r="I2592" s="81"/>
      <c r="K2592" s="82"/>
      <c r="L2592" s="123"/>
      <c r="M2592" s="3"/>
      <c r="N2592" s="3"/>
      <c r="O2592" s="3"/>
      <c r="P2592" s="125"/>
      <c r="Q2592" s="125"/>
      <c r="R2592" s="127"/>
      <c r="S2592" s="123"/>
      <c r="T2592" s="3"/>
      <c r="W2592" s="86"/>
      <c r="Y2592" s="75"/>
    </row>
    <row r="2593" spans="1:25" x14ac:dyDescent="0.25">
      <c r="A2593" s="75"/>
      <c r="C2593" s="81"/>
      <c r="D2593" s="81"/>
      <c r="I2593" s="81"/>
      <c r="K2593" s="82"/>
      <c r="L2593" s="123"/>
      <c r="M2593" s="3"/>
      <c r="N2593" s="3"/>
      <c r="O2593" s="3"/>
      <c r="P2593" s="125"/>
      <c r="Q2593" s="125"/>
      <c r="R2593" s="127"/>
      <c r="S2593" s="123"/>
      <c r="T2593" s="3"/>
      <c r="W2593" s="86"/>
      <c r="Y2593" s="75"/>
    </row>
    <row r="2594" spans="1:25" x14ac:dyDescent="0.25">
      <c r="A2594" s="75"/>
      <c r="C2594" s="81"/>
      <c r="D2594" s="81"/>
      <c r="I2594" s="81"/>
      <c r="K2594" s="82"/>
      <c r="L2594" s="123"/>
      <c r="M2594" s="3"/>
      <c r="N2594" s="3"/>
      <c r="O2594" s="3"/>
      <c r="P2594" s="125"/>
      <c r="Q2594" s="125"/>
      <c r="R2594" s="127"/>
      <c r="S2594" s="123"/>
      <c r="T2594" s="3"/>
      <c r="W2594" s="86"/>
      <c r="Y2594" s="75"/>
    </row>
    <row r="2595" spans="1:25" x14ac:dyDescent="0.25">
      <c r="A2595" s="75"/>
      <c r="C2595" s="81"/>
      <c r="D2595" s="81"/>
      <c r="I2595" s="81"/>
      <c r="K2595" s="82"/>
      <c r="L2595" s="123"/>
      <c r="M2595" s="3"/>
      <c r="N2595" s="3"/>
      <c r="O2595" s="3"/>
      <c r="P2595" s="125"/>
      <c r="Q2595" s="125"/>
      <c r="R2595" s="127"/>
      <c r="S2595" s="123"/>
      <c r="T2595" s="3"/>
      <c r="W2595" s="86"/>
      <c r="Y2595" s="75"/>
    </row>
    <row r="2596" spans="1:25" x14ac:dyDescent="0.25">
      <c r="A2596" s="75"/>
      <c r="C2596" s="81"/>
      <c r="D2596" s="81"/>
      <c r="I2596" s="81"/>
      <c r="K2596" s="82"/>
      <c r="L2596" s="123"/>
      <c r="M2596" s="3"/>
      <c r="N2596" s="3"/>
      <c r="O2596" s="3"/>
      <c r="P2596" s="125"/>
      <c r="Q2596" s="125"/>
      <c r="R2596" s="127"/>
      <c r="S2596" s="123"/>
      <c r="T2596" s="3"/>
      <c r="W2596" s="86"/>
      <c r="Y2596" s="75"/>
    </row>
    <row r="2597" spans="1:25" x14ac:dyDescent="0.25">
      <c r="A2597" s="75"/>
      <c r="C2597" s="81"/>
      <c r="D2597" s="81"/>
      <c r="I2597" s="81"/>
      <c r="K2597" s="82"/>
      <c r="L2597" s="123"/>
      <c r="M2597" s="3"/>
      <c r="N2597" s="3"/>
      <c r="O2597" s="3"/>
      <c r="P2597" s="125"/>
      <c r="Q2597" s="125"/>
      <c r="R2597" s="127"/>
      <c r="S2597" s="123"/>
      <c r="T2597" s="3"/>
      <c r="W2597" s="86"/>
      <c r="Y2597" s="75"/>
    </row>
    <row r="2598" spans="1:25" x14ac:dyDescent="0.25">
      <c r="A2598" s="75"/>
      <c r="C2598" s="81"/>
      <c r="D2598" s="81"/>
      <c r="I2598" s="81"/>
      <c r="K2598" s="82"/>
      <c r="L2598" s="123"/>
      <c r="M2598" s="3"/>
      <c r="N2598" s="3"/>
      <c r="O2598" s="3"/>
      <c r="P2598" s="125"/>
      <c r="Q2598" s="125"/>
      <c r="R2598" s="127"/>
      <c r="S2598" s="123"/>
      <c r="T2598" s="3"/>
      <c r="W2598" s="86"/>
      <c r="Y2598" s="75"/>
    </row>
    <row r="2599" spans="1:25" x14ac:dyDescent="0.25">
      <c r="A2599" s="75"/>
      <c r="C2599" s="81"/>
      <c r="D2599" s="81"/>
      <c r="I2599" s="81"/>
      <c r="K2599" s="82"/>
      <c r="L2599" s="123"/>
      <c r="M2599" s="3"/>
      <c r="N2599" s="3"/>
      <c r="O2599" s="3"/>
      <c r="P2599" s="125"/>
      <c r="Q2599" s="125"/>
      <c r="R2599" s="127"/>
      <c r="S2599" s="123"/>
      <c r="T2599" s="3"/>
      <c r="W2599" s="86"/>
      <c r="Y2599" s="75"/>
    </row>
    <row r="2600" spans="1:25" x14ac:dyDescent="0.25">
      <c r="A2600" s="75"/>
      <c r="C2600" s="81"/>
      <c r="D2600" s="81"/>
      <c r="I2600" s="81"/>
      <c r="K2600" s="82"/>
      <c r="L2600" s="123"/>
      <c r="M2600" s="3"/>
      <c r="N2600" s="3"/>
      <c r="O2600" s="3"/>
      <c r="P2600" s="125"/>
      <c r="Q2600" s="125"/>
      <c r="R2600" s="127"/>
      <c r="S2600" s="123"/>
      <c r="T2600" s="3"/>
      <c r="W2600" s="86"/>
      <c r="Y2600" s="75"/>
    </row>
    <row r="2601" spans="1:25" x14ac:dyDescent="0.25">
      <c r="A2601" s="75"/>
      <c r="C2601" s="81"/>
      <c r="D2601" s="81"/>
      <c r="I2601" s="81"/>
      <c r="K2601" s="82"/>
      <c r="L2601" s="123"/>
      <c r="M2601" s="3"/>
      <c r="N2601" s="3"/>
      <c r="O2601" s="3"/>
      <c r="P2601" s="125"/>
      <c r="Q2601" s="125"/>
      <c r="R2601" s="127"/>
      <c r="S2601" s="123"/>
      <c r="T2601" s="3"/>
      <c r="W2601" s="86"/>
      <c r="Y2601" s="75"/>
    </row>
    <row r="2602" spans="1:25" x14ac:dyDescent="0.25">
      <c r="A2602" s="75"/>
      <c r="C2602" s="81"/>
      <c r="D2602" s="81"/>
      <c r="I2602" s="81"/>
      <c r="K2602" s="82"/>
      <c r="L2602" s="123"/>
      <c r="M2602" s="3"/>
      <c r="N2602" s="3"/>
      <c r="O2602" s="3"/>
      <c r="P2602" s="125"/>
      <c r="Q2602" s="125"/>
      <c r="R2602" s="127"/>
      <c r="S2602" s="123"/>
      <c r="T2602" s="3"/>
      <c r="W2602" s="86"/>
      <c r="Y2602" s="75"/>
    </row>
    <row r="2603" spans="1:25" x14ac:dyDescent="0.25">
      <c r="A2603" s="75"/>
      <c r="C2603" s="81"/>
      <c r="D2603" s="81"/>
      <c r="I2603" s="81"/>
      <c r="K2603" s="82"/>
      <c r="L2603" s="123"/>
      <c r="M2603" s="3"/>
      <c r="N2603" s="3"/>
      <c r="O2603" s="3"/>
      <c r="P2603" s="125"/>
      <c r="Q2603" s="125"/>
      <c r="R2603" s="127"/>
      <c r="S2603" s="123"/>
      <c r="T2603" s="3"/>
      <c r="W2603" s="86"/>
      <c r="Y2603" s="75"/>
    </row>
    <row r="2604" spans="1:25" x14ac:dyDescent="0.25">
      <c r="A2604" s="75"/>
      <c r="C2604" s="81"/>
      <c r="D2604" s="81"/>
      <c r="I2604" s="81"/>
      <c r="K2604" s="82"/>
      <c r="L2604" s="123"/>
      <c r="M2604" s="3"/>
      <c r="N2604" s="3"/>
      <c r="O2604" s="3"/>
      <c r="P2604" s="125"/>
      <c r="Q2604" s="125"/>
      <c r="R2604" s="127"/>
      <c r="S2604" s="123"/>
      <c r="T2604" s="3"/>
      <c r="W2604" s="86"/>
      <c r="Y2604" s="75"/>
    </row>
    <row r="2605" spans="1:25" x14ac:dyDescent="0.25">
      <c r="A2605" s="75"/>
      <c r="C2605" s="81"/>
      <c r="D2605" s="81"/>
      <c r="I2605" s="81"/>
      <c r="K2605" s="82"/>
      <c r="L2605" s="123"/>
      <c r="M2605" s="3"/>
      <c r="N2605" s="3"/>
      <c r="O2605" s="3"/>
      <c r="P2605" s="125"/>
      <c r="Q2605" s="125"/>
      <c r="R2605" s="127"/>
      <c r="S2605" s="123"/>
      <c r="T2605" s="3"/>
      <c r="W2605" s="86"/>
      <c r="Y2605" s="75"/>
    </row>
    <row r="2606" spans="1:25" x14ac:dyDescent="0.25">
      <c r="A2606" s="75"/>
      <c r="C2606" s="81"/>
      <c r="D2606" s="81"/>
      <c r="I2606" s="81"/>
      <c r="K2606" s="82"/>
      <c r="L2606" s="123"/>
      <c r="M2606" s="3"/>
      <c r="N2606" s="3"/>
      <c r="O2606" s="3"/>
      <c r="P2606" s="125"/>
      <c r="Q2606" s="125"/>
      <c r="R2606" s="127"/>
      <c r="S2606" s="123"/>
      <c r="T2606" s="3"/>
      <c r="W2606" s="86"/>
      <c r="Y2606" s="75"/>
    </row>
    <row r="2607" spans="1:25" x14ac:dyDescent="0.25">
      <c r="A2607" s="75"/>
      <c r="C2607" s="81"/>
      <c r="D2607" s="81"/>
      <c r="I2607" s="81"/>
      <c r="K2607" s="82"/>
      <c r="L2607" s="123"/>
      <c r="M2607" s="3"/>
      <c r="N2607" s="3"/>
      <c r="O2607" s="3"/>
      <c r="P2607" s="125"/>
      <c r="Q2607" s="125"/>
      <c r="R2607" s="127"/>
      <c r="S2607" s="123"/>
      <c r="T2607" s="3"/>
      <c r="W2607" s="86"/>
      <c r="Y2607" s="75"/>
    </row>
    <row r="2608" spans="1:25" x14ac:dyDescent="0.25">
      <c r="A2608" s="75"/>
      <c r="C2608" s="81"/>
      <c r="D2608" s="81"/>
      <c r="I2608" s="81"/>
      <c r="K2608" s="82"/>
      <c r="L2608" s="123"/>
      <c r="M2608" s="3"/>
      <c r="N2608" s="3"/>
      <c r="O2608" s="3"/>
      <c r="P2608" s="125"/>
      <c r="Q2608" s="125"/>
      <c r="R2608" s="127"/>
      <c r="S2608" s="123"/>
      <c r="T2608" s="3"/>
      <c r="W2608" s="86"/>
      <c r="Y2608" s="75"/>
    </row>
    <row r="2609" spans="1:25" x14ac:dyDescent="0.25">
      <c r="A2609" s="75"/>
      <c r="C2609" s="81"/>
      <c r="D2609" s="81"/>
      <c r="I2609" s="81"/>
      <c r="K2609" s="82"/>
      <c r="L2609" s="123"/>
      <c r="M2609" s="3"/>
      <c r="N2609" s="3"/>
      <c r="O2609" s="3"/>
      <c r="P2609" s="125"/>
      <c r="Q2609" s="125"/>
      <c r="R2609" s="127"/>
      <c r="S2609" s="123"/>
      <c r="T2609" s="3"/>
      <c r="W2609" s="86"/>
      <c r="Y2609" s="75"/>
    </row>
    <row r="2610" spans="1:25" x14ac:dyDescent="0.25">
      <c r="A2610" s="75"/>
      <c r="C2610" s="81"/>
      <c r="D2610" s="81"/>
      <c r="I2610" s="81"/>
      <c r="K2610" s="82"/>
      <c r="L2610" s="123"/>
      <c r="M2610" s="3"/>
      <c r="N2610" s="3"/>
      <c r="O2610" s="3"/>
      <c r="P2610" s="125"/>
      <c r="Q2610" s="125"/>
      <c r="R2610" s="127"/>
      <c r="S2610" s="123"/>
      <c r="T2610" s="3"/>
      <c r="W2610" s="86"/>
      <c r="Y2610" s="75"/>
    </row>
    <row r="2611" spans="1:25" x14ac:dyDescent="0.25">
      <c r="A2611" s="75"/>
      <c r="C2611" s="81"/>
      <c r="D2611" s="81"/>
      <c r="I2611" s="81"/>
      <c r="K2611" s="82"/>
      <c r="L2611" s="123"/>
      <c r="M2611" s="3"/>
      <c r="N2611" s="3"/>
      <c r="O2611" s="3"/>
      <c r="P2611" s="125"/>
      <c r="Q2611" s="125"/>
      <c r="R2611" s="127"/>
      <c r="S2611" s="123"/>
      <c r="T2611" s="3"/>
      <c r="W2611" s="86"/>
      <c r="Y2611" s="75"/>
    </row>
    <row r="2612" spans="1:25" x14ac:dyDescent="0.25">
      <c r="A2612" s="75"/>
      <c r="C2612" s="81"/>
      <c r="D2612" s="81"/>
      <c r="I2612" s="81"/>
      <c r="K2612" s="82"/>
      <c r="L2612" s="123"/>
      <c r="M2612" s="3"/>
      <c r="N2612" s="3"/>
      <c r="O2612" s="3"/>
      <c r="P2612" s="125"/>
      <c r="Q2612" s="125"/>
      <c r="R2612" s="127"/>
      <c r="S2612" s="123"/>
      <c r="T2612" s="3"/>
      <c r="W2612" s="86"/>
      <c r="Y2612" s="75"/>
    </row>
    <row r="2613" spans="1:25" x14ac:dyDescent="0.25">
      <c r="A2613" s="75"/>
      <c r="C2613" s="81"/>
      <c r="D2613" s="81"/>
      <c r="I2613" s="81"/>
      <c r="K2613" s="82"/>
      <c r="L2613" s="123"/>
      <c r="M2613" s="3"/>
      <c r="N2613" s="3"/>
      <c r="O2613" s="3"/>
      <c r="P2613" s="125"/>
      <c r="Q2613" s="125"/>
      <c r="R2613" s="127"/>
      <c r="S2613" s="123"/>
      <c r="T2613" s="3"/>
      <c r="W2613" s="86"/>
      <c r="Y2613" s="75"/>
    </row>
    <row r="2614" spans="1:25" x14ac:dyDescent="0.25">
      <c r="A2614" s="75"/>
      <c r="C2614" s="81"/>
      <c r="D2614" s="81"/>
      <c r="I2614" s="81"/>
      <c r="K2614" s="82"/>
      <c r="L2614" s="123"/>
      <c r="M2614" s="3"/>
      <c r="N2614" s="3"/>
      <c r="O2614" s="3"/>
      <c r="P2614" s="125"/>
      <c r="Q2614" s="125"/>
      <c r="R2614" s="127"/>
      <c r="S2614" s="123"/>
      <c r="T2614" s="3"/>
      <c r="W2614" s="86"/>
      <c r="Y2614" s="75"/>
    </row>
    <row r="2615" spans="1:25" x14ac:dyDescent="0.25">
      <c r="A2615" s="75"/>
      <c r="C2615" s="81"/>
      <c r="D2615" s="81"/>
      <c r="I2615" s="81"/>
      <c r="K2615" s="82"/>
      <c r="L2615" s="123"/>
      <c r="M2615" s="3"/>
      <c r="N2615" s="3"/>
      <c r="O2615" s="3"/>
      <c r="P2615" s="125"/>
      <c r="Q2615" s="125"/>
      <c r="R2615" s="127"/>
      <c r="S2615" s="123"/>
      <c r="T2615" s="3"/>
      <c r="W2615" s="86"/>
      <c r="Y2615" s="75"/>
    </row>
    <row r="2616" spans="1:25" x14ac:dyDescent="0.25">
      <c r="A2616" s="75"/>
      <c r="C2616" s="81"/>
      <c r="D2616" s="81"/>
      <c r="I2616" s="81"/>
      <c r="K2616" s="82"/>
      <c r="L2616" s="123"/>
      <c r="M2616" s="3"/>
      <c r="N2616" s="3"/>
      <c r="O2616" s="3"/>
      <c r="P2616" s="125"/>
      <c r="Q2616" s="125"/>
      <c r="R2616" s="127"/>
      <c r="S2616" s="123"/>
      <c r="T2616" s="3"/>
      <c r="W2616" s="86"/>
      <c r="Y2616" s="75"/>
    </row>
    <row r="2617" spans="1:25" x14ac:dyDescent="0.25">
      <c r="A2617" s="75"/>
      <c r="C2617" s="81"/>
      <c r="D2617" s="81"/>
      <c r="I2617" s="81"/>
      <c r="K2617" s="82"/>
      <c r="L2617" s="123"/>
      <c r="M2617" s="3"/>
      <c r="N2617" s="3"/>
      <c r="O2617" s="3"/>
      <c r="P2617" s="125"/>
      <c r="Q2617" s="125"/>
      <c r="R2617" s="127"/>
      <c r="S2617" s="123"/>
      <c r="T2617" s="3"/>
      <c r="W2617" s="86"/>
      <c r="Y2617" s="75"/>
    </row>
    <row r="2618" spans="1:25" x14ac:dyDescent="0.25">
      <c r="A2618" s="75"/>
      <c r="C2618" s="81"/>
      <c r="D2618" s="81"/>
      <c r="I2618" s="81"/>
      <c r="K2618" s="82"/>
      <c r="L2618" s="123"/>
      <c r="M2618" s="3"/>
      <c r="N2618" s="3"/>
      <c r="O2618" s="3"/>
      <c r="P2618" s="125"/>
      <c r="Q2618" s="125"/>
      <c r="R2618" s="127"/>
      <c r="S2618" s="123"/>
      <c r="T2618" s="3"/>
      <c r="W2618" s="86"/>
      <c r="Y2618" s="75"/>
    </row>
    <row r="2619" spans="1:25" x14ac:dyDescent="0.25">
      <c r="A2619" s="75"/>
      <c r="C2619" s="81"/>
      <c r="D2619" s="81"/>
      <c r="I2619" s="81"/>
      <c r="K2619" s="82"/>
      <c r="L2619" s="123"/>
      <c r="M2619" s="3"/>
      <c r="N2619" s="3"/>
      <c r="O2619" s="3"/>
      <c r="P2619" s="125"/>
      <c r="Q2619" s="125"/>
      <c r="R2619" s="127"/>
      <c r="S2619" s="123"/>
      <c r="T2619" s="3"/>
      <c r="W2619" s="86"/>
      <c r="Y2619" s="75"/>
    </row>
    <row r="2620" spans="1:25" x14ac:dyDescent="0.25">
      <c r="A2620" s="75"/>
      <c r="C2620" s="81"/>
      <c r="D2620" s="81"/>
      <c r="I2620" s="81"/>
      <c r="K2620" s="82"/>
      <c r="L2620" s="123"/>
      <c r="M2620" s="3"/>
      <c r="N2620" s="3"/>
      <c r="O2620" s="3"/>
      <c r="P2620" s="125"/>
      <c r="Q2620" s="125"/>
      <c r="R2620" s="127"/>
      <c r="S2620" s="123"/>
      <c r="T2620" s="3"/>
      <c r="W2620" s="86"/>
      <c r="Y2620" s="75"/>
    </row>
    <row r="2621" spans="1:25" x14ac:dyDescent="0.25">
      <c r="A2621" s="75"/>
      <c r="C2621" s="81"/>
      <c r="D2621" s="81"/>
      <c r="I2621" s="81"/>
      <c r="K2621" s="82"/>
      <c r="L2621" s="123"/>
      <c r="M2621" s="3"/>
      <c r="N2621" s="3"/>
      <c r="O2621" s="3"/>
      <c r="P2621" s="125"/>
      <c r="Q2621" s="125"/>
      <c r="R2621" s="127"/>
      <c r="S2621" s="123"/>
      <c r="T2621" s="3"/>
      <c r="W2621" s="86"/>
      <c r="Y2621" s="75"/>
    </row>
    <row r="2622" spans="1:25" x14ac:dyDescent="0.25">
      <c r="A2622" s="75"/>
      <c r="C2622" s="81"/>
      <c r="D2622" s="81"/>
      <c r="I2622" s="81"/>
      <c r="K2622" s="82"/>
      <c r="L2622" s="123"/>
      <c r="M2622" s="3"/>
      <c r="N2622" s="3"/>
      <c r="O2622" s="3"/>
      <c r="P2622" s="125"/>
      <c r="Q2622" s="125"/>
      <c r="R2622" s="127"/>
      <c r="S2622" s="123"/>
      <c r="T2622" s="3"/>
      <c r="W2622" s="86"/>
      <c r="Y2622" s="75"/>
    </row>
    <row r="2623" spans="1:25" x14ac:dyDescent="0.25">
      <c r="A2623" s="75"/>
      <c r="C2623" s="81"/>
      <c r="D2623" s="81"/>
      <c r="I2623" s="81"/>
      <c r="K2623" s="82"/>
      <c r="L2623" s="123"/>
      <c r="M2623" s="3"/>
      <c r="N2623" s="3"/>
      <c r="O2623" s="3"/>
      <c r="P2623" s="125"/>
      <c r="Q2623" s="125"/>
      <c r="R2623" s="127"/>
      <c r="S2623" s="123"/>
      <c r="T2623" s="3"/>
      <c r="W2623" s="86"/>
      <c r="Y2623" s="75"/>
    </row>
    <row r="2624" spans="1:25" x14ac:dyDescent="0.25">
      <c r="A2624" s="75"/>
      <c r="C2624" s="81"/>
      <c r="D2624" s="81"/>
      <c r="I2624" s="81"/>
      <c r="K2624" s="82"/>
      <c r="L2624" s="123"/>
      <c r="M2624" s="3"/>
      <c r="N2624" s="3"/>
      <c r="O2624" s="3"/>
      <c r="P2624" s="125"/>
      <c r="Q2624" s="125"/>
      <c r="R2624" s="127"/>
      <c r="S2624" s="123"/>
      <c r="T2624" s="3"/>
      <c r="W2624" s="86"/>
      <c r="Y2624" s="75"/>
    </row>
    <row r="2625" spans="1:25" x14ac:dyDescent="0.25">
      <c r="A2625" s="75"/>
      <c r="C2625" s="81"/>
      <c r="D2625" s="81"/>
      <c r="I2625" s="81"/>
      <c r="K2625" s="82"/>
      <c r="L2625" s="123"/>
      <c r="M2625" s="3"/>
      <c r="N2625" s="3"/>
      <c r="O2625" s="3"/>
      <c r="P2625" s="125"/>
      <c r="Q2625" s="125"/>
      <c r="R2625" s="127"/>
      <c r="S2625" s="123"/>
      <c r="T2625" s="3"/>
      <c r="W2625" s="86"/>
      <c r="Y2625" s="75"/>
    </row>
    <row r="2626" spans="1:25" x14ac:dyDescent="0.25">
      <c r="A2626" s="75"/>
      <c r="C2626" s="81"/>
      <c r="D2626" s="81"/>
      <c r="I2626" s="81"/>
      <c r="K2626" s="82"/>
      <c r="L2626" s="123"/>
      <c r="M2626" s="3"/>
      <c r="N2626" s="3"/>
      <c r="O2626" s="3"/>
      <c r="P2626" s="125"/>
      <c r="Q2626" s="125"/>
      <c r="R2626" s="127"/>
      <c r="S2626" s="123"/>
      <c r="T2626" s="3"/>
      <c r="W2626" s="86"/>
      <c r="Y2626" s="75"/>
    </row>
    <row r="2627" spans="1:25" x14ac:dyDescent="0.25">
      <c r="A2627" s="75"/>
      <c r="C2627" s="81"/>
      <c r="D2627" s="81"/>
      <c r="I2627" s="81"/>
      <c r="K2627" s="82"/>
      <c r="L2627" s="123"/>
      <c r="M2627" s="3"/>
      <c r="N2627" s="3"/>
      <c r="O2627" s="3"/>
      <c r="P2627" s="125"/>
      <c r="Q2627" s="125"/>
      <c r="R2627" s="127"/>
      <c r="S2627" s="123"/>
      <c r="T2627" s="3"/>
      <c r="W2627" s="86"/>
      <c r="Y2627" s="75"/>
    </row>
    <row r="2628" spans="1:25" x14ac:dyDescent="0.25">
      <c r="A2628" s="75"/>
      <c r="C2628" s="81"/>
      <c r="D2628" s="81"/>
      <c r="I2628" s="81"/>
      <c r="K2628" s="82"/>
      <c r="L2628" s="123"/>
      <c r="M2628" s="3"/>
      <c r="N2628" s="3"/>
      <c r="O2628" s="3"/>
      <c r="P2628" s="125"/>
      <c r="Q2628" s="125"/>
      <c r="R2628" s="127"/>
      <c r="S2628" s="123"/>
      <c r="T2628" s="3"/>
      <c r="W2628" s="86"/>
      <c r="Y2628" s="75"/>
    </row>
    <row r="2629" spans="1:25" x14ac:dyDescent="0.25">
      <c r="A2629" s="75"/>
      <c r="C2629" s="81"/>
      <c r="D2629" s="81"/>
      <c r="I2629" s="81"/>
      <c r="K2629" s="82"/>
      <c r="L2629" s="123"/>
      <c r="M2629" s="3"/>
      <c r="N2629" s="3"/>
      <c r="O2629" s="3"/>
      <c r="P2629" s="125"/>
      <c r="Q2629" s="125"/>
      <c r="R2629" s="127"/>
      <c r="S2629" s="123"/>
      <c r="T2629" s="3"/>
      <c r="W2629" s="86"/>
      <c r="Y2629" s="75"/>
    </row>
    <row r="2630" spans="1:25" x14ac:dyDescent="0.25">
      <c r="A2630" s="75"/>
      <c r="C2630" s="81"/>
      <c r="D2630" s="81"/>
      <c r="I2630" s="81"/>
      <c r="K2630" s="82"/>
      <c r="L2630" s="123"/>
      <c r="M2630" s="3"/>
      <c r="N2630" s="3"/>
      <c r="O2630" s="3"/>
      <c r="P2630" s="125"/>
      <c r="Q2630" s="125"/>
      <c r="R2630" s="127"/>
      <c r="S2630" s="123"/>
      <c r="T2630" s="3"/>
      <c r="W2630" s="86"/>
      <c r="Y2630" s="75"/>
    </row>
    <row r="2631" spans="1:25" x14ac:dyDescent="0.25">
      <c r="A2631" s="75"/>
      <c r="C2631" s="81"/>
      <c r="D2631" s="81"/>
      <c r="I2631" s="81"/>
      <c r="K2631" s="82"/>
      <c r="L2631" s="123"/>
      <c r="M2631" s="3"/>
      <c r="N2631" s="3"/>
      <c r="O2631" s="3"/>
      <c r="P2631" s="125"/>
      <c r="Q2631" s="125"/>
      <c r="R2631" s="127"/>
      <c r="S2631" s="123"/>
      <c r="T2631" s="3"/>
      <c r="W2631" s="86"/>
      <c r="Y2631" s="75"/>
    </row>
    <row r="2632" spans="1:25" x14ac:dyDescent="0.25">
      <c r="A2632" s="75"/>
      <c r="C2632" s="81"/>
      <c r="D2632" s="81"/>
      <c r="I2632" s="81"/>
      <c r="K2632" s="82"/>
      <c r="L2632" s="123"/>
      <c r="M2632" s="3"/>
      <c r="N2632" s="3"/>
      <c r="O2632" s="3"/>
      <c r="P2632" s="125"/>
      <c r="Q2632" s="125"/>
      <c r="R2632" s="127"/>
      <c r="S2632" s="123"/>
      <c r="T2632" s="3"/>
      <c r="W2632" s="86"/>
      <c r="Y2632" s="75"/>
    </row>
    <row r="2633" spans="1:25" x14ac:dyDescent="0.25">
      <c r="A2633" s="75"/>
      <c r="C2633" s="81"/>
      <c r="D2633" s="81"/>
      <c r="I2633" s="81"/>
      <c r="K2633" s="82"/>
      <c r="L2633" s="123"/>
      <c r="M2633" s="3"/>
      <c r="N2633" s="3"/>
      <c r="O2633" s="3"/>
      <c r="P2633" s="125"/>
      <c r="Q2633" s="125"/>
      <c r="R2633" s="127"/>
      <c r="S2633" s="123"/>
      <c r="T2633" s="3"/>
      <c r="W2633" s="86"/>
      <c r="Y2633" s="75"/>
    </row>
    <row r="2634" spans="1:25" x14ac:dyDescent="0.25">
      <c r="A2634" s="75"/>
      <c r="C2634" s="81"/>
      <c r="D2634" s="81"/>
      <c r="I2634" s="81"/>
      <c r="K2634" s="82"/>
      <c r="L2634" s="123"/>
      <c r="M2634" s="3"/>
      <c r="N2634" s="3"/>
      <c r="O2634" s="3"/>
      <c r="P2634" s="125"/>
      <c r="Q2634" s="125"/>
      <c r="R2634" s="127"/>
      <c r="S2634" s="123"/>
      <c r="T2634" s="3"/>
      <c r="W2634" s="86"/>
      <c r="Y2634" s="75"/>
    </row>
    <row r="2635" spans="1:25" x14ac:dyDescent="0.25">
      <c r="A2635" s="75"/>
      <c r="C2635" s="81"/>
      <c r="D2635" s="81"/>
      <c r="I2635" s="81"/>
      <c r="K2635" s="82"/>
      <c r="L2635" s="123"/>
      <c r="M2635" s="3"/>
      <c r="N2635" s="3"/>
      <c r="O2635" s="3"/>
      <c r="P2635" s="125"/>
      <c r="Q2635" s="125"/>
      <c r="R2635" s="127"/>
      <c r="S2635" s="123"/>
      <c r="T2635" s="3"/>
      <c r="W2635" s="86"/>
      <c r="Y2635" s="75"/>
    </row>
    <row r="2636" spans="1:25" x14ac:dyDescent="0.25">
      <c r="A2636" s="75"/>
      <c r="C2636" s="81"/>
      <c r="D2636" s="81"/>
      <c r="I2636" s="81"/>
      <c r="K2636" s="82"/>
      <c r="L2636" s="123"/>
      <c r="M2636" s="3"/>
      <c r="N2636" s="3"/>
      <c r="O2636" s="3"/>
      <c r="P2636" s="125"/>
      <c r="Q2636" s="125"/>
      <c r="R2636" s="127"/>
      <c r="S2636" s="123"/>
      <c r="T2636" s="3"/>
      <c r="W2636" s="86"/>
      <c r="Y2636" s="75"/>
    </row>
    <row r="2637" spans="1:25" x14ac:dyDescent="0.25">
      <c r="A2637" s="75"/>
      <c r="C2637" s="81"/>
      <c r="D2637" s="81"/>
      <c r="I2637" s="81"/>
      <c r="K2637" s="82"/>
      <c r="L2637" s="123"/>
      <c r="M2637" s="3"/>
      <c r="N2637" s="3"/>
      <c r="O2637" s="3"/>
      <c r="P2637" s="125"/>
      <c r="Q2637" s="125"/>
      <c r="R2637" s="127"/>
      <c r="S2637" s="123"/>
      <c r="T2637" s="3"/>
      <c r="W2637" s="86"/>
      <c r="Y2637" s="75"/>
    </row>
    <row r="2638" spans="1:25" x14ac:dyDescent="0.25">
      <c r="A2638" s="75"/>
      <c r="C2638" s="81"/>
      <c r="D2638" s="81"/>
      <c r="I2638" s="81"/>
      <c r="K2638" s="82"/>
      <c r="L2638" s="123"/>
      <c r="M2638" s="3"/>
      <c r="N2638" s="3"/>
      <c r="O2638" s="3"/>
      <c r="P2638" s="125"/>
      <c r="Q2638" s="125"/>
      <c r="R2638" s="127"/>
      <c r="S2638" s="123"/>
      <c r="T2638" s="3"/>
      <c r="W2638" s="86"/>
      <c r="Y2638" s="75"/>
    </row>
    <row r="2639" spans="1:25" x14ac:dyDescent="0.25">
      <c r="A2639" s="75"/>
      <c r="C2639" s="81"/>
      <c r="D2639" s="81"/>
      <c r="I2639" s="81"/>
      <c r="K2639" s="82"/>
      <c r="L2639" s="123"/>
      <c r="M2639" s="3"/>
      <c r="N2639" s="3"/>
      <c r="O2639" s="3"/>
      <c r="P2639" s="125"/>
      <c r="Q2639" s="125"/>
      <c r="R2639" s="127"/>
      <c r="S2639" s="123"/>
      <c r="T2639" s="3"/>
      <c r="W2639" s="86"/>
      <c r="Y2639" s="75"/>
    </row>
    <row r="2640" spans="1:25" x14ac:dyDescent="0.25">
      <c r="A2640" s="75"/>
      <c r="C2640" s="81"/>
      <c r="D2640" s="81"/>
      <c r="I2640" s="81"/>
      <c r="K2640" s="82"/>
      <c r="L2640" s="123"/>
      <c r="M2640" s="3"/>
      <c r="N2640" s="3"/>
      <c r="O2640" s="3"/>
      <c r="P2640" s="125"/>
      <c r="Q2640" s="125"/>
      <c r="R2640" s="127"/>
      <c r="S2640" s="123"/>
      <c r="T2640" s="3"/>
      <c r="W2640" s="86"/>
      <c r="Y2640" s="75"/>
    </row>
    <row r="2641" spans="1:25" x14ac:dyDescent="0.25">
      <c r="A2641" s="75"/>
      <c r="C2641" s="81"/>
      <c r="D2641" s="81"/>
      <c r="I2641" s="81"/>
      <c r="K2641" s="82"/>
      <c r="L2641" s="123"/>
      <c r="M2641" s="3"/>
      <c r="N2641" s="3"/>
      <c r="O2641" s="3"/>
      <c r="P2641" s="125"/>
      <c r="Q2641" s="125"/>
      <c r="R2641" s="127"/>
      <c r="S2641" s="123"/>
      <c r="T2641" s="3"/>
      <c r="W2641" s="86"/>
      <c r="Y2641" s="75"/>
    </row>
    <row r="2642" spans="1:25" x14ac:dyDescent="0.25">
      <c r="A2642" s="75"/>
      <c r="C2642" s="81"/>
      <c r="D2642" s="81"/>
      <c r="I2642" s="81"/>
      <c r="K2642" s="82"/>
      <c r="L2642" s="123"/>
      <c r="M2642" s="3"/>
      <c r="N2642" s="3"/>
      <c r="O2642" s="3"/>
      <c r="P2642" s="125"/>
      <c r="Q2642" s="125"/>
      <c r="R2642" s="127"/>
      <c r="S2642" s="123"/>
      <c r="T2642" s="3"/>
      <c r="W2642" s="86"/>
      <c r="Y2642" s="75"/>
    </row>
    <row r="2643" spans="1:25" x14ac:dyDescent="0.25">
      <c r="A2643" s="75"/>
      <c r="C2643" s="81"/>
      <c r="D2643" s="81"/>
      <c r="I2643" s="81"/>
      <c r="K2643" s="82"/>
      <c r="L2643" s="123"/>
      <c r="M2643" s="3"/>
      <c r="N2643" s="3"/>
      <c r="O2643" s="3"/>
      <c r="P2643" s="125"/>
      <c r="Q2643" s="125"/>
      <c r="R2643" s="127"/>
      <c r="S2643" s="123"/>
      <c r="T2643" s="3"/>
      <c r="W2643" s="86"/>
      <c r="Y2643" s="75"/>
    </row>
    <row r="2644" spans="1:25" x14ac:dyDescent="0.25">
      <c r="A2644" s="75"/>
      <c r="C2644" s="81"/>
      <c r="D2644" s="81"/>
      <c r="I2644" s="81"/>
      <c r="K2644" s="82"/>
      <c r="L2644" s="123"/>
      <c r="M2644" s="3"/>
      <c r="N2644" s="3"/>
      <c r="O2644" s="3"/>
      <c r="P2644" s="125"/>
      <c r="Q2644" s="125"/>
      <c r="R2644" s="127"/>
      <c r="S2644" s="123"/>
      <c r="T2644" s="3"/>
      <c r="W2644" s="86"/>
      <c r="Y2644" s="75"/>
    </row>
    <row r="2645" spans="1:25" x14ac:dyDescent="0.25">
      <c r="A2645" s="75"/>
      <c r="C2645" s="81"/>
      <c r="D2645" s="81"/>
      <c r="I2645" s="81"/>
      <c r="K2645" s="82"/>
      <c r="L2645" s="123"/>
      <c r="M2645" s="3"/>
      <c r="N2645" s="3"/>
      <c r="O2645" s="3"/>
      <c r="P2645" s="125"/>
      <c r="Q2645" s="125"/>
      <c r="R2645" s="127"/>
      <c r="S2645" s="123"/>
      <c r="T2645" s="3"/>
      <c r="W2645" s="86"/>
      <c r="Y2645" s="75"/>
    </row>
    <row r="2646" spans="1:25" x14ac:dyDescent="0.25">
      <c r="A2646" s="75"/>
      <c r="C2646" s="81"/>
      <c r="D2646" s="81"/>
      <c r="I2646" s="81"/>
      <c r="K2646" s="82"/>
      <c r="L2646" s="123"/>
      <c r="M2646" s="3"/>
      <c r="N2646" s="3"/>
      <c r="O2646" s="3"/>
      <c r="P2646" s="125"/>
      <c r="Q2646" s="125"/>
      <c r="R2646" s="127"/>
      <c r="S2646" s="123"/>
      <c r="T2646" s="3"/>
      <c r="W2646" s="86"/>
      <c r="Y2646" s="75"/>
    </row>
    <row r="2647" spans="1:25" x14ac:dyDescent="0.25">
      <c r="A2647" s="75"/>
      <c r="C2647" s="81"/>
      <c r="D2647" s="81"/>
      <c r="I2647" s="81"/>
      <c r="K2647" s="82"/>
      <c r="L2647" s="123"/>
      <c r="M2647" s="3"/>
      <c r="N2647" s="3"/>
      <c r="O2647" s="3"/>
      <c r="P2647" s="125"/>
      <c r="Q2647" s="125"/>
      <c r="R2647" s="127"/>
      <c r="S2647" s="123"/>
      <c r="T2647" s="3"/>
      <c r="W2647" s="86"/>
      <c r="Y2647" s="75"/>
    </row>
    <row r="2648" spans="1:25" x14ac:dyDescent="0.25">
      <c r="A2648" s="75"/>
      <c r="C2648" s="81"/>
      <c r="D2648" s="81"/>
      <c r="I2648" s="81"/>
      <c r="K2648" s="82"/>
      <c r="L2648" s="123"/>
      <c r="M2648" s="3"/>
      <c r="N2648" s="3"/>
      <c r="O2648" s="3"/>
      <c r="P2648" s="125"/>
      <c r="Q2648" s="125"/>
      <c r="R2648" s="127"/>
      <c r="S2648" s="123"/>
      <c r="T2648" s="3"/>
      <c r="W2648" s="86"/>
      <c r="Y2648" s="75"/>
    </row>
    <row r="2649" spans="1:25" x14ac:dyDescent="0.25">
      <c r="A2649" s="75"/>
      <c r="C2649" s="81"/>
      <c r="D2649" s="81"/>
      <c r="I2649" s="81"/>
      <c r="K2649" s="82"/>
      <c r="L2649" s="123"/>
      <c r="M2649" s="3"/>
      <c r="N2649" s="3"/>
      <c r="O2649" s="3"/>
      <c r="P2649" s="125"/>
      <c r="Q2649" s="125"/>
      <c r="R2649" s="127"/>
      <c r="S2649" s="123"/>
      <c r="T2649" s="3"/>
      <c r="W2649" s="86"/>
      <c r="Y2649" s="75"/>
    </row>
    <row r="2650" spans="1:25" x14ac:dyDescent="0.25">
      <c r="A2650" s="75"/>
      <c r="C2650" s="81"/>
      <c r="D2650" s="81"/>
      <c r="I2650" s="81"/>
      <c r="K2650" s="82"/>
      <c r="L2650" s="123"/>
      <c r="M2650" s="3"/>
      <c r="N2650" s="3"/>
      <c r="O2650" s="3"/>
      <c r="P2650" s="125"/>
      <c r="Q2650" s="125"/>
      <c r="R2650" s="127"/>
      <c r="S2650" s="123"/>
      <c r="T2650" s="3"/>
      <c r="W2650" s="86"/>
      <c r="Y2650" s="75"/>
    </row>
    <row r="2651" spans="1:25" x14ac:dyDescent="0.25">
      <c r="A2651" s="75"/>
      <c r="C2651" s="81"/>
      <c r="D2651" s="81"/>
      <c r="I2651" s="81"/>
      <c r="K2651" s="82"/>
      <c r="L2651" s="123"/>
      <c r="M2651" s="3"/>
      <c r="N2651" s="3"/>
      <c r="O2651" s="3"/>
      <c r="P2651" s="125"/>
      <c r="Q2651" s="125"/>
      <c r="R2651" s="127"/>
      <c r="S2651" s="123"/>
      <c r="T2651" s="3"/>
      <c r="W2651" s="86"/>
      <c r="Y2651" s="75"/>
    </row>
    <row r="2652" spans="1:25" x14ac:dyDescent="0.25">
      <c r="A2652" s="75"/>
      <c r="C2652" s="81"/>
      <c r="D2652" s="81"/>
      <c r="I2652" s="81"/>
      <c r="K2652" s="82"/>
      <c r="L2652" s="123"/>
      <c r="M2652" s="3"/>
      <c r="N2652" s="3"/>
      <c r="O2652" s="3"/>
      <c r="P2652" s="125"/>
      <c r="Q2652" s="125"/>
      <c r="R2652" s="127"/>
      <c r="S2652" s="123"/>
      <c r="T2652" s="3"/>
      <c r="W2652" s="86"/>
      <c r="Y2652" s="75"/>
    </row>
    <row r="2653" spans="1:25" x14ac:dyDescent="0.25">
      <c r="A2653" s="75"/>
      <c r="C2653" s="81"/>
      <c r="D2653" s="81"/>
      <c r="I2653" s="81"/>
      <c r="K2653" s="82"/>
      <c r="L2653" s="123"/>
      <c r="M2653" s="3"/>
      <c r="N2653" s="3"/>
      <c r="O2653" s="3"/>
      <c r="P2653" s="125"/>
      <c r="Q2653" s="125"/>
      <c r="R2653" s="127"/>
      <c r="S2653" s="123"/>
      <c r="T2653" s="3"/>
      <c r="W2653" s="86"/>
      <c r="Y2653" s="75"/>
    </row>
    <row r="2654" spans="1:25" x14ac:dyDescent="0.25">
      <c r="A2654" s="75"/>
      <c r="C2654" s="81"/>
      <c r="D2654" s="81"/>
      <c r="I2654" s="81"/>
      <c r="K2654" s="82"/>
      <c r="L2654" s="123"/>
      <c r="M2654" s="3"/>
      <c r="N2654" s="3"/>
      <c r="O2654" s="3"/>
      <c r="P2654" s="125"/>
      <c r="Q2654" s="125"/>
      <c r="R2654" s="127"/>
      <c r="S2654" s="123"/>
      <c r="T2654" s="3"/>
      <c r="W2654" s="86"/>
      <c r="Y2654" s="75"/>
    </row>
    <row r="2655" spans="1:25" x14ac:dyDescent="0.25">
      <c r="A2655" s="75"/>
      <c r="C2655" s="81"/>
      <c r="D2655" s="81"/>
      <c r="I2655" s="81"/>
      <c r="K2655" s="82"/>
      <c r="L2655" s="123"/>
      <c r="M2655" s="3"/>
      <c r="N2655" s="3"/>
      <c r="O2655" s="3"/>
      <c r="P2655" s="125"/>
      <c r="Q2655" s="125"/>
      <c r="R2655" s="127"/>
      <c r="S2655" s="123"/>
      <c r="T2655" s="3"/>
      <c r="W2655" s="86"/>
      <c r="Y2655" s="75"/>
    </row>
    <row r="2656" spans="1:25" x14ac:dyDescent="0.25">
      <c r="A2656" s="75"/>
      <c r="C2656" s="81"/>
      <c r="D2656" s="81"/>
      <c r="I2656" s="81"/>
      <c r="K2656" s="82"/>
      <c r="L2656" s="123"/>
      <c r="M2656" s="3"/>
      <c r="N2656" s="3"/>
      <c r="O2656" s="3"/>
      <c r="P2656" s="125"/>
      <c r="Q2656" s="125"/>
      <c r="R2656" s="127"/>
      <c r="S2656" s="123"/>
      <c r="T2656" s="3"/>
      <c r="W2656" s="86"/>
      <c r="Y2656" s="75"/>
    </row>
    <row r="2657" spans="1:25" x14ac:dyDescent="0.25">
      <c r="A2657" s="75"/>
      <c r="C2657" s="81"/>
      <c r="D2657" s="81"/>
      <c r="I2657" s="81"/>
      <c r="K2657" s="82"/>
      <c r="L2657" s="123"/>
      <c r="M2657" s="3"/>
      <c r="N2657" s="3"/>
      <c r="O2657" s="3"/>
      <c r="P2657" s="125"/>
      <c r="Q2657" s="125"/>
      <c r="R2657" s="127"/>
      <c r="S2657" s="123"/>
      <c r="T2657" s="3"/>
      <c r="W2657" s="86"/>
      <c r="Y2657" s="75"/>
    </row>
    <row r="2658" spans="1:25" x14ac:dyDescent="0.25">
      <c r="A2658" s="75"/>
      <c r="C2658" s="81"/>
      <c r="D2658" s="81"/>
      <c r="I2658" s="81"/>
      <c r="K2658" s="82"/>
      <c r="L2658" s="123"/>
      <c r="M2658" s="3"/>
      <c r="N2658" s="3"/>
      <c r="O2658" s="3"/>
      <c r="P2658" s="125"/>
      <c r="Q2658" s="125"/>
      <c r="R2658" s="127"/>
      <c r="S2658" s="123"/>
      <c r="T2658" s="3"/>
      <c r="W2658" s="86"/>
      <c r="Y2658" s="75"/>
    </row>
    <row r="2659" spans="1:25" x14ac:dyDescent="0.25">
      <c r="A2659" s="75"/>
      <c r="C2659" s="81"/>
      <c r="D2659" s="81"/>
      <c r="I2659" s="81"/>
      <c r="K2659" s="82"/>
      <c r="L2659" s="123"/>
      <c r="M2659" s="3"/>
      <c r="N2659" s="3"/>
      <c r="O2659" s="3"/>
      <c r="P2659" s="125"/>
      <c r="Q2659" s="125"/>
      <c r="R2659" s="127"/>
      <c r="S2659" s="123"/>
      <c r="T2659" s="3"/>
      <c r="W2659" s="86"/>
      <c r="Y2659" s="75"/>
    </row>
    <row r="2660" spans="1:25" x14ac:dyDescent="0.25">
      <c r="A2660" s="75"/>
      <c r="C2660" s="81"/>
      <c r="D2660" s="81"/>
      <c r="I2660" s="81"/>
      <c r="K2660" s="82"/>
      <c r="L2660" s="123"/>
      <c r="M2660" s="3"/>
      <c r="N2660" s="3"/>
      <c r="O2660" s="3"/>
      <c r="P2660" s="125"/>
      <c r="Q2660" s="125"/>
      <c r="R2660" s="127"/>
      <c r="S2660" s="123"/>
      <c r="T2660" s="3"/>
      <c r="W2660" s="86"/>
      <c r="Y2660" s="75"/>
    </row>
    <row r="2661" spans="1:25" x14ac:dyDescent="0.25">
      <c r="A2661" s="75"/>
      <c r="C2661" s="81"/>
      <c r="D2661" s="81"/>
      <c r="I2661" s="81"/>
      <c r="K2661" s="82"/>
      <c r="L2661" s="123"/>
      <c r="M2661" s="3"/>
      <c r="N2661" s="3"/>
      <c r="O2661" s="3"/>
      <c r="P2661" s="125"/>
      <c r="Q2661" s="125"/>
      <c r="R2661" s="127"/>
      <c r="S2661" s="123"/>
      <c r="T2661" s="3"/>
      <c r="W2661" s="86"/>
      <c r="Y2661" s="75"/>
    </row>
    <row r="2662" spans="1:25" x14ac:dyDescent="0.25">
      <c r="A2662" s="75"/>
      <c r="C2662" s="81"/>
      <c r="D2662" s="81"/>
      <c r="I2662" s="81"/>
      <c r="K2662" s="82"/>
      <c r="L2662" s="123"/>
      <c r="M2662" s="3"/>
      <c r="N2662" s="3"/>
      <c r="O2662" s="3"/>
      <c r="P2662" s="125"/>
      <c r="Q2662" s="125"/>
      <c r="R2662" s="127"/>
      <c r="S2662" s="123"/>
      <c r="T2662" s="3"/>
      <c r="W2662" s="86"/>
      <c r="Y2662" s="75"/>
    </row>
    <row r="2663" spans="1:25" x14ac:dyDescent="0.25">
      <c r="A2663" s="75"/>
      <c r="C2663" s="81"/>
      <c r="D2663" s="81"/>
      <c r="I2663" s="81"/>
      <c r="K2663" s="82"/>
      <c r="L2663" s="123"/>
      <c r="M2663" s="3"/>
      <c r="N2663" s="3"/>
      <c r="O2663" s="3"/>
      <c r="P2663" s="125"/>
      <c r="Q2663" s="125"/>
      <c r="R2663" s="127"/>
      <c r="S2663" s="123"/>
      <c r="T2663" s="3"/>
      <c r="W2663" s="86"/>
      <c r="Y2663" s="75"/>
    </row>
    <row r="2664" spans="1:25" x14ac:dyDescent="0.25">
      <c r="A2664" s="75"/>
      <c r="C2664" s="81"/>
      <c r="D2664" s="81"/>
      <c r="I2664" s="81"/>
      <c r="K2664" s="82"/>
      <c r="L2664" s="123"/>
      <c r="M2664" s="3"/>
      <c r="N2664" s="3"/>
      <c r="O2664" s="3"/>
      <c r="P2664" s="125"/>
      <c r="Q2664" s="125"/>
      <c r="R2664" s="127"/>
      <c r="S2664" s="123"/>
      <c r="T2664" s="3"/>
      <c r="W2664" s="86"/>
      <c r="Y2664" s="75"/>
    </row>
    <row r="2665" spans="1:25" x14ac:dyDescent="0.25">
      <c r="A2665" s="75"/>
      <c r="C2665" s="81"/>
      <c r="D2665" s="81"/>
      <c r="I2665" s="81"/>
      <c r="K2665" s="82"/>
      <c r="L2665" s="123"/>
      <c r="M2665" s="3"/>
      <c r="N2665" s="3"/>
      <c r="O2665" s="3"/>
      <c r="P2665" s="125"/>
      <c r="Q2665" s="125"/>
      <c r="R2665" s="127"/>
      <c r="S2665" s="123"/>
      <c r="T2665" s="3"/>
      <c r="W2665" s="86"/>
      <c r="Y2665" s="75"/>
    </row>
    <row r="2666" spans="1:25" x14ac:dyDescent="0.25">
      <c r="A2666" s="75"/>
      <c r="C2666" s="81"/>
      <c r="D2666" s="81"/>
      <c r="I2666" s="81"/>
      <c r="K2666" s="82"/>
      <c r="L2666" s="123"/>
      <c r="M2666" s="3"/>
      <c r="N2666" s="3"/>
      <c r="O2666" s="3"/>
      <c r="P2666" s="125"/>
      <c r="Q2666" s="125"/>
      <c r="R2666" s="127"/>
      <c r="S2666" s="123"/>
      <c r="T2666" s="3"/>
      <c r="W2666" s="86"/>
      <c r="Y2666" s="75"/>
    </row>
    <row r="2667" spans="1:25" x14ac:dyDescent="0.25">
      <c r="A2667" s="75"/>
      <c r="C2667" s="81"/>
      <c r="D2667" s="81"/>
      <c r="I2667" s="81"/>
      <c r="K2667" s="82"/>
      <c r="L2667" s="123"/>
      <c r="M2667" s="3"/>
      <c r="N2667" s="3"/>
      <c r="O2667" s="3"/>
      <c r="P2667" s="125"/>
      <c r="Q2667" s="125"/>
      <c r="R2667" s="127"/>
      <c r="S2667" s="123"/>
      <c r="T2667" s="3"/>
      <c r="W2667" s="86"/>
      <c r="Y2667" s="75"/>
    </row>
    <row r="2668" spans="1:25" x14ac:dyDescent="0.25">
      <c r="A2668" s="75"/>
      <c r="C2668" s="81"/>
      <c r="D2668" s="81"/>
      <c r="I2668" s="81"/>
      <c r="K2668" s="82"/>
      <c r="L2668" s="123"/>
      <c r="M2668" s="3"/>
      <c r="N2668" s="3"/>
      <c r="O2668" s="3"/>
      <c r="P2668" s="125"/>
      <c r="Q2668" s="125"/>
      <c r="R2668" s="127"/>
      <c r="S2668" s="123"/>
      <c r="T2668" s="3"/>
      <c r="W2668" s="86"/>
      <c r="Y2668" s="75"/>
    </row>
    <row r="2669" spans="1:25" x14ac:dyDescent="0.25">
      <c r="A2669" s="75"/>
      <c r="C2669" s="81"/>
      <c r="D2669" s="81"/>
      <c r="I2669" s="81"/>
      <c r="K2669" s="82"/>
      <c r="L2669" s="123"/>
      <c r="M2669" s="3"/>
      <c r="N2669" s="3"/>
      <c r="O2669" s="3"/>
      <c r="P2669" s="125"/>
      <c r="Q2669" s="125"/>
      <c r="R2669" s="127"/>
      <c r="S2669" s="123"/>
      <c r="T2669" s="3"/>
      <c r="W2669" s="86"/>
      <c r="Y2669" s="75"/>
    </row>
    <row r="2670" spans="1:25" x14ac:dyDescent="0.25">
      <c r="A2670" s="75"/>
      <c r="C2670" s="81"/>
      <c r="D2670" s="81"/>
      <c r="I2670" s="81"/>
      <c r="K2670" s="82"/>
      <c r="L2670" s="123"/>
      <c r="M2670" s="3"/>
      <c r="N2670" s="3"/>
      <c r="O2670" s="3"/>
      <c r="P2670" s="125"/>
      <c r="Q2670" s="125"/>
      <c r="R2670" s="127"/>
      <c r="S2670" s="123"/>
      <c r="T2670" s="3"/>
      <c r="W2670" s="86"/>
      <c r="Y2670" s="75"/>
    </row>
    <row r="2671" spans="1:25" x14ac:dyDescent="0.25">
      <c r="A2671" s="75"/>
      <c r="C2671" s="81"/>
      <c r="D2671" s="81"/>
      <c r="I2671" s="81"/>
      <c r="K2671" s="82"/>
      <c r="L2671" s="123"/>
      <c r="M2671" s="3"/>
      <c r="N2671" s="3"/>
      <c r="O2671" s="3"/>
      <c r="P2671" s="125"/>
      <c r="Q2671" s="125"/>
      <c r="R2671" s="127"/>
      <c r="S2671" s="123"/>
      <c r="T2671" s="3"/>
      <c r="W2671" s="86"/>
      <c r="Y2671" s="75"/>
    </row>
    <row r="2672" spans="1:25" x14ac:dyDescent="0.25">
      <c r="A2672" s="75"/>
      <c r="C2672" s="81"/>
      <c r="D2672" s="81"/>
      <c r="I2672" s="81"/>
      <c r="K2672" s="82"/>
      <c r="L2672" s="123"/>
      <c r="M2672" s="3"/>
      <c r="N2672" s="3"/>
      <c r="O2672" s="3"/>
      <c r="P2672" s="125"/>
      <c r="Q2672" s="125"/>
      <c r="R2672" s="127"/>
      <c r="S2672" s="123"/>
      <c r="T2672" s="3"/>
      <c r="W2672" s="86"/>
      <c r="Y2672" s="75"/>
    </row>
    <row r="2673" spans="1:25" x14ac:dyDescent="0.25">
      <c r="A2673" s="75"/>
      <c r="C2673" s="81"/>
      <c r="D2673" s="81"/>
      <c r="I2673" s="81"/>
      <c r="K2673" s="82"/>
      <c r="L2673" s="123"/>
      <c r="M2673" s="3"/>
      <c r="N2673" s="3"/>
      <c r="O2673" s="3"/>
      <c r="P2673" s="125"/>
      <c r="Q2673" s="125"/>
      <c r="R2673" s="127"/>
      <c r="S2673" s="123"/>
      <c r="T2673" s="3"/>
      <c r="W2673" s="86"/>
      <c r="Y2673" s="75"/>
    </row>
    <row r="2674" spans="1:25" x14ac:dyDescent="0.25">
      <c r="A2674" s="75"/>
      <c r="C2674" s="81"/>
      <c r="D2674" s="81"/>
      <c r="I2674" s="81"/>
      <c r="K2674" s="82"/>
      <c r="L2674" s="123"/>
      <c r="M2674" s="3"/>
      <c r="N2674" s="3"/>
      <c r="O2674" s="3"/>
      <c r="P2674" s="125"/>
      <c r="Q2674" s="125"/>
      <c r="R2674" s="127"/>
      <c r="S2674" s="123"/>
      <c r="T2674" s="3"/>
      <c r="W2674" s="86"/>
      <c r="Y2674" s="75"/>
    </row>
    <row r="2675" spans="1:25" x14ac:dyDescent="0.25">
      <c r="A2675" s="75"/>
      <c r="C2675" s="81"/>
      <c r="D2675" s="81"/>
      <c r="I2675" s="81"/>
      <c r="K2675" s="82"/>
      <c r="L2675" s="123"/>
      <c r="M2675" s="3"/>
      <c r="N2675" s="3"/>
      <c r="O2675" s="3"/>
      <c r="P2675" s="125"/>
      <c r="Q2675" s="125"/>
      <c r="R2675" s="127"/>
      <c r="S2675" s="123"/>
      <c r="T2675" s="3"/>
      <c r="W2675" s="86"/>
      <c r="Y2675" s="75"/>
    </row>
    <row r="2676" spans="1:25" x14ac:dyDescent="0.25">
      <c r="A2676" s="75"/>
      <c r="C2676" s="81"/>
      <c r="D2676" s="81"/>
      <c r="I2676" s="81"/>
      <c r="K2676" s="82"/>
      <c r="L2676" s="123"/>
      <c r="M2676" s="3"/>
      <c r="N2676" s="3"/>
      <c r="O2676" s="3"/>
      <c r="P2676" s="125"/>
      <c r="Q2676" s="125"/>
      <c r="R2676" s="127"/>
      <c r="S2676" s="123"/>
      <c r="T2676" s="3"/>
      <c r="W2676" s="86"/>
      <c r="Y2676" s="75"/>
    </row>
    <row r="2677" spans="1:25" x14ac:dyDescent="0.25">
      <c r="A2677" s="75"/>
      <c r="C2677" s="81"/>
      <c r="D2677" s="81"/>
      <c r="I2677" s="81"/>
      <c r="K2677" s="82"/>
      <c r="L2677" s="123"/>
      <c r="M2677" s="3"/>
      <c r="N2677" s="3"/>
      <c r="O2677" s="3"/>
      <c r="P2677" s="125"/>
      <c r="Q2677" s="125"/>
      <c r="R2677" s="127"/>
      <c r="S2677" s="123"/>
      <c r="T2677" s="3"/>
      <c r="W2677" s="86"/>
      <c r="Y2677" s="75"/>
    </row>
    <row r="2678" spans="1:25" x14ac:dyDescent="0.25">
      <c r="A2678" s="75"/>
      <c r="C2678" s="81"/>
      <c r="D2678" s="81"/>
      <c r="I2678" s="81"/>
      <c r="K2678" s="82"/>
      <c r="L2678" s="123"/>
      <c r="M2678" s="3"/>
      <c r="N2678" s="3"/>
      <c r="O2678" s="3"/>
      <c r="P2678" s="125"/>
      <c r="Q2678" s="125"/>
      <c r="R2678" s="127"/>
      <c r="S2678" s="123"/>
      <c r="T2678" s="3"/>
      <c r="W2678" s="86"/>
      <c r="Y2678" s="75"/>
    </row>
    <row r="2679" spans="1:25" x14ac:dyDescent="0.25">
      <c r="A2679" s="75"/>
      <c r="C2679" s="81"/>
      <c r="D2679" s="81"/>
      <c r="I2679" s="81"/>
      <c r="K2679" s="82"/>
      <c r="L2679" s="123"/>
      <c r="M2679" s="3"/>
      <c r="N2679" s="3"/>
      <c r="O2679" s="3"/>
      <c r="P2679" s="125"/>
      <c r="Q2679" s="125"/>
      <c r="R2679" s="127"/>
      <c r="S2679" s="123"/>
      <c r="T2679" s="3"/>
      <c r="W2679" s="86"/>
      <c r="Y2679" s="75"/>
    </row>
    <row r="2680" spans="1:25" x14ac:dyDescent="0.25">
      <c r="A2680" s="75"/>
      <c r="C2680" s="81"/>
      <c r="D2680" s="81"/>
      <c r="I2680" s="81"/>
      <c r="K2680" s="82"/>
      <c r="L2680" s="123"/>
      <c r="M2680" s="3"/>
      <c r="N2680" s="3"/>
      <c r="O2680" s="3"/>
      <c r="P2680" s="125"/>
      <c r="Q2680" s="125"/>
      <c r="R2680" s="127"/>
      <c r="S2680" s="123"/>
      <c r="T2680" s="3"/>
      <c r="W2680" s="86"/>
      <c r="Y2680" s="75"/>
    </row>
    <row r="2681" spans="1:25" x14ac:dyDescent="0.25">
      <c r="A2681" s="75"/>
      <c r="C2681" s="81"/>
      <c r="D2681" s="81"/>
      <c r="I2681" s="81"/>
      <c r="K2681" s="82"/>
      <c r="L2681" s="123"/>
      <c r="M2681" s="3"/>
      <c r="N2681" s="3"/>
      <c r="O2681" s="3"/>
      <c r="P2681" s="125"/>
      <c r="Q2681" s="125"/>
      <c r="R2681" s="127"/>
      <c r="S2681" s="123"/>
      <c r="T2681" s="3"/>
      <c r="W2681" s="86"/>
      <c r="Y2681" s="75"/>
    </row>
    <row r="2682" spans="1:25" x14ac:dyDescent="0.25">
      <c r="A2682" s="75"/>
      <c r="C2682" s="81"/>
      <c r="D2682" s="81"/>
      <c r="I2682" s="81"/>
      <c r="K2682" s="82"/>
      <c r="L2682" s="123"/>
      <c r="M2682" s="3"/>
      <c r="N2682" s="3"/>
      <c r="O2682" s="3"/>
      <c r="P2682" s="125"/>
      <c r="Q2682" s="125"/>
      <c r="R2682" s="127"/>
      <c r="S2682" s="123"/>
      <c r="T2682" s="3"/>
      <c r="W2682" s="86"/>
      <c r="Y2682" s="75"/>
    </row>
    <row r="2683" spans="1:25" x14ac:dyDescent="0.25">
      <c r="A2683" s="75"/>
      <c r="C2683" s="81"/>
      <c r="D2683" s="81"/>
      <c r="I2683" s="81"/>
      <c r="K2683" s="82"/>
      <c r="L2683" s="123"/>
      <c r="M2683" s="3"/>
      <c r="N2683" s="3"/>
      <c r="O2683" s="3"/>
      <c r="P2683" s="125"/>
      <c r="Q2683" s="125"/>
      <c r="R2683" s="127"/>
      <c r="S2683" s="123"/>
      <c r="T2683" s="3"/>
      <c r="W2683" s="86"/>
      <c r="Y2683" s="75"/>
    </row>
    <row r="2684" spans="1:25" x14ac:dyDescent="0.25">
      <c r="A2684" s="75"/>
      <c r="C2684" s="81"/>
      <c r="D2684" s="81"/>
      <c r="I2684" s="81"/>
      <c r="K2684" s="82"/>
      <c r="L2684" s="123"/>
      <c r="M2684" s="3"/>
      <c r="N2684" s="3"/>
      <c r="O2684" s="3"/>
      <c r="P2684" s="125"/>
      <c r="Q2684" s="125"/>
      <c r="R2684" s="127"/>
      <c r="S2684" s="123"/>
      <c r="T2684" s="3"/>
      <c r="W2684" s="86"/>
      <c r="Y2684" s="75"/>
    </row>
    <row r="2685" spans="1:25" x14ac:dyDescent="0.25">
      <c r="A2685" s="75"/>
      <c r="C2685" s="81"/>
      <c r="D2685" s="81"/>
      <c r="I2685" s="81"/>
      <c r="K2685" s="82"/>
      <c r="L2685" s="123"/>
      <c r="M2685" s="3"/>
      <c r="N2685" s="3"/>
      <c r="O2685" s="3"/>
      <c r="P2685" s="125"/>
      <c r="Q2685" s="125"/>
      <c r="R2685" s="127"/>
      <c r="S2685" s="123"/>
      <c r="T2685" s="3"/>
      <c r="W2685" s="86"/>
      <c r="Y2685" s="75"/>
    </row>
    <row r="2686" spans="1:25" x14ac:dyDescent="0.25">
      <c r="A2686" s="75"/>
      <c r="C2686" s="81"/>
      <c r="D2686" s="81"/>
      <c r="I2686" s="81"/>
      <c r="K2686" s="82"/>
      <c r="L2686" s="123"/>
      <c r="M2686" s="3"/>
      <c r="N2686" s="3"/>
      <c r="O2686" s="3"/>
      <c r="P2686" s="125"/>
      <c r="Q2686" s="125"/>
      <c r="R2686" s="127"/>
      <c r="S2686" s="123"/>
      <c r="T2686" s="3"/>
      <c r="W2686" s="86"/>
      <c r="Y2686" s="75"/>
    </row>
    <row r="2687" spans="1:25" x14ac:dyDescent="0.25">
      <c r="A2687" s="75"/>
      <c r="C2687" s="81"/>
      <c r="D2687" s="81"/>
      <c r="I2687" s="81"/>
      <c r="K2687" s="82"/>
      <c r="L2687" s="123"/>
      <c r="M2687" s="3"/>
      <c r="N2687" s="3"/>
      <c r="O2687" s="3"/>
      <c r="P2687" s="125"/>
      <c r="Q2687" s="125"/>
      <c r="R2687" s="127"/>
      <c r="S2687" s="123"/>
      <c r="T2687" s="3"/>
      <c r="W2687" s="86"/>
      <c r="Y2687" s="75"/>
    </row>
    <row r="2688" spans="1:25" x14ac:dyDescent="0.25">
      <c r="A2688" s="75"/>
      <c r="C2688" s="81"/>
      <c r="D2688" s="81"/>
      <c r="I2688" s="81"/>
      <c r="K2688" s="82"/>
      <c r="L2688" s="123"/>
      <c r="M2688" s="3"/>
      <c r="N2688" s="3"/>
      <c r="O2688" s="3"/>
      <c r="P2688" s="125"/>
      <c r="Q2688" s="125"/>
      <c r="R2688" s="127"/>
      <c r="S2688" s="123"/>
      <c r="T2688" s="3"/>
      <c r="W2688" s="86"/>
      <c r="Y2688" s="75"/>
    </row>
    <row r="2689" spans="1:25" x14ac:dyDescent="0.25">
      <c r="A2689" s="75"/>
      <c r="C2689" s="81"/>
      <c r="D2689" s="81"/>
      <c r="I2689" s="81"/>
      <c r="K2689" s="82"/>
      <c r="L2689" s="123"/>
      <c r="M2689" s="3"/>
      <c r="N2689" s="3"/>
      <c r="O2689" s="3"/>
      <c r="P2689" s="125"/>
      <c r="Q2689" s="125"/>
      <c r="R2689" s="127"/>
      <c r="S2689" s="123"/>
      <c r="T2689" s="3"/>
      <c r="W2689" s="86"/>
      <c r="Y2689" s="75"/>
    </row>
    <row r="2690" spans="1:25" x14ac:dyDescent="0.25">
      <c r="A2690" s="75"/>
      <c r="C2690" s="81"/>
      <c r="D2690" s="81"/>
      <c r="I2690" s="81"/>
      <c r="K2690" s="82"/>
      <c r="L2690" s="123"/>
      <c r="M2690" s="3"/>
      <c r="N2690" s="3"/>
      <c r="O2690" s="3"/>
      <c r="P2690" s="125"/>
      <c r="Q2690" s="125"/>
      <c r="R2690" s="127"/>
      <c r="S2690" s="123"/>
      <c r="T2690" s="3"/>
      <c r="W2690" s="86"/>
      <c r="Y2690" s="75"/>
    </row>
    <row r="2691" spans="1:25" x14ac:dyDescent="0.25">
      <c r="A2691" s="75"/>
      <c r="C2691" s="81"/>
      <c r="D2691" s="81"/>
      <c r="I2691" s="81"/>
      <c r="K2691" s="82"/>
      <c r="L2691" s="123"/>
      <c r="M2691" s="3"/>
      <c r="N2691" s="3"/>
      <c r="O2691" s="3"/>
      <c r="P2691" s="125"/>
      <c r="Q2691" s="125"/>
      <c r="R2691" s="127"/>
      <c r="S2691" s="123"/>
      <c r="T2691" s="3"/>
      <c r="W2691" s="86"/>
      <c r="Y2691" s="75"/>
    </row>
    <row r="2692" spans="1:25" x14ac:dyDescent="0.25">
      <c r="A2692" s="75"/>
      <c r="C2692" s="81"/>
      <c r="D2692" s="81"/>
      <c r="I2692" s="81"/>
      <c r="K2692" s="82"/>
      <c r="L2692" s="123"/>
      <c r="M2692" s="3"/>
      <c r="N2692" s="3"/>
      <c r="O2692" s="3"/>
      <c r="P2692" s="125"/>
      <c r="Q2692" s="125"/>
      <c r="R2692" s="127"/>
      <c r="S2692" s="123"/>
      <c r="T2692" s="3"/>
      <c r="W2692" s="86"/>
      <c r="Y2692" s="75"/>
    </row>
    <row r="2693" spans="1:25" x14ac:dyDescent="0.25">
      <c r="A2693" s="75"/>
      <c r="C2693" s="81"/>
      <c r="D2693" s="81"/>
      <c r="I2693" s="81"/>
      <c r="K2693" s="82"/>
      <c r="L2693" s="123"/>
      <c r="M2693" s="3"/>
      <c r="N2693" s="3"/>
      <c r="O2693" s="3"/>
      <c r="P2693" s="125"/>
      <c r="Q2693" s="125"/>
      <c r="R2693" s="127"/>
      <c r="S2693" s="123"/>
      <c r="T2693" s="3"/>
      <c r="W2693" s="86"/>
      <c r="Y2693" s="75"/>
    </row>
    <row r="2694" spans="1:25" x14ac:dyDescent="0.25">
      <c r="A2694" s="75"/>
      <c r="C2694" s="81"/>
      <c r="D2694" s="81"/>
      <c r="I2694" s="81"/>
      <c r="K2694" s="82"/>
      <c r="L2694" s="123"/>
      <c r="M2694" s="3"/>
      <c r="N2694" s="3"/>
      <c r="O2694" s="3"/>
      <c r="P2694" s="125"/>
      <c r="Q2694" s="125"/>
      <c r="R2694" s="127"/>
      <c r="S2694" s="123"/>
      <c r="T2694" s="3"/>
      <c r="W2694" s="86"/>
      <c r="Y2694" s="75"/>
    </row>
    <row r="2695" spans="1:25" x14ac:dyDescent="0.25">
      <c r="A2695" s="75"/>
      <c r="C2695" s="81"/>
      <c r="D2695" s="81"/>
      <c r="I2695" s="81"/>
      <c r="K2695" s="82"/>
      <c r="L2695" s="123"/>
      <c r="M2695" s="3"/>
      <c r="N2695" s="3"/>
      <c r="O2695" s="3"/>
      <c r="P2695" s="125"/>
      <c r="Q2695" s="125"/>
      <c r="R2695" s="127"/>
      <c r="S2695" s="123"/>
      <c r="T2695" s="3"/>
      <c r="W2695" s="86"/>
      <c r="Y2695" s="75"/>
    </row>
    <row r="2696" spans="1:25" x14ac:dyDescent="0.25">
      <c r="A2696" s="75"/>
      <c r="C2696" s="81"/>
      <c r="D2696" s="81"/>
      <c r="I2696" s="81"/>
      <c r="K2696" s="82"/>
      <c r="L2696" s="123"/>
      <c r="M2696" s="3"/>
      <c r="N2696" s="3"/>
      <c r="O2696" s="3"/>
      <c r="P2696" s="125"/>
      <c r="Q2696" s="125"/>
      <c r="R2696" s="127"/>
      <c r="S2696" s="123"/>
      <c r="T2696" s="3"/>
      <c r="W2696" s="86"/>
      <c r="Y2696" s="75"/>
    </row>
    <row r="2697" spans="1:25" x14ac:dyDescent="0.25">
      <c r="A2697" s="75"/>
      <c r="C2697" s="81"/>
      <c r="D2697" s="81"/>
      <c r="I2697" s="81"/>
      <c r="K2697" s="82"/>
      <c r="L2697" s="123"/>
      <c r="M2697" s="3"/>
      <c r="N2697" s="3"/>
      <c r="O2697" s="3"/>
      <c r="P2697" s="125"/>
      <c r="Q2697" s="125"/>
      <c r="R2697" s="127"/>
      <c r="S2697" s="123"/>
      <c r="T2697" s="3"/>
      <c r="W2697" s="86"/>
      <c r="Y2697" s="75"/>
    </row>
    <row r="2698" spans="1:25" x14ac:dyDescent="0.25">
      <c r="A2698" s="75"/>
      <c r="C2698" s="81"/>
      <c r="D2698" s="81"/>
      <c r="I2698" s="81"/>
      <c r="K2698" s="82"/>
      <c r="L2698" s="123"/>
      <c r="M2698" s="3"/>
      <c r="N2698" s="3"/>
      <c r="O2698" s="3"/>
      <c r="P2698" s="125"/>
      <c r="Q2698" s="125"/>
      <c r="R2698" s="127"/>
      <c r="S2698" s="123"/>
      <c r="T2698" s="3"/>
      <c r="W2698" s="86"/>
      <c r="Y2698" s="75"/>
    </row>
    <row r="2699" spans="1:25" x14ac:dyDescent="0.25">
      <c r="A2699" s="75"/>
      <c r="C2699" s="81"/>
      <c r="D2699" s="81"/>
      <c r="I2699" s="81"/>
      <c r="K2699" s="82"/>
      <c r="L2699" s="123"/>
      <c r="M2699" s="3"/>
      <c r="N2699" s="3"/>
      <c r="O2699" s="3"/>
      <c r="P2699" s="125"/>
      <c r="Q2699" s="125"/>
      <c r="R2699" s="127"/>
      <c r="S2699" s="123"/>
      <c r="T2699" s="3"/>
      <c r="W2699" s="86"/>
      <c r="Y2699" s="75"/>
    </row>
    <row r="2700" spans="1:25" x14ac:dyDescent="0.25">
      <c r="A2700" s="75"/>
      <c r="C2700" s="81"/>
      <c r="D2700" s="81"/>
      <c r="I2700" s="81"/>
      <c r="K2700" s="82"/>
      <c r="L2700" s="123"/>
      <c r="M2700" s="3"/>
      <c r="N2700" s="3"/>
      <c r="O2700" s="3"/>
      <c r="P2700" s="125"/>
      <c r="Q2700" s="125"/>
      <c r="R2700" s="127"/>
      <c r="S2700" s="123"/>
      <c r="T2700" s="3"/>
      <c r="W2700" s="86"/>
      <c r="Y2700" s="75"/>
    </row>
    <row r="2701" spans="1:25" x14ac:dyDescent="0.25">
      <c r="A2701" s="75"/>
      <c r="C2701" s="81"/>
      <c r="D2701" s="81"/>
      <c r="I2701" s="81"/>
      <c r="K2701" s="82"/>
      <c r="L2701" s="123"/>
      <c r="M2701" s="3"/>
      <c r="N2701" s="3"/>
      <c r="O2701" s="3"/>
      <c r="P2701" s="125"/>
      <c r="Q2701" s="125"/>
      <c r="R2701" s="127"/>
      <c r="S2701" s="123"/>
      <c r="T2701" s="3"/>
      <c r="W2701" s="86"/>
      <c r="Y2701" s="75"/>
    </row>
    <row r="2702" spans="1:25" x14ac:dyDescent="0.25">
      <c r="A2702" s="75"/>
      <c r="C2702" s="81"/>
      <c r="D2702" s="81"/>
      <c r="I2702" s="81"/>
      <c r="K2702" s="82"/>
      <c r="L2702" s="123"/>
      <c r="M2702" s="3"/>
      <c r="N2702" s="3"/>
      <c r="O2702" s="3"/>
      <c r="P2702" s="125"/>
      <c r="Q2702" s="125"/>
      <c r="R2702" s="127"/>
      <c r="S2702" s="123"/>
      <c r="T2702" s="3"/>
      <c r="W2702" s="86"/>
      <c r="Y2702" s="75"/>
    </row>
    <row r="2703" spans="1:25" x14ac:dyDescent="0.25">
      <c r="A2703" s="75"/>
      <c r="C2703" s="81"/>
      <c r="D2703" s="81"/>
      <c r="I2703" s="81"/>
      <c r="K2703" s="82"/>
      <c r="L2703" s="123"/>
      <c r="M2703" s="3"/>
      <c r="N2703" s="3"/>
      <c r="O2703" s="3"/>
      <c r="P2703" s="125"/>
      <c r="Q2703" s="125"/>
      <c r="R2703" s="127"/>
      <c r="S2703" s="123"/>
      <c r="T2703" s="3"/>
      <c r="W2703" s="86"/>
      <c r="Y2703" s="75"/>
    </row>
    <row r="2704" spans="1:25" x14ac:dyDescent="0.25">
      <c r="A2704" s="75"/>
      <c r="C2704" s="81"/>
      <c r="D2704" s="81"/>
      <c r="I2704" s="81"/>
      <c r="K2704" s="82"/>
      <c r="L2704" s="123"/>
      <c r="M2704" s="3"/>
      <c r="N2704" s="3"/>
      <c r="O2704" s="3"/>
      <c r="P2704" s="125"/>
      <c r="Q2704" s="125"/>
      <c r="R2704" s="127"/>
      <c r="S2704" s="123"/>
      <c r="T2704" s="3"/>
      <c r="W2704" s="86"/>
      <c r="Y2704" s="75"/>
    </row>
    <row r="2705" spans="1:25" x14ac:dyDescent="0.25">
      <c r="A2705" s="75"/>
      <c r="C2705" s="81"/>
      <c r="D2705" s="81"/>
      <c r="I2705" s="81"/>
      <c r="K2705" s="82"/>
      <c r="L2705" s="123"/>
      <c r="M2705" s="3"/>
      <c r="N2705" s="3"/>
      <c r="O2705" s="3"/>
      <c r="P2705" s="125"/>
      <c r="Q2705" s="125"/>
      <c r="R2705" s="127"/>
      <c r="S2705" s="123"/>
      <c r="T2705" s="3"/>
      <c r="W2705" s="86"/>
      <c r="Y2705" s="75"/>
    </row>
    <row r="2706" spans="1:25" x14ac:dyDescent="0.25">
      <c r="A2706" s="75"/>
      <c r="C2706" s="81"/>
      <c r="D2706" s="81"/>
      <c r="I2706" s="81"/>
      <c r="K2706" s="82"/>
      <c r="L2706" s="123"/>
      <c r="M2706" s="3"/>
      <c r="N2706" s="3"/>
      <c r="O2706" s="3"/>
      <c r="P2706" s="125"/>
      <c r="Q2706" s="125"/>
      <c r="R2706" s="127"/>
      <c r="S2706" s="123"/>
      <c r="T2706" s="3"/>
      <c r="W2706" s="86"/>
      <c r="Y2706" s="75"/>
    </row>
    <row r="2707" spans="1:25" x14ac:dyDescent="0.25">
      <c r="A2707" s="75"/>
      <c r="C2707" s="81"/>
      <c r="D2707" s="81"/>
      <c r="I2707" s="81"/>
      <c r="K2707" s="82"/>
      <c r="L2707" s="123"/>
      <c r="M2707" s="3"/>
      <c r="N2707" s="3"/>
      <c r="O2707" s="3"/>
      <c r="P2707" s="125"/>
      <c r="Q2707" s="125"/>
      <c r="R2707" s="127"/>
      <c r="S2707" s="123"/>
      <c r="T2707" s="3"/>
      <c r="W2707" s="86"/>
      <c r="Y2707" s="75"/>
    </row>
    <row r="2708" spans="1:25" x14ac:dyDescent="0.25">
      <c r="A2708" s="75"/>
      <c r="C2708" s="81"/>
      <c r="D2708" s="81"/>
      <c r="I2708" s="81"/>
      <c r="K2708" s="82"/>
      <c r="L2708" s="123"/>
      <c r="M2708" s="3"/>
      <c r="N2708" s="3"/>
      <c r="O2708" s="3"/>
      <c r="P2708" s="125"/>
      <c r="Q2708" s="125"/>
      <c r="R2708" s="127"/>
      <c r="S2708" s="123"/>
      <c r="T2708" s="3"/>
      <c r="W2708" s="86"/>
      <c r="Y2708" s="75"/>
    </row>
    <row r="2709" spans="1:25" x14ac:dyDescent="0.25">
      <c r="A2709" s="75"/>
      <c r="C2709" s="81"/>
      <c r="D2709" s="81"/>
      <c r="I2709" s="81"/>
      <c r="K2709" s="82"/>
      <c r="L2709" s="123"/>
      <c r="M2709" s="3"/>
      <c r="N2709" s="3"/>
      <c r="O2709" s="3"/>
      <c r="P2709" s="125"/>
      <c r="Q2709" s="125"/>
      <c r="R2709" s="127"/>
      <c r="S2709" s="123"/>
      <c r="T2709" s="3"/>
      <c r="W2709" s="86"/>
      <c r="Y2709" s="75"/>
    </row>
    <row r="2710" spans="1:25" x14ac:dyDescent="0.25">
      <c r="A2710" s="75"/>
      <c r="C2710" s="81"/>
      <c r="D2710" s="81"/>
      <c r="I2710" s="81"/>
      <c r="K2710" s="82"/>
      <c r="L2710" s="123"/>
      <c r="M2710" s="3"/>
      <c r="N2710" s="3"/>
      <c r="O2710" s="3"/>
      <c r="P2710" s="125"/>
      <c r="Q2710" s="125"/>
      <c r="R2710" s="127"/>
      <c r="S2710" s="123"/>
      <c r="T2710" s="3"/>
      <c r="W2710" s="86"/>
      <c r="Y2710" s="75"/>
    </row>
    <row r="2711" spans="1:25" x14ac:dyDescent="0.25">
      <c r="A2711" s="75"/>
      <c r="C2711" s="81"/>
      <c r="D2711" s="81"/>
      <c r="I2711" s="81"/>
      <c r="K2711" s="82"/>
      <c r="L2711" s="123"/>
      <c r="M2711" s="3"/>
      <c r="N2711" s="3"/>
      <c r="O2711" s="3"/>
      <c r="P2711" s="125"/>
      <c r="Q2711" s="125"/>
      <c r="R2711" s="127"/>
      <c r="S2711" s="123"/>
      <c r="T2711" s="3"/>
      <c r="W2711" s="86"/>
      <c r="Y2711" s="75"/>
    </row>
    <row r="2712" spans="1:25" x14ac:dyDescent="0.25">
      <c r="A2712" s="75"/>
      <c r="C2712" s="81"/>
      <c r="D2712" s="81"/>
      <c r="I2712" s="81"/>
      <c r="K2712" s="82"/>
      <c r="L2712" s="123"/>
      <c r="M2712" s="3"/>
      <c r="N2712" s="3"/>
      <c r="O2712" s="3"/>
      <c r="P2712" s="125"/>
      <c r="Q2712" s="125"/>
      <c r="R2712" s="127"/>
      <c r="S2712" s="123"/>
      <c r="T2712" s="3"/>
      <c r="W2712" s="86"/>
      <c r="Y2712" s="75"/>
    </row>
    <row r="2713" spans="1:25" x14ac:dyDescent="0.25">
      <c r="A2713" s="75"/>
      <c r="C2713" s="81"/>
      <c r="D2713" s="81"/>
      <c r="I2713" s="81"/>
      <c r="K2713" s="82"/>
      <c r="L2713" s="123"/>
      <c r="M2713" s="3"/>
      <c r="N2713" s="3"/>
      <c r="O2713" s="3"/>
      <c r="P2713" s="125"/>
      <c r="Q2713" s="125"/>
      <c r="R2713" s="127"/>
      <c r="S2713" s="123"/>
      <c r="T2713" s="3"/>
      <c r="W2713" s="86"/>
      <c r="Y2713" s="75"/>
    </row>
    <row r="2714" spans="1:25" x14ac:dyDescent="0.25">
      <c r="A2714" s="75"/>
      <c r="C2714" s="81"/>
      <c r="D2714" s="81"/>
      <c r="I2714" s="81"/>
      <c r="K2714" s="82"/>
      <c r="L2714" s="123"/>
      <c r="M2714" s="3"/>
      <c r="N2714" s="3"/>
      <c r="O2714" s="3"/>
      <c r="P2714" s="125"/>
      <c r="Q2714" s="125"/>
      <c r="R2714" s="127"/>
      <c r="S2714" s="123"/>
      <c r="T2714" s="3"/>
      <c r="W2714" s="86"/>
      <c r="Y2714" s="75"/>
    </row>
    <row r="2715" spans="1:25" x14ac:dyDescent="0.25">
      <c r="A2715" s="75"/>
      <c r="C2715" s="81"/>
      <c r="D2715" s="81"/>
      <c r="I2715" s="81"/>
      <c r="K2715" s="82"/>
      <c r="L2715" s="123"/>
      <c r="M2715" s="3"/>
      <c r="N2715" s="3"/>
      <c r="O2715" s="3"/>
      <c r="P2715" s="125"/>
      <c r="Q2715" s="125"/>
      <c r="R2715" s="127"/>
      <c r="S2715" s="123"/>
      <c r="T2715" s="3"/>
      <c r="W2715" s="86"/>
      <c r="Y2715" s="75"/>
    </row>
    <row r="2716" spans="1:25" x14ac:dyDescent="0.25">
      <c r="A2716" s="75"/>
      <c r="C2716" s="81"/>
      <c r="D2716" s="81"/>
      <c r="I2716" s="81"/>
      <c r="K2716" s="82"/>
      <c r="L2716" s="123"/>
      <c r="M2716" s="3"/>
      <c r="N2716" s="3"/>
      <c r="O2716" s="3"/>
      <c r="P2716" s="125"/>
      <c r="Q2716" s="125"/>
      <c r="R2716" s="127"/>
      <c r="S2716" s="123"/>
      <c r="T2716" s="3"/>
      <c r="W2716" s="86"/>
      <c r="Y2716" s="75"/>
    </row>
    <row r="2717" spans="1:25" x14ac:dyDescent="0.25">
      <c r="A2717" s="75"/>
      <c r="C2717" s="81"/>
      <c r="D2717" s="81"/>
      <c r="I2717" s="81"/>
      <c r="K2717" s="82"/>
      <c r="L2717" s="123"/>
      <c r="M2717" s="3"/>
      <c r="N2717" s="3"/>
      <c r="O2717" s="3"/>
      <c r="P2717" s="125"/>
      <c r="Q2717" s="125"/>
      <c r="R2717" s="127"/>
      <c r="S2717" s="123"/>
      <c r="T2717" s="3"/>
      <c r="W2717" s="86"/>
      <c r="Y2717" s="75"/>
    </row>
    <row r="2718" spans="1:25" x14ac:dyDescent="0.25">
      <c r="A2718" s="75"/>
      <c r="C2718" s="81"/>
      <c r="D2718" s="81"/>
      <c r="I2718" s="81"/>
      <c r="K2718" s="82"/>
      <c r="L2718" s="123"/>
      <c r="M2718" s="3"/>
      <c r="N2718" s="3"/>
      <c r="O2718" s="3"/>
      <c r="P2718" s="125"/>
      <c r="Q2718" s="125"/>
      <c r="R2718" s="127"/>
      <c r="S2718" s="123"/>
      <c r="T2718" s="3"/>
      <c r="W2718" s="86"/>
      <c r="Y2718" s="75"/>
    </row>
    <row r="2719" spans="1:25" x14ac:dyDescent="0.25">
      <c r="A2719" s="75"/>
      <c r="C2719" s="81"/>
      <c r="D2719" s="81"/>
      <c r="I2719" s="81"/>
      <c r="K2719" s="82"/>
      <c r="L2719" s="123"/>
      <c r="M2719" s="3"/>
      <c r="N2719" s="3"/>
      <c r="O2719" s="3"/>
      <c r="P2719" s="125"/>
      <c r="Q2719" s="125"/>
      <c r="R2719" s="127"/>
      <c r="S2719" s="123"/>
      <c r="T2719" s="3"/>
      <c r="W2719" s="86"/>
      <c r="Y2719" s="75"/>
    </row>
    <row r="2720" spans="1:25" x14ac:dyDescent="0.25">
      <c r="A2720" s="75"/>
      <c r="C2720" s="81"/>
      <c r="D2720" s="81"/>
      <c r="I2720" s="81"/>
      <c r="K2720" s="82"/>
      <c r="L2720" s="123"/>
      <c r="M2720" s="3"/>
      <c r="N2720" s="3"/>
      <c r="O2720" s="3"/>
      <c r="P2720" s="125"/>
      <c r="Q2720" s="125"/>
      <c r="R2720" s="127"/>
      <c r="S2720" s="123"/>
      <c r="T2720" s="3"/>
      <c r="W2720" s="86"/>
      <c r="Y2720" s="75"/>
    </row>
    <row r="2721" spans="1:25" x14ac:dyDescent="0.25">
      <c r="A2721" s="75"/>
      <c r="C2721" s="81"/>
      <c r="D2721" s="81"/>
      <c r="I2721" s="81"/>
      <c r="K2721" s="82"/>
      <c r="L2721" s="123"/>
      <c r="M2721" s="3"/>
      <c r="N2721" s="3"/>
      <c r="O2721" s="3"/>
      <c r="P2721" s="125"/>
      <c r="Q2721" s="125"/>
      <c r="R2721" s="127"/>
      <c r="S2721" s="123"/>
      <c r="T2721" s="3"/>
      <c r="W2721" s="86"/>
      <c r="Y2721" s="75"/>
    </row>
    <row r="2722" spans="1:25" x14ac:dyDescent="0.25">
      <c r="A2722" s="75"/>
      <c r="C2722" s="81"/>
      <c r="D2722" s="81"/>
      <c r="I2722" s="81"/>
      <c r="K2722" s="82"/>
      <c r="L2722" s="123"/>
      <c r="M2722" s="3"/>
      <c r="N2722" s="3"/>
      <c r="O2722" s="3"/>
      <c r="P2722" s="125"/>
      <c r="Q2722" s="125"/>
      <c r="R2722" s="127"/>
      <c r="S2722" s="123"/>
      <c r="T2722" s="3"/>
      <c r="W2722" s="86"/>
      <c r="Y2722" s="75"/>
    </row>
    <row r="2723" spans="1:25" x14ac:dyDescent="0.25">
      <c r="A2723" s="75"/>
      <c r="C2723" s="81"/>
      <c r="D2723" s="81"/>
      <c r="I2723" s="81"/>
      <c r="K2723" s="82"/>
      <c r="L2723" s="123"/>
      <c r="M2723" s="3"/>
      <c r="N2723" s="3"/>
      <c r="O2723" s="3"/>
      <c r="P2723" s="125"/>
      <c r="Q2723" s="125"/>
      <c r="R2723" s="127"/>
      <c r="S2723" s="123"/>
      <c r="T2723" s="3"/>
      <c r="W2723" s="86"/>
      <c r="Y2723" s="75"/>
    </row>
    <row r="2724" spans="1:25" x14ac:dyDescent="0.25">
      <c r="A2724" s="75"/>
      <c r="C2724" s="81"/>
      <c r="D2724" s="81"/>
      <c r="I2724" s="81"/>
      <c r="K2724" s="82"/>
      <c r="L2724" s="123"/>
      <c r="M2724" s="3"/>
      <c r="N2724" s="3"/>
      <c r="O2724" s="3"/>
      <c r="P2724" s="125"/>
      <c r="Q2724" s="125"/>
      <c r="R2724" s="127"/>
      <c r="S2724" s="123"/>
      <c r="T2724" s="3"/>
      <c r="W2724" s="86"/>
      <c r="Y2724" s="75"/>
    </row>
    <row r="2725" spans="1:25" x14ac:dyDescent="0.25">
      <c r="A2725" s="75"/>
      <c r="C2725" s="81"/>
      <c r="D2725" s="81"/>
      <c r="I2725" s="81"/>
      <c r="K2725" s="82"/>
      <c r="L2725" s="123"/>
      <c r="M2725" s="3"/>
      <c r="N2725" s="3"/>
      <c r="O2725" s="3"/>
      <c r="P2725" s="125"/>
      <c r="Q2725" s="125"/>
      <c r="R2725" s="127"/>
      <c r="S2725" s="123"/>
      <c r="T2725" s="3"/>
      <c r="W2725" s="86"/>
      <c r="Y2725" s="75"/>
    </row>
    <row r="2726" spans="1:25" x14ac:dyDescent="0.25">
      <c r="A2726" s="75"/>
      <c r="C2726" s="81"/>
      <c r="D2726" s="81"/>
      <c r="I2726" s="81"/>
      <c r="K2726" s="82"/>
      <c r="L2726" s="123"/>
      <c r="M2726" s="3"/>
      <c r="N2726" s="3"/>
      <c r="O2726" s="3"/>
      <c r="P2726" s="125"/>
      <c r="Q2726" s="125"/>
      <c r="R2726" s="127"/>
      <c r="S2726" s="123"/>
      <c r="T2726" s="3"/>
      <c r="W2726" s="86"/>
      <c r="Y2726" s="75"/>
    </row>
    <row r="2727" spans="1:25" x14ac:dyDescent="0.25">
      <c r="A2727" s="75"/>
      <c r="C2727" s="81"/>
      <c r="D2727" s="81"/>
      <c r="I2727" s="81"/>
      <c r="K2727" s="82"/>
      <c r="L2727" s="123"/>
      <c r="M2727" s="3"/>
      <c r="N2727" s="3"/>
      <c r="O2727" s="3"/>
      <c r="P2727" s="125"/>
      <c r="Q2727" s="125"/>
      <c r="R2727" s="127"/>
      <c r="S2727" s="123"/>
      <c r="T2727" s="3"/>
      <c r="W2727" s="86"/>
      <c r="Y2727" s="75"/>
    </row>
    <row r="2728" spans="1:25" x14ac:dyDescent="0.25">
      <c r="A2728" s="75"/>
      <c r="C2728" s="81"/>
      <c r="D2728" s="81"/>
      <c r="I2728" s="81"/>
      <c r="K2728" s="82"/>
      <c r="L2728" s="123"/>
      <c r="M2728" s="3"/>
      <c r="N2728" s="3"/>
      <c r="O2728" s="3"/>
      <c r="P2728" s="125"/>
      <c r="Q2728" s="125"/>
      <c r="R2728" s="127"/>
      <c r="S2728" s="123"/>
      <c r="T2728" s="3"/>
      <c r="W2728" s="86"/>
      <c r="Y2728" s="75"/>
    </row>
    <row r="2729" spans="1:25" x14ac:dyDescent="0.25">
      <c r="A2729" s="75"/>
      <c r="C2729" s="81"/>
      <c r="D2729" s="81"/>
      <c r="I2729" s="81"/>
      <c r="K2729" s="82"/>
      <c r="L2729" s="123"/>
      <c r="M2729" s="3"/>
      <c r="N2729" s="3"/>
      <c r="O2729" s="3"/>
      <c r="P2729" s="125"/>
      <c r="Q2729" s="125"/>
      <c r="R2729" s="127"/>
      <c r="S2729" s="123"/>
      <c r="T2729" s="3"/>
      <c r="W2729" s="86"/>
      <c r="Y2729" s="75"/>
    </row>
    <row r="2730" spans="1:25" x14ac:dyDescent="0.25">
      <c r="A2730" s="75"/>
      <c r="C2730" s="81"/>
      <c r="D2730" s="81"/>
      <c r="I2730" s="81"/>
      <c r="K2730" s="82"/>
      <c r="L2730" s="123"/>
      <c r="M2730" s="3"/>
      <c r="N2730" s="3"/>
      <c r="O2730" s="3"/>
      <c r="P2730" s="125"/>
      <c r="Q2730" s="125"/>
      <c r="R2730" s="127"/>
      <c r="S2730" s="123"/>
      <c r="T2730" s="3"/>
      <c r="W2730" s="86"/>
      <c r="Y2730" s="75"/>
    </row>
    <row r="2731" spans="1:25" x14ac:dyDescent="0.25">
      <c r="A2731" s="75"/>
      <c r="C2731" s="81"/>
      <c r="D2731" s="81"/>
      <c r="I2731" s="81"/>
      <c r="K2731" s="82"/>
      <c r="L2731" s="123"/>
      <c r="M2731" s="3"/>
      <c r="N2731" s="3"/>
      <c r="O2731" s="3"/>
      <c r="P2731" s="125"/>
      <c r="Q2731" s="125"/>
      <c r="R2731" s="127"/>
      <c r="S2731" s="123"/>
      <c r="T2731" s="3"/>
      <c r="W2731" s="86"/>
      <c r="Y2731" s="75"/>
    </row>
    <row r="2732" spans="1:25" x14ac:dyDescent="0.25">
      <c r="A2732" s="75"/>
      <c r="C2732" s="81"/>
      <c r="D2732" s="81"/>
      <c r="I2732" s="81"/>
      <c r="K2732" s="82"/>
      <c r="L2732" s="123"/>
      <c r="M2732" s="3"/>
      <c r="N2732" s="3"/>
      <c r="O2732" s="3"/>
      <c r="P2732" s="125"/>
      <c r="Q2732" s="125"/>
      <c r="R2732" s="127"/>
      <c r="S2732" s="123"/>
      <c r="T2732" s="3"/>
      <c r="W2732" s="86"/>
      <c r="Y2732" s="75"/>
    </row>
    <row r="2733" spans="1:25" x14ac:dyDescent="0.25">
      <c r="A2733" s="75"/>
      <c r="C2733" s="81"/>
      <c r="D2733" s="81"/>
      <c r="I2733" s="81"/>
      <c r="K2733" s="82"/>
      <c r="L2733" s="123"/>
      <c r="M2733" s="3"/>
      <c r="N2733" s="3"/>
      <c r="O2733" s="3"/>
      <c r="P2733" s="125"/>
      <c r="Q2733" s="125"/>
      <c r="R2733" s="127"/>
      <c r="S2733" s="123"/>
      <c r="T2733" s="3"/>
      <c r="W2733" s="86"/>
      <c r="Y2733" s="75"/>
    </row>
    <row r="2734" spans="1:25" x14ac:dyDescent="0.25">
      <c r="A2734" s="75"/>
      <c r="C2734" s="81"/>
      <c r="D2734" s="81"/>
      <c r="I2734" s="81"/>
      <c r="K2734" s="82"/>
      <c r="L2734" s="123"/>
      <c r="M2734" s="3"/>
      <c r="N2734" s="3"/>
      <c r="O2734" s="3"/>
      <c r="P2734" s="125"/>
      <c r="Q2734" s="125"/>
      <c r="R2734" s="127"/>
      <c r="S2734" s="123"/>
      <c r="T2734" s="3"/>
      <c r="W2734" s="86"/>
      <c r="Y2734" s="75"/>
    </row>
    <row r="2735" spans="1:25" x14ac:dyDescent="0.25">
      <c r="A2735" s="75"/>
      <c r="C2735" s="81"/>
      <c r="D2735" s="81"/>
      <c r="I2735" s="81"/>
      <c r="K2735" s="82"/>
      <c r="L2735" s="123"/>
      <c r="M2735" s="3"/>
      <c r="N2735" s="3"/>
      <c r="O2735" s="3"/>
      <c r="P2735" s="125"/>
      <c r="Q2735" s="125"/>
      <c r="R2735" s="127"/>
      <c r="S2735" s="123"/>
      <c r="T2735" s="3"/>
      <c r="W2735" s="86"/>
      <c r="Y2735" s="75"/>
    </row>
    <row r="2736" spans="1:25" x14ac:dyDescent="0.25">
      <c r="A2736" s="75"/>
      <c r="C2736" s="81"/>
      <c r="D2736" s="81"/>
      <c r="I2736" s="81"/>
      <c r="K2736" s="82"/>
      <c r="L2736" s="123"/>
      <c r="M2736" s="3"/>
      <c r="N2736" s="3"/>
      <c r="O2736" s="3"/>
      <c r="P2736" s="125"/>
      <c r="Q2736" s="125"/>
      <c r="R2736" s="127"/>
      <c r="S2736" s="123"/>
      <c r="T2736" s="3"/>
      <c r="W2736" s="86"/>
      <c r="Y2736" s="75"/>
    </row>
    <row r="2737" spans="1:25" x14ac:dyDescent="0.25">
      <c r="A2737" s="75"/>
      <c r="C2737" s="81"/>
      <c r="D2737" s="81"/>
      <c r="I2737" s="81"/>
      <c r="K2737" s="82"/>
      <c r="L2737" s="123"/>
      <c r="M2737" s="3"/>
      <c r="N2737" s="3"/>
      <c r="O2737" s="3"/>
      <c r="P2737" s="125"/>
      <c r="Q2737" s="125"/>
      <c r="R2737" s="127"/>
      <c r="S2737" s="123"/>
      <c r="T2737" s="3"/>
      <c r="W2737" s="86"/>
      <c r="Y2737" s="75"/>
    </row>
    <row r="2738" spans="1:25" x14ac:dyDescent="0.25">
      <c r="A2738" s="75"/>
      <c r="C2738" s="81"/>
      <c r="D2738" s="81"/>
      <c r="I2738" s="81"/>
      <c r="K2738" s="82"/>
      <c r="L2738" s="123"/>
      <c r="M2738" s="3"/>
      <c r="N2738" s="3"/>
      <c r="O2738" s="3"/>
      <c r="P2738" s="125"/>
      <c r="Q2738" s="125"/>
      <c r="R2738" s="127"/>
      <c r="S2738" s="123"/>
      <c r="T2738" s="3"/>
      <c r="W2738" s="86"/>
      <c r="Y2738" s="75"/>
    </row>
    <row r="2739" spans="1:25" x14ac:dyDescent="0.25">
      <c r="A2739" s="75"/>
      <c r="C2739" s="81"/>
      <c r="D2739" s="81"/>
      <c r="I2739" s="81"/>
      <c r="K2739" s="82"/>
      <c r="L2739" s="123"/>
      <c r="M2739" s="3"/>
      <c r="N2739" s="3"/>
      <c r="O2739" s="3"/>
      <c r="P2739" s="125"/>
      <c r="Q2739" s="125"/>
      <c r="R2739" s="127"/>
      <c r="S2739" s="123"/>
      <c r="T2739" s="3"/>
      <c r="W2739" s="86"/>
      <c r="Y2739" s="75"/>
    </row>
    <row r="2740" spans="1:25" x14ac:dyDescent="0.25">
      <c r="A2740" s="75"/>
      <c r="C2740" s="81"/>
      <c r="D2740" s="81"/>
      <c r="I2740" s="81"/>
      <c r="K2740" s="82"/>
      <c r="L2740" s="123"/>
      <c r="M2740" s="3"/>
      <c r="N2740" s="3"/>
      <c r="O2740" s="3"/>
      <c r="P2740" s="125"/>
      <c r="Q2740" s="125"/>
      <c r="R2740" s="127"/>
      <c r="S2740" s="123"/>
      <c r="T2740" s="3"/>
      <c r="W2740" s="86"/>
      <c r="Y2740" s="75"/>
    </row>
    <row r="2741" spans="1:25" x14ac:dyDescent="0.25">
      <c r="A2741" s="75"/>
      <c r="C2741" s="81"/>
      <c r="D2741" s="81"/>
      <c r="I2741" s="81"/>
      <c r="K2741" s="82"/>
      <c r="L2741" s="123"/>
      <c r="M2741" s="3"/>
      <c r="N2741" s="3"/>
      <c r="O2741" s="3"/>
      <c r="P2741" s="125"/>
      <c r="Q2741" s="125"/>
      <c r="R2741" s="127"/>
      <c r="S2741" s="123"/>
      <c r="T2741" s="3"/>
      <c r="W2741" s="86"/>
      <c r="Y2741" s="75"/>
    </row>
    <row r="2742" spans="1:25" x14ac:dyDescent="0.25">
      <c r="A2742" s="75"/>
      <c r="C2742" s="81"/>
      <c r="D2742" s="81"/>
      <c r="I2742" s="81"/>
      <c r="K2742" s="82"/>
      <c r="L2742" s="123"/>
      <c r="M2742" s="3"/>
      <c r="N2742" s="3"/>
      <c r="O2742" s="3"/>
      <c r="P2742" s="125"/>
      <c r="Q2742" s="125"/>
      <c r="R2742" s="127"/>
      <c r="S2742" s="123"/>
      <c r="T2742" s="3"/>
      <c r="W2742" s="86"/>
      <c r="Y2742" s="75"/>
    </row>
    <row r="2743" spans="1:25" x14ac:dyDescent="0.25">
      <c r="A2743" s="75"/>
      <c r="C2743" s="81"/>
      <c r="D2743" s="81"/>
      <c r="I2743" s="81"/>
      <c r="K2743" s="82"/>
      <c r="L2743" s="123"/>
      <c r="M2743" s="3"/>
      <c r="N2743" s="3"/>
      <c r="O2743" s="3"/>
      <c r="P2743" s="125"/>
      <c r="Q2743" s="125"/>
      <c r="R2743" s="127"/>
      <c r="S2743" s="123"/>
      <c r="T2743" s="3"/>
      <c r="W2743" s="86"/>
      <c r="Y2743" s="75"/>
    </row>
    <row r="2744" spans="1:25" x14ac:dyDescent="0.25">
      <c r="A2744" s="75"/>
      <c r="C2744" s="81"/>
      <c r="D2744" s="81"/>
      <c r="I2744" s="81"/>
      <c r="K2744" s="82"/>
      <c r="L2744" s="123"/>
      <c r="M2744" s="3"/>
      <c r="N2744" s="3"/>
      <c r="O2744" s="3"/>
      <c r="P2744" s="125"/>
      <c r="Q2744" s="125"/>
      <c r="R2744" s="127"/>
      <c r="S2744" s="123"/>
      <c r="T2744" s="3"/>
      <c r="W2744" s="86"/>
      <c r="Y2744" s="75"/>
    </row>
    <row r="2745" spans="1:25" x14ac:dyDescent="0.25">
      <c r="A2745" s="75"/>
      <c r="C2745" s="81"/>
      <c r="D2745" s="81"/>
      <c r="I2745" s="81"/>
      <c r="K2745" s="82"/>
      <c r="L2745" s="123"/>
      <c r="M2745" s="3"/>
      <c r="N2745" s="3"/>
      <c r="O2745" s="3"/>
      <c r="P2745" s="125"/>
      <c r="Q2745" s="125"/>
      <c r="R2745" s="127"/>
      <c r="S2745" s="123"/>
      <c r="T2745" s="3"/>
      <c r="W2745" s="86"/>
      <c r="Y2745" s="75"/>
    </row>
    <row r="2746" spans="1:25" x14ac:dyDescent="0.25">
      <c r="A2746" s="75"/>
      <c r="C2746" s="81"/>
      <c r="D2746" s="81"/>
      <c r="I2746" s="81"/>
      <c r="K2746" s="82"/>
      <c r="L2746" s="123"/>
      <c r="M2746" s="3"/>
      <c r="N2746" s="3"/>
      <c r="O2746" s="3"/>
      <c r="P2746" s="125"/>
      <c r="Q2746" s="125"/>
      <c r="R2746" s="127"/>
      <c r="S2746" s="123"/>
      <c r="T2746" s="3"/>
      <c r="W2746" s="86"/>
      <c r="Y2746" s="75"/>
    </row>
    <row r="2747" spans="1:25" x14ac:dyDescent="0.25">
      <c r="A2747" s="75"/>
      <c r="C2747" s="81"/>
      <c r="D2747" s="81"/>
      <c r="I2747" s="81"/>
      <c r="K2747" s="82"/>
      <c r="L2747" s="123"/>
      <c r="M2747" s="3"/>
      <c r="N2747" s="3"/>
      <c r="O2747" s="3"/>
      <c r="P2747" s="125"/>
      <c r="Q2747" s="125"/>
      <c r="R2747" s="127"/>
      <c r="S2747" s="123"/>
      <c r="T2747" s="3"/>
      <c r="W2747" s="86"/>
      <c r="Y2747" s="75"/>
    </row>
    <row r="2748" spans="1:25" x14ac:dyDescent="0.25">
      <c r="A2748" s="75"/>
      <c r="C2748" s="81"/>
      <c r="D2748" s="81"/>
      <c r="I2748" s="81"/>
      <c r="K2748" s="82"/>
      <c r="L2748" s="123"/>
      <c r="M2748" s="3"/>
      <c r="N2748" s="3"/>
      <c r="O2748" s="3"/>
      <c r="P2748" s="125"/>
      <c r="Q2748" s="125"/>
      <c r="R2748" s="127"/>
      <c r="S2748" s="123"/>
      <c r="T2748" s="3"/>
      <c r="W2748" s="86"/>
      <c r="Y2748" s="75"/>
    </row>
    <row r="2749" spans="1:25" x14ac:dyDescent="0.25">
      <c r="A2749" s="75"/>
      <c r="C2749" s="81"/>
      <c r="D2749" s="81"/>
      <c r="I2749" s="81"/>
      <c r="K2749" s="82"/>
      <c r="L2749" s="123"/>
      <c r="M2749" s="3"/>
      <c r="N2749" s="3"/>
      <c r="O2749" s="3"/>
      <c r="P2749" s="125"/>
      <c r="Q2749" s="125"/>
      <c r="R2749" s="127"/>
      <c r="S2749" s="123"/>
      <c r="T2749" s="3"/>
      <c r="W2749" s="86"/>
      <c r="Y2749" s="75"/>
    </row>
    <row r="2750" spans="1:25" x14ac:dyDescent="0.25">
      <c r="A2750" s="75"/>
      <c r="C2750" s="81"/>
      <c r="D2750" s="81"/>
      <c r="I2750" s="81"/>
      <c r="K2750" s="82"/>
      <c r="L2750" s="123"/>
      <c r="M2750" s="3"/>
      <c r="N2750" s="3"/>
      <c r="O2750" s="3"/>
      <c r="P2750" s="125"/>
      <c r="Q2750" s="125"/>
      <c r="R2750" s="127"/>
      <c r="S2750" s="123"/>
      <c r="T2750" s="3"/>
      <c r="W2750" s="86"/>
      <c r="Y2750" s="75"/>
    </row>
    <row r="2751" spans="1:25" x14ac:dyDescent="0.25">
      <c r="A2751" s="75"/>
      <c r="C2751" s="81"/>
      <c r="D2751" s="81"/>
      <c r="I2751" s="81"/>
      <c r="K2751" s="82"/>
      <c r="L2751" s="123"/>
      <c r="M2751" s="3"/>
      <c r="N2751" s="3"/>
      <c r="O2751" s="3"/>
      <c r="P2751" s="125"/>
      <c r="Q2751" s="125"/>
      <c r="R2751" s="127"/>
      <c r="S2751" s="123"/>
      <c r="T2751" s="3"/>
      <c r="W2751" s="86"/>
      <c r="Y2751" s="75"/>
    </row>
    <row r="2752" spans="1:25" x14ac:dyDescent="0.25">
      <c r="A2752" s="75"/>
      <c r="C2752" s="81"/>
      <c r="D2752" s="81"/>
      <c r="I2752" s="81"/>
      <c r="K2752" s="82"/>
      <c r="L2752" s="123"/>
      <c r="M2752" s="3"/>
      <c r="N2752" s="3"/>
      <c r="O2752" s="3"/>
      <c r="P2752" s="125"/>
      <c r="Q2752" s="125"/>
      <c r="R2752" s="127"/>
      <c r="S2752" s="123"/>
      <c r="T2752" s="3"/>
      <c r="W2752" s="86"/>
      <c r="Y2752" s="75"/>
    </row>
    <row r="2753" spans="1:25" x14ac:dyDescent="0.25">
      <c r="A2753" s="75"/>
      <c r="C2753" s="81"/>
      <c r="D2753" s="81"/>
      <c r="I2753" s="81"/>
      <c r="K2753" s="82"/>
      <c r="L2753" s="123"/>
      <c r="M2753" s="3"/>
      <c r="N2753" s="3"/>
      <c r="O2753" s="3"/>
      <c r="P2753" s="125"/>
      <c r="Q2753" s="125"/>
      <c r="R2753" s="127"/>
      <c r="S2753" s="123"/>
      <c r="T2753" s="3"/>
      <c r="W2753" s="86"/>
      <c r="Y2753" s="75"/>
    </row>
    <row r="2754" spans="1:25" x14ac:dyDescent="0.25">
      <c r="A2754" s="75"/>
      <c r="C2754" s="81"/>
      <c r="D2754" s="81"/>
      <c r="I2754" s="81"/>
      <c r="K2754" s="82"/>
      <c r="L2754" s="123"/>
      <c r="M2754" s="3"/>
      <c r="N2754" s="3"/>
      <c r="O2754" s="3"/>
      <c r="P2754" s="125"/>
      <c r="Q2754" s="125"/>
      <c r="R2754" s="127"/>
      <c r="S2754" s="123"/>
      <c r="T2754" s="3"/>
      <c r="W2754" s="86"/>
      <c r="Y2754" s="75"/>
    </row>
    <row r="2755" spans="1:25" x14ac:dyDescent="0.25">
      <c r="A2755" s="75"/>
      <c r="C2755" s="81"/>
      <c r="D2755" s="81"/>
      <c r="I2755" s="81"/>
      <c r="K2755" s="82"/>
      <c r="L2755" s="123"/>
      <c r="M2755" s="3"/>
      <c r="N2755" s="3"/>
      <c r="O2755" s="3"/>
      <c r="P2755" s="125"/>
      <c r="Q2755" s="125"/>
      <c r="R2755" s="127"/>
      <c r="S2755" s="123"/>
      <c r="T2755" s="3"/>
      <c r="W2755" s="86"/>
      <c r="Y2755" s="75"/>
    </row>
    <row r="2756" spans="1:25" x14ac:dyDescent="0.25">
      <c r="A2756" s="75"/>
      <c r="C2756" s="81"/>
      <c r="D2756" s="81"/>
      <c r="I2756" s="81"/>
      <c r="K2756" s="82"/>
      <c r="L2756" s="123"/>
      <c r="M2756" s="3"/>
      <c r="N2756" s="3"/>
      <c r="O2756" s="3"/>
      <c r="P2756" s="125"/>
      <c r="Q2756" s="125"/>
      <c r="R2756" s="127"/>
      <c r="S2756" s="123"/>
      <c r="T2756" s="3"/>
      <c r="W2756" s="86"/>
      <c r="Y2756" s="75"/>
    </row>
    <row r="2757" spans="1:25" x14ac:dyDescent="0.25">
      <c r="A2757" s="75"/>
      <c r="C2757" s="81"/>
      <c r="D2757" s="81"/>
      <c r="I2757" s="81"/>
      <c r="K2757" s="82"/>
      <c r="L2757" s="123"/>
      <c r="M2757" s="3"/>
      <c r="N2757" s="3"/>
      <c r="O2757" s="3"/>
      <c r="P2757" s="125"/>
      <c r="Q2757" s="125"/>
      <c r="R2757" s="127"/>
      <c r="S2757" s="123"/>
      <c r="T2757" s="3"/>
      <c r="W2757" s="86"/>
      <c r="Y2757" s="75"/>
    </row>
    <row r="2758" spans="1:25" x14ac:dyDescent="0.25">
      <c r="A2758" s="75"/>
      <c r="C2758" s="81"/>
      <c r="D2758" s="81"/>
      <c r="I2758" s="81"/>
      <c r="K2758" s="82"/>
      <c r="L2758" s="123"/>
      <c r="M2758" s="3"/>
      <c r="N2758" s="3"/>
      <c r="O2758" s="3"/>
      <c r="P2758" s="125"/>
      <c r="Q2758" s="125"/>
      <c r="R2758" s="127"/>
      <c r="S2758" s="123"/>
      <c r="T2758" s="3"/>
      <c r="W2758" s="86"/>
      <c r="Y2758" s="75"/>
    </row>
    <row r="2759" spans="1:25" x14ac:dyDescent="0.25">
      <c r="A2759" s="75"/>
      <c r="C2759" s="81"/>
      <c r="D2759" s="81"/>
      <c r="I2759" s="81"/>
      <c r="K2759" s="82"/>
      <c r="L2759" s="123"/>
      <c r="M2759" s="3"/>
      <c r="N2759" s="3"/>
      <c r="O2759" s="3"/>
      <c r="P2759" s="125"/>
      <c r="Q2759" s="125"/>
      <c r="R2759" s="127"/>
      <c r="S2759" s="123"/>
      <c r="T2759" s="3"/>
      <c r="W2759" s="86"/>
      <c r="Y2759" s="75"/>
    </row>
    <row r="2760" spans="1:25" x14ac:dyDescent="0.25">
      <c r="A2760" s="75"/>
      <c r="C2760" s="81"/>
      <c r="D2760" s="81"/>
      <c r="I2760" s="81"/>
      <c r="K2760" s="82"/>
      <c r="L2760" s="123"/>
      <c r="M2760" s="3"/>
      <c r="N2760" s="3"/>
      <c r="O2760" s="3"/>
      <c r="P2760" s="125"/>
      <c r="Q2760" s="125"/>
      <c r="R2760" s="127"/>
      <c r="S2760" s="123"/>
      <c r="T2760" s="3"/>
      <c r="W2760" s="86"/>
      <c r="Y2760" s="75"/>
    </row>
    <row r="2761" spans="1:25" x14ac:dyDescent="0.25">
      <c r="A2761" s="75"/>
      <c r="C2761" s="81"/>
      <c r="D2761" s="81"/>
      <c r="I2761" s="81"/>
      <c r="K2761" s="82"/>
      <c r="L2761" s="123"/>
      <c r="M2761" s="3"/>
      <c r="N2761" s="3"/>
      <c r="O2761" s="3"/>
      <c r="P2761" s="125"/>
      <c r="Q2761" s="125"/>
      <c r="R2761" s="127"/>
      <c r="S2761" s="123"/>
      <c r="T2761" s="3"/>
      <c r="W2761" s="86"/>
      <c r="Y2761" s="75"/>
    </row>
    <row r="2762" spans="1:25" x14ac:dyDescent="0.25">
      <c r="A2762" s="75"/>
      <c r="C2762" s="81"/>
      <c r="D2762" s="81"/>
      <c r="I2762" s="81"/>
      <c r="K2762" s="82"/>
      <c r="L2762" s="123"/>
      <c r="M2762" s="3"/>
      <c r="N2762" s="3"/>
      <c r="O2762" s="3"/>
      <c r="P2762" s="125"/>
      <c r="Q2762" s="125"/>
      <c r="R2762" s="127"/>
      <c r="S2762" s="123"/>
      <c r="T2762" s="3"/>
      <c r="W2762" s="86"/>
      <c r="Y2762" s="75"/>
    </row>
    <row r="2763" spans="1:25" x14ac:dyDescent="0.25">
      <c r="A2763" s="75"/>
      <c r="C2763" s="81"/>
      <c r="D2763" s="81"/>
      <c r="I2763" s="81"/>
      <c r="K2763" s="82"/>
      <c r="L2763" s="123"/>
      <c r="M2763" s="3"/>
      <c r="N2763" s="3"/>
      <c r="O2763" s="3"/>
      <c r="P2763" s="125"/>
      <c r="Q2763" s="125"/>
      <c r="R2763" s="127"/>
      <c r="S2763" s="123"/>
      <c r="T2763" s="3"/>
      <c r="W2763" s="86"/>
      <c r="Y2763" s="75"/>
    </row>
    <row r="2764" spans="1:25" x14ac:dyDescent="0.25">
      <c r="A2764" s="75"/>
      <c r="C2764" s="81"/>
      <c r="D2764" s="81"/>
      <c r="I2764" s="81"/>
      <c r="K2764" s="82"/>
      <c r="L2764" s="123"/>
      <c r="M2764" s="3"/>
      <c r="N2764" s="3"/>
      <c r="O2764" s="3"/>
      <c r="P2764" s="125"/>
      <c r="Q2764" s="125"/>
      <c r="R2764" s="127"/>
      <c r="S2764" s="123"/>
      <c r="T2764" s="3"/>
      <c r="W2764" s="86"/>
      <c r="Y2764" s="75"/>
    </row>
    <row r="2765" spans="1:25" x14ac:dyDescent="0.25">
      <c r="A2765" s="75"/>
      <c r="C2765" s="81"/>
      <c r="D2765" s="81"/>
      <c r="I2765" s="81"/>
      <c r="K2765" s="82"/>
      <c r="L2765" s="123"/>
      <c r="M2765" s="3"/>
      <c r="N2765" s="3"/>
      <c r="O2765" s="3"/>
      <c r="P2765" s="125"/>
      <c r="Q2765" s="125"/>
      <c r="R2765" s="127"/>
      <c r="S2765" s="123"/>
      <c r="T2765" s="3"/>
      <c r="W2765" s="86"/>
      <c r="Y2765" s="75"/>
    </row>
    <row r="2766" spans="1:25" x14ac:dyDescent="0.25">
      <c r="A2766" s="75"/>
      <c r="C2766" s="81"/>
      <c r="D2766" s="81"/>
      <c r="I2766" s="81"/>
      <c r="K2766" s="82"/>
      <c r="L2766" s="123"/>
      <c r="M2766" s="3"/>
      <c r="N2766" s="3"/>
      <c r="O2766" s="3"/>
      <c r="P2766" s="125"/>
      <c r="Q2766" s="125"/>
      <c r="R2766" s="127"/>
      <c r="S2766" s="123"/>
      <c r="T2766" s="3"/>
      <c r="W2766" s="86"/>
      <c r="Y2766" s="75"/>
    </row>
    <row r="2767" spans="1:25" x14ac:dyDescent="0.25">
      <c r="A2767" s="75"/>
      <c r="C2767" s="81"/>
      <c r="D2767" s="81"/>
      <c r="I2767" s="81"/>
      <c r="K2767" s="82"/>
      <c r="L2767" s="123"/>
      <c r="M2767" s="3"/>
      <c r="N2767" s="3"/>
      <c r="O2767" s="3"/>
      <c r="P2767" s="125"/>
      <c r="Q2767" s="125"/>
      <c r="R2767" s="127"/>
      <c r="S2767" s="123"/>
      <c r="T2767" s="3"/>
      <c r="W2767" s="86"/>
      <c r="Y2767" s="75"/>
    </row>
    <row r="2768" spans="1:25" x14ac:dyDescent="0.25">
      <c r="A2768" s="75"/>
      <c r="C2768" s="81"/>
      <c r="D2768" s="81"/>
      <c r="I2768" s="81"/>
      <c r="K2768" s="82"/>
      <c r="L2768" s="123"/>
      <c r="M2768" s="3"/>
      <c r="N2768" s="3"/>
      <c r="O2768" s="3"/>
      <c r="P2768" s="125"/>
      <c r="Q2768" s="125"/>
      <c r="R2768" s="127"/>
      <c r="S2768" s="123"/>
      <c r="T2768" s="3"/>
      <c r="W2768" s="86"/>
      <c r="Y2768" s="75"/>
    </row>
    <row r="2769" spans="1:25" x14ac:dyDescent="0.25">
      <c r="A2769" s="75"/>
      <c r="C2769" s="81"/>
      <c r="D2769" s="81"/>
      <c r="I2769" s="81"/>
      <c r="K2769" s="82"/>
      <c r="L2769" s="123"/>
      <c r="M2769" s="3"/>
      <c r="N2769" s="3"/>
      <c r="O2769" s="3"/>
      <c r="P2769" s="125"/>
      <c r="Q2769" s="125"/>
      <c r="R2769" s="127"/>
      <c r="S2769" s="123"/>
      <c r="T2769" s="3"/>
      <c r="W2769" s="86"/>
      <c r="Y2769" s="75"/>
    </row>
    <row r="2770" spans="1:25" x14ac:dyDescent="0.25">
      <c r="A2770" s="75"/>
      <c r="C2770" s="81"/>
      <c r="D2770" s="81"/>
      <c r="I2770" s="81"/>
      <c r="K2770" s="82"/>
      <c r="L2770" s="123"/>
      <c r="M2770" s="3"/>
      <c r="N2770" s="3"/>
      <c r="O2770" s="3"/>
      <c r="P2770" s="125"/>
      <c r="Q2770" s="125"/>
      <c r="R2770" s="127"/>
      <c r="S2770" s="123"/>
      <c r="T2770" s="3"/>
      <c r="W2770" s="86"/>
      <c r="Y2770" s="75"/>
    </row>
    <row r="2771" spans="1:25" x14ac:dyDescent="0.25">
      <c r="A2771" s="75"/>
      <c r="C2771" s="81"/>
      <c r="D2771" s="81"/>
      <c r="I2771" s="81"/>
      <c r="K2771" s="82"/>
      <c r="L2771" s="123"/>
      <c r="M2771" s="3"/>
      <c r="N2771" s="3"/>
      <c r="O2771" s="3"/>
      <c r="P2771" s="125"/>
      <c r="Q2771" s="125"/>
      <c r="R2771" s="127"/>
      <c r="S2771" s="123"/>
      <c r="T2771" s="3"/>
      <c r="W2771" s="86"/>
      <c r="Y2771" s="75"/>
    </row>
    <row r="2772" spans="1:25" x14ac:dyDescent="0.25">
      <c r="A2772" s="75"/>
      <c r="C2772" s="81"/>
      <c r="D2772" s="81"/>
      <c r="I2772" s="81"/>
      <c r="K2772" s="82"/>
      <c r="L2772" s="123"/>
      <c r="M2772" s="3"/>
      <c r="N2772" s="3"/>
      <c r="O2772" s="3"/>
      <c r="P2772" s="125"/>
      <c r="Q2772" s="125"/>
      <c r="R2772" s="127"/>
      <c r="S2772" s="123"/>
      <c r="T2772" s="3"/>
      <c r="W2772" s="86"/>
      <c r="Y2772" s="75"/>
    </row>
    <row r="2773" spans="1:25" x14ac:dyDescent="0.25">
      <c r="A2773" s="75"/>
      <c r="C2773" s="81"/>
      <c r="D2773" s="81"/>
      <c r="I2773" s="81"/>
      <c r="K2773" s="82"/>
      <c r="L2773" s="123"/>
      <c r="M2773" s="3"/>
      <c r="N2773" s="3"/>
      <c r="O2773" s="3"/>
      <c r="P2773" s="125"/>
      <c r="Q2773" s="125"/>
      <c r="R2773" s="127"/>
      <c r="S2773" s="123"/>
      <c r="T2773" s="3"/>
      <c r="W2773" s="86"/>
      <c r="Y2773" s="75"/>
    </row>
    <row r="2774" spans="1:25" x14ac:dyDescent="0.25">
      <c r="A2774" s="75"/>
      <c r="C2774" s="81"/>
      <c r="D2774" s="81"/>
      <c r="I2774" s="81"/>
      <c r="K2774" s="82"/>
      <c r="L2774" s="123"/>
      <c r="M2774" s="3"/>
      <c r="N2774" s="3"/>
      <c r="O2774" s="3"/>
      <c r="P2774" s="125"/>
      <c r="Q2774" s="125"/>
      <c r="R2774" s="127"/>
      <c r="S2774" s="123"/>
      <c r="T2774" s="3"/>
      <c r="W2774" s="86"/>
      <c r="Y2774" s="75"/>
    </row>
    <row r="2775" spans="1:25" x14ac:dyDescent="0.25">
      <c r="A2775" s="75"/>
      <c r="C2775" s="81"/>
      <c r="D2775" s="81"/>
      <c r="I2775" s="81"/>
      <c r="K2775" s="82"/>
      <c r="L2775" s="123"/>
      <c r="M2775" s="3"/>
      <c r="N2775" s="3"/>
      <c r="O2775" s="3"/>
      <c r="P2775" s="125"/>
      <c r="Q2775" s="125"/>
      <c r="R2775" s="127"/>
      <c r="S2775" s="123"/>
      <c r="T2775" s="3"/>
      <c r="W2775" s="86"/>
      <c r="Y2775" s="75"/>
    </row>
    <row r="2776" spans="1:25" x14ac:dyDescent="0.25">
      <c r="A2776" s="75"/>
      <c r="C2776" s="81"/>
      <c r="D2776" s="81"/>
      <c r="I2776" s="81"/>
      <c r="K2776" s="82"/>
      <c r="L2776" s="123"/>
      <c r="M2776" s="3"/>
      <c r="N2776" s="3"/>
      <c r="O2776" s="3"/>
      <c r="P2776" s="125"/>
      <c r="Q2776" s="125"/>
      <c r="R2776" s="127"/>
      <c r="S2776" s="123"/>
      <c r="T2776" s="3"/>
      <c r="W2776" s="86"/>
      <c r="Y2776" s="75"/>
    </row>
    <row r="2777" spans="1:25" x14ac:dyDescent="0.25">
      <c r="A2777" s="75"/>
      <c r="C2777" s="81"/>
      <c r="D2777" s="81"/>
      <c r="I2777" s="81"/>
      <c r="K2777" s="82"/>
      <c r="L2777" s="123"/>
      <c r="M2777" s="3"/>
      <c r="N2777" s="3"/>
      <c r="O2777" s="3"/>
      <c r="P2777" s="125"/>
      <c r="Q2777" s="125"/>
      <c r="R2777" s="127"/>
      <c r="S2777" s="123"/>
      <c r="T2777" s="3"/>
      <c r="W2777" s="86"/>
      <c r="Y2777" s="75"/>
    </row>
    <row r="2778" spans="1:25" x14ac:dyDescent="0.25">
      <c r="A2778" s="75"/>
      <c r="C2778" s="81"/>
      <c r="D2778" s="81"/>
      <c r="I2778" s="81"/>
      <c r="K2778" s="82"/>
      <c r="L2778" s="123"/>
      <c r="M2778" s="3"/>
      <c r="N2778" s="3"/>
      <c r="O2778" s="3"/>
      <c r="P2778" s="125"/>
      <c r="Q2778" s="125"/>
      <c r="R2778" s="127"/>
      <c r="S2778" s="123"/>
      <c r="T2778" s="3"/>
      <c r="W2778" s="86"/>
      <c r="Y2778" s="75"/>
    </row>
    <row r="2779" spans="1:25" x14ac:dyDescent="0.25">
      <c r="A2779" s="75"/>
      <c r="C2779" s="81"/>
      <c r="D2779" s="81"/>
      <c r="I2779" s="81"/>
      <c r="K2779" s="82"/>
      <c r="L2779" s="123"/>
      <c r="M2779" s="3"/>
      <c r="N2779" s="3"/>
      <c r="O2779" s="3"/>
      <c r="P2779" s="125"/>
      <c r="Q2779" s="125"/>
      <c r="R2779" s="127"/>
      <c r="S2779" s="123"/>
      <c r="T2779" s="3"/>
      <c r="W2779" s="86"/>
      <c r="Y2779" s="75"/>
    </row>
    <row r="2780" spans="1:25" x14ac:dyDescent="0.25">
      <c r="A2780" s="75"/>
      <c r="C2780" s="81"/>
      <c r="D2780" s="81"/>
      <c r="I2780" s="81"/>
      <c r="K2780" s="82"/>
      <c r="L2780" s="123"/>
      <c r="M2780" s="3"/>
      <c r="N2780" s="3"/>
      <c r="O2780" s="3"/>
      <c r="P2780" s="125"/>
      <c r="Q2780" s="125"/>
      <c r="R2780" s="127"/>
      <c r="S2780" s="123"/>
      <c r="T2780" s="3"/>
      <c r="W2780" s="86"/>
      <c r="Y2780" s="75"/>
    </row>
    <row r="2781" spans="1:25" x14ac:dyDescent="0.25">
      <c r="A2781" s="75"/>
      <c r="C2781" s="81"/>
      <c r="D2781" s="81"/>
      <c r="I2781" s="81"/>
      <c r="K2781" s="82"/>
      <c r="L2781" s="123"/>
      <c r="M2781" s="3"/>
      <c r="N2781" s="3"/>
      <c r="O2781" s="3"/>
      <c r="P2781" s="125"/>
      <c r="Q2781" s="125"/>
      <c r="R2781" s="127"/>
      <c r="S2781" s="123"/>
      <c r="T2781" s="3"/>
      <c r="W2781" s="86"/>
      <c r="Y2781" s="75"/>
    </row>
    <row r="2782" spans="1:25" x14ac:dyDescent="0.25">
      <c r="A2782" s="75"/>
      <c r="C2782" s="81"/>
      <c r="D2782" s="81"/>
      <c r="I2782" s="81"/>
      <c r="K2782" s="82"/>
      <c r="L2782" s="123"/>
      <c r="M2782" s="3"/>
      <c r="N2782" s="3"/>
      <c r="O2782" s="3"/>
      <c r="P2782" s="125"/>
      <c r="Q2782" s="125"/>
      <c r="R2782" s="127"/>
      <c r="S2782" s="123"/>
      <c r="T2782" s="3"/>
      <c r="W2782" s="86"/>
      <c r="Y2782" s="75"/>
    </row>
    <row r="2783" spans="1:25" x14ac:dyDescent="0.25">
      <c r="A2783" s="75"/>
      <c r="C2783" s="81"/>
      <c r="D2783" s="81"/>
      <c r="I2783" s="81"/>
      <c r="K2783" s="82"/>
      <c r="L2783" s="123"/>
      <c r="M2783" s="3"/>
      <c r="N2783" s="3"/>
      <c r="O2783" s="3"/>
      <c r="P2783" s="125"/>
      <c r="Q2783" s="125"/>
      <c r="R2783" s="127"/>
      <c r="S2783" s="123"/>
      <c r="T2783" s="3"/>
      <c r="W2783" s="86"/>
      <c r="Y2783" s="75"/>
    </row>
    <row r="2784" spans="1:25" x14ac:dyDescent="0.25">
      <c r="A2784" s="75"/>
      <c r="C2784" s="81"/>
      <c r="D2784" s="81"/>
      <c r="I2784" s="81"/>
      <c r="K2784" s="82"/>
      <c r="L2784" s="123"/>
      <c r="M2784" s="3"/>
      <c r="N2784" s="3"/>
      <c r="O2784" s="3"/>
      <c r="P2784" s="125"/>
      <c r="Q2784" s="125"/>
      <c r="R2784" s="127"/>
      <c r="S2784" s="123"/>
      <c r="T2784" s="3"/>
      <c r="W2784" s="86"/>
      <c r="Y2784" s="75"/>
    </row>
    <row r="2785" spans="1:25" x14ac:dyDescent="0.25">
      <c r="A2785" s="75"/>
      <c r="C2785" s="81"/>
      <c r="D2785" s="81"/>
      <c r="I2785" s="81"/>
      <c r="K2785" s="82"/>
      <c r="L2785" s="123"/>
      <c r="M2785" s="3"/>
      <c r="N2785" s="3"/>
      <c r="O2785" s="3"/>
      <c r="P2785" s="125"/>
      <c r="Q2785" s="125"/>
      <c r="R2785" s="127"/>
      <c r="S2785" s="123"/>
      <c r="T2785" s="3"/>
      <c r="W2785" s="86"/>
      <c r="Y2785" s="75"/>
    </row>
    <row r="2786" spans="1:25" x14ac:dyDescent="0.25">
      <c r="A2786" s="75"/>
      <c r="C2786" s="81"/>
      <c r="D2786" s="81"/>
      <c r="I2786" s="81"/>
      <c r="K2786" s="82"/>
      <c r="L2786" s="123"/>
      <c r="M2786" s="3"/>
      <c r="N2786" s="3"/>
      <c r="O2786" s="3"/>
      <c r="P2786" s="125"/>
      <c r="Q2786" s="125"/>
      <c r="R2786" s="127"/>
      <c r="S2786" s="123"/>
      <c r="T2786" s="3"/>
      <c r="W2786" s="86"/>
      <c r="Y2786" s="75"/>
    </row>
    <row r="2787" spans="1:25" x14ac:dyDescent="0.25">
      <c r="A2787" s="75"/>
      <c r="C2787" s="81"/>
      <c r="D2787" s="81"/>
      <c r="I2787" s="81"/>
      <c r="K2787" s="82"/>
      <c r="L2787" s="123"/>
      <c r="M2787" s="3"/>
      <c r="N2787" s="3"/>
      <c r="O2787" s="3"/>
      <c r="P2787" s="125"/>
      <c r="Q2787" s="125"/>
      <c r="R2787" s="127"/>
      <c r="S2787" s="123"/>
      <c r="T2787" s="3"/>
      <c r="W2787" s="86"/>
      <c r="Y2787" s="75"/>
    </row>
    <row r="2788" spans="1:25" x14ac:dyDescent="0.25">
      <c r="A2788" s="75"/>
      <c r="C2788" s="81"/>
      <c r="D2788" s="81"/>
      <c r="I2788" s="81"/>
      <c r="K2788" s="82"/>
      <c r="L2788" s="123"/>
      <c r="M2788" s="3"/>
      <c r="N2788" s="3"/>
      <c r="O2788" s="3"/>
      <c r="P2788" s="125"/>
      <c r="Q2788" s="125"/>
      <c r="R2788" s="127"/>
      <c r="S2788" s="123"/>
      <c r="T2788" s="3"/>
      <c r="W2788" s="86"/>
      <c r="Y2788" s="75"/>
    </row>
    <row r="2789" spans="1:25" x14ac:dyDescent="0.25">
      <c r="A2789" s="75"/>
      <c r="C2789" s="81"/>
      <c r="D2789" s="81"/>
      <c r="I2789" s="81"/>
      <c r="K2789" s="82"/>
      <c r="L2789" s="123"/>
      <c r="M2789" s="3"/>
      <c r="N2789" s="3"/>
      <c r="O2789" s="3"/>
      <c r="P2789" s="125"/>
      <c r="Q2789" s="125"/>
      <c r="R2789" s="127"/>
      <c r="S2789" s="123"/>
      <c r="T2789" s="3"/>
      <c r="W2789" s="86"/>
      <c r="Y2789" s="75"/>
    </row>
    <row r="2790" spans="1:25" x14ac:dyDescent="0.25">
      <c r="A2790" s="75"/>
      <c r="C2790" s="81"/>
      <c r="D2790" s="81"/>
      <c r="I2790" s="81"/>
      <c r="K2790" s="82"/>
      <c r="L2790" s="123"/>
      <c r="M2790" s="3"/>
      <c r="N2790" s="3"/>
      <c r="O2790" s="3"/>
      <c r="P2790" s="125"/>
      <c r="Q2790" s="125"/>
      <c r="R2790" s="127"/>
      <c r="S2790" s="123"/>
      <c r="T2790" s="3"/>
      <c r="W2790" s="86"/>
      <c r="Y2790" s="75"/>
    </row>
    <row r="2791" spans="1:25" x14ac:dyDescent="0.25">
      <c r="A2791" s="75"/>
      <c r="C2791" s="81"/>
      <c r="D2791" s="81"/>
      <c r="I2791" s="81"/>
      <c r="K2791" s="82"/>
      <c r="L2791" s="123"/>
      <c r="M2791" s="3"/>
      <c r="N2791" s="3"/>
      <c r="O2791" s="3"/>
      <c r="P2791" s="125"/>
      <c r="Q2791" s="125"/>
      <c r="R2791" s="127"/>
      <c r="S2791" s="123"/>
      <c r="T2791" s="3"/>
      <c r="W2791" s="86"/>
      <c r="Y2791" s="75"/>
    </row>
    <row r="2792" spans="1:25" x14ac:dyDescent="0.25">
      <c r="A2792" s="75"/>
      <c r="C2792" s="81"/>
      <c r="D2792" s="81"/>
      <c r="I2792" s="81"/>
      <c r="K2792" s="82"/>
      <c r="L2792" s="123"/>
      <c r="M2792" s="3"/>
      <c r="N2792" s="3"/>
      <c r="O2792" s="3"/>
      <c r="P2792" s="125"/>
      <c r="Q2792" s="125"/>
      <c r="R2792" s="127"/>
      <c r="S2792" s="123"/>
      <c r="T2792" s="3"/>
      <c r="W2792" s="86"/>
      <c r="Y2792" s="75"/>
    </row>
    <row r="2793" spans="1:25" x14ac:dyDescent="0.25">
      <c r="A2793" s="75"/>
      <c r="C2793" s="81"/>
      <c r="D2793" s="81"/>
      <c r="I2793" s="81"/>
      <c r="K2793" s="82"/>
      <c r="L2793" s="123"/>
      <c r="M2793" s="3"/>
      <c r="N2793" s="3"/>
      <c r="O2793" s="3"/>
      <c r="P2793" s="125"/>
      <c r="Q2793" s="125"/>
      <c r="R2793" s="127"/>
      <c r="S2793" s="123"/>
      <c r="T2793" s="3"/>
      <c r="W2793" s="86"/>
      <c r="Y2793" s="75"/>
    </row>
    <row r="2794" spans="1:25" x14ac:dyDescent="0.25">
      <c r="A2794" s="75"/>
      <c r="C2794" s="81"/>
      <c r="D2794" s="81"/>
      <c r="I2794" s="81"/>
      <c r="K2794" s="82"/>
      <c r="L2794" s="123"/>
      <c r="M2794" s="3"/>
      <c r="N2794" s="3"/>
      <c r="O2794" s="3"/>
      <c r="P2794" s="125"/>
      <c r="Q2794" s="125"/>
      <c r="R2794" s="127"/>
      <c r="S2794" s="123"/>
      <c r="T2794" s="3"/>
      <c r="W2794" s="86"/>
      <c r="Y2794" s="75"/>
    </row>
    <row r="2795" spans="1:25" x14ac:dyDescent="0.25">
      <c r="A2795" s="75"/>
      <c r="C2795" s="81"/>
      <c r="D2795" s="81"/>
      <c r="I2795" s="81"/>
      <c r="K2795" s="82"/>
      <c r="L2795" s="123"/>
      <c r="M2795" s="3"/>
      <c r="N2795" s="3"/>
      <c r="O2795" s="3"/>
      <c r="P2795" s="125"/>
      <c r="Q2795" s="125"/>
      <c r="R2795" s="127"/>
      <c r="S2795" s="123"/>
      <c r="T2795" s="3"/>
      <c r="W2795" s="86"/>
      <c r="Y2795" s="75"/>
    </row>
    <row r="2796" spans="1:25" x14ac:dyDescent="0.25">
      <c r="A2796" s="75"/>
      <c r="C2796" s="81"/>
      <c r="D2796" s="81"/>
      <c r="I2796" s="81"/>
      <c r="K2796" s="82"/>
      <c r="L2796" s="123"/>
      <c r="M2796" s="3"/>
      <c r="N2796" s="3"/>
      <c r="O2796" s="3"/>
      <c r="P2796" s="125"/>
      <c r="Q2796" s="125"/>
      <c r="R2796" s="127"/>
      <c r="S2796" s="123"/>
      <c r="T2796" s="3"/>
      <c r="W2796" s="86"/>
      <c r="Y2796" s="75"/>
    </row>
    <row r="2797" spans="1:25" x14ac:dyDescent="0.25">
      <c r="A2797" s="75"/>
      <c r="C2797" s="81"/>
      <c r="D2797" s="81"/>
      <c r="I2797" s="81"/>
      <c r="K2797" s="82"/>
      <c r="L2797" s="123"/>
      <c r="M2797" s="3"/>
      <c r="N2797" s="3"/>
      <c r="O2797" s="3"/>
      <c r="P2797" s="125"/>
      <c r="Q2797" s="125"/>
      <c r="R2797" s="127"/>
      <c r="S2797" s="123"/>
      <c r="T2797" s="3"/>
      <c r="W2797" s="86"/>
      <c r="Y2797" s="75"/>
    </row>
    <row r="2798" spans="1:25" x14ac:dyDescent="0.25">
      <c r="A2798" s="75"/>
      <c r="C2798" s="81"/>
      <c r="D2798" s="81"/>
      <c r="I2798" s="81"/>
      <c r="K2798" s="82"/>
      <c r="L2798" s="123"/>
      <c r="M2798" s="3"/>
      <c r="N2798" s="3"/>
      <c r="O2798" s="3"/>
      <c r="P2798" s="125"/>
      <c r="Q2798" s="125"/>
      <c r="R2798" s="127"/>
      <c r="S2798" s="123"/>
      <c r="T2798" s="3"/>
      <c r="W2798" s="86"/>
      <c r="Y2798" s="75"/>
    </row>
    <row r="2799" spans="1:25" x14ac:dyDescent="0.25">
      <c r="A2799" s="75"/>
      <c r="C2799" s="81"/>
      <c r="D2799" s="81"/>
      <c r="I2799" s="81"/>
      <c r="K2799" s="82"/>
      <c r="L2799" s="123"/>
      <c r="M2799" s="3"/>
      <c r="N2799" s="3"/>
      <c r="O2799" s="3"/>
      <c r="P2799" s="125"/>
      <c r="Q2799" s="125"/>
      <c r="R2799" s="127"/>
      <c r="S2799" s="123"/>
      <c r="T2799" s="3"/>
      <c r="W2799" s="86"/>
      <c r="Y2799" s="75"/>
    </row>
    <row r="2800" spans="1:25" x14ac:dyDescent="0.25">
      <c r="A2800" s="75"/>
      <c r="C2800" s="81"/>
      <c r="D2800" s="81"/>
      <c r="I2800" s="81"/>
      <c r="K2800" s="82"/>
      <c r="L2800" s="123"/>
      <c r="M2800" s="3"/>
      <c r="N2800" s="3"/>
      <c r="O2800" s="3"/>
      <c r="P2800" s="125"/>
      <c r="Q2800" s="125"/>
      <c r="R2800" s="127"/>
      <c r="S2800" s="123"/>
      <c r="T2800" s="3"/>
      <c r="W2800" s="86"/>
      <c r="Y2800" s="75"/>
    </row>
    <row r="2801" spans="1:25" x14ac:dyDescent="0.25">
      <c r="A2801" s="75"/>
      <c r="C2801" s="81"/>
      <c r="D2801" s="81"/>
      <c r="I2801" s="81"/>
      <c r="K2801" s="82"/>
      <c r="L2801" s="123"/>
      <c r="M2801" s="3"/>
      <c r="N2801" s="3"/>
      <c r="O2801" s="3"/>
      <c r="P2801" s="125"/>
      <c r="Q2801" s="125"/>
      <c r="R2801" s="127"/>
      <c r="S2801" s="123"/>
      <c r="T2801" s="3"/>
      <c r="W2801" s="86"/>
      <c r="Y2801" s="75"/>
    </row>
    <row r="2802" spans="1:25" x14ac:dyDescent="0.25">
      <c r="A2802" s="75"/>
      <c r="C2802" s="81"/>
      <c r="D2802" s="81"/>
      <c r="I2802" s="81"/>
      <c r="K2802" s="82"/>
      <c r="L2802" s="123"/>
      <c r="M2802" s="3"/>
      <c r="N2802" s="3"/>
      <c r="O2802" s="3"/>
      <c r="P2802" s="125"/>
      <c r="Q2802" s="125"/>
      <c r="R2802" s="127"/>
      <c r="S2802" s="123"/>
      <c r="T2802" s="3"/>
      <c r="W2802" s="86"/>
      <c r="Y2802" s="75"/>
    </row>
    <row r="2803" spans="1:25" x14ac:dyDescent="0.25">
      <c r="A2803" s="75"/>
      <c r="C2803" s="81"/>
      <c r="D2803" s="81"/>
      <c r="I2803" s="81"/>
      <c r="K2803" s="82"/>
      <c r="L2803" s="123"/>
      <c r="M2803" s="3"/>
      <c r="N2803" s="3"/>
      <c r="O2803" s="3"/>
      <c r="P2803" s="125"/>
      <c r="Q2803" s="125"/>
      <c r="R2803" s="127"/>
      <c r="S2803" s="123"/>
      <c r="T2803" s="3"/>
      <c r="W2803" s="86"/>
      <c r="Y2803" s="75"/>
    </row>
    <row r="2804" spans="1:25" x14ac:dyDescent="0.25">
      <c r="A2804" s="75"/>
      <c r="C2804" s="81"/>
      <c r="D2804" s="81"/>
      <c r="I2804" s="81"/>
      <c r="K2804" s="82"/>
      <c r="L2804" s="123"/>
      <c r="M2804" s="3"/>
      <c r="N2804" s="3"/>
      <c r="O2804" s="3"/>
      <c r="P2804" s="125"/>
      <c r="Q2804" s="125"/>
      <c r="R2804" s="127"/>
      <c r="S2804" s="123"/>
      <c r="T2804" s="3"/>
      <c r="W2804" s="86"/>
      <c r="Y2804" s="75"/>
    </row>
    <row r="2805" spans="1:25" x14ac:dyDescent="0.25">
      <c r="A2805" s="75"/>
      <c r="C2805" s="81"/>
      <c r="D2805" s="81"/>
      <c r="I2805" s="81"/>
      <c r="K2805" s="82"/>
      <c r="L2805" s="123"/>
      <c r="M2805" s="3"/>
      <c r="N2805" s="3"/>
      <c r="O2805" s="3"/>
      <c r="P2805" s="125"/>
      <c r="Q2805" s="125"/>
      <c r="R2805" s="127"/>
      <c r="S2805" s="123"/>
      <c r="T2805" s="3"/>
      <c r="W2805" s="86"/>
      <c r="Y2805" s="75"/>
    </row>
    <row r="2806" spans="1:25" x14ac:dyDescent="0.25">
      <c r="A2806" s="75"/>
      <c r="C2806" s="81"/>
      <c r="D2806" s="81"/>
      <c r="I2806" s="81"/>
      <c r="K2806" s="82"/>
      <c r="L2806" s="123"/>
      <c r="M2806" s="3"/>
      <c r="N2806" s="3"/>
      <c r="O2806" s="3"/>
      <c r="P2806" s="125"/>
      <c r="Q2806" s="125"/>
      <c r="R2806" s="127"/>
      <c r="S2806" s="123"/>
      <c r="T2806" s="3"/>
      <c r="W2806" s="86"/>
      <c r="Y2806" s="75"/>
    </row>
    <row r="2807" spans="1:25" x14ac:dyDescent="0.25">
      <c r="A2807" s="75"/>
      <c r="C2807" s="81"/>
      <c r="D2807" s="81"/>
      <c r="I2807" s="81"/>
      <c r="K2807" s="82"/>
      <c r="L2807" s="123"/>
      <c r="M2807" s="3"/>
      <c r="N2807" s="3"/>
      <c r="O2807" s="3"/>
      <c r="P2807" s="125"/>
      <c r="Q2807" s="125"/>
      <c r="R2807" s="127"/>
      <c r="S2807" s="123"/>
      <c r="T2807" s="3"/>
      <c r="W2807" s="86"/>
      <c r="Y2807" s="75"/>
    </row>
    <row r="2808" spans="1:25" x14ac:dyDescent="0.25">
      <c r="A2808" s="75"/>
      <c r="C2808" s="81"/>
      <c r="D2808" s="81"/>
      <c r="I2808" s="81"/>
      <c r="K2808" s="82"/>
      <c r="L2808" s="123"/>
      <c r="M2808" s="3"/>
      <c r="N2808" s="3"/>
      <c r="O2808" s="3"/>
      <c r="P2808" s="125"/>
      <c r="Q2808" s="125"/>
      <c r="R2808" s="127"/>
      <c r="S2808" s="123"/>
      <c r="T2808" s="3"/>
      <c r="W2808" s="86"/>
      <c r="Y2808" s="75"/>
    </row>
    <row r="2809" spans="1:25" x14ac:dyDescent="0.25">
      <c r="A2809" s="75"/>
      <c r="C2809" s="81"/>
      <c r="D2809" s="81"/>
      <c r="I2809" s="81"/>
      <c r="K2809" s="82"/>
      <c r="L2809" s="123"/>
      <c r="M2809" s="3"/>
      <c r="N2809" s="3"/>
      <c r="O2809" s="3"/>
      <c r="P2809" s="125"/>
      <c r="Q2809" s="125"/>
      <c r="R2809" s="127"/>
      <c r="S2809" s="123"/>
      <c r="T2809" s="3"/>
      <c r="W2809" s="86"/>
      <c r="Y2809" s="75"/>
    </row>
    <row r="2810" spans="1:25" x14ac:dyDescent="0.25">
      <c r="A2810" s="75"/>
      <c r="C2810" s="81"/>
      <c r="D2810" s="81"/>
      <c r="I2810" s="81"/>
      <c r="K2810" s="82"/>
      <c r="L2810" s="123"/>
      <c r="M2810" s="3"/>
      <c r="N2810" s="3"/>
      <c r="O2810" s="3"/>
      <c r="P2810" s="125"/>
      <c r="Q2810" s="125"/>
      <c r="R2810" s="127"/>
      <c r="S2810" s="123"/>
      <c r="T2810" s="3"/>
      <c r="W2810" s="86"/>
      <c r="Y2810" s="75"/>
    </row>
    <row r="2811" spans="1:25" x14ac:dyDescent="0.25">
      <c r="A2811" s="75"/>
      <c r="C2811" s="81"/>
      <c r="D2811" s="81"/>
      <c r="I2811" s="81"/>
      <c r="K2811" s="82"/>
      <c r="L2811" s="123"/>
      <c r="M2811" s="3"/>
      <c r="N2811" s="3"/>
      <c r="O2811" s="3"/>
      <c r="P2811" s="125"/>
      <c r="Q2811" s="125"/>
      <c r="R2811" s="127"/>
      <c r="S2811" s="123"/>
      <c r="T2811" s="3"/>
      <c r="W2811" s="86"/>
      <c r="Y2811" s="75"/>
    </row>
    <row r="2812" spans="1:25" x14ac:dyDescent="0.25">
      <c r="A2812" s="75"/>
      <c r="C2812" s="81"/>
      <c r="D2812" s="81"/>
      <c r="I2812" s="81"/>
      <c r="K2812" s="82"/>
      <c r="L2812" s="123"/>
      <c r="M2812" s="3"/>
      <c r="N2812" s="3"/>
      <c r="O2812" s="3"/>
      <c r="P2812" s="125"/>
      <c r="Q2812" s="125"/>
      <c r="R2812" s="127"/>
      <c r="S2812" s="123"/>
      <c r="T2812" s="3"/>
      <c r="W2812" s="86"/>
      <c r="Y2812" s="75"/>
    </row>
    <row r="2813" spans="1:25" x14ac:dyDescent="0.25">
      <c r="A2813" s="75"/>
      <c r="C2813" s="81"/>
      <c r="D2813" s="81"/>
      <c r="I2813" s="81"/>
      <c r="K2813" s="82"/>
      <c r="L2813" s="123"/>
      <c r="M2813" s="3"/>
      <c r="N2813" s="3"/>
      <c r="O2813" s="3"/>
      <c r="P2813" s="125"/>
      <c r="Q2813" s="125"/>
      <c r="R2813" s="127"/>
      <c r="S2813" s="123"/>
      <c r="T2813" s="3"/>
      <c r="W2813" s="86"/>
      <c r="Y2813" s="75"/>
    </row>
    <row r="2814" spans="1:25" x14ac:dyDescent="0.25">
      <c r="A2814" s="75"/>
      <c r="C2814" s="81"/>
      <c r="D2814" s="81"/>
      <c r="I2814" s="81"/>
      <c r="K2814" s="82"/>
      <c r="L2814" s="123"/>
      <c r="M2814" s="3"/>
      <c r="N2814" s="3"/>
      <c r="O2814" s="3"/>
      <c r="P2814" s="125"/>
      <c r="Q2814" s="125"/>
      <c r="R2814" s="127"/>
      <c r="S2814" s="123"/>
      <c r="T2814" s="3"/>
      <c r="W2814" s="86"/>
      <c r="Y2814" s="75"/>
    </row>
    <row r="2815" spans="1:25" x14ac:dyDescent="0.25">
      <c r="A2815" s="75"/>
      <c r="C2815" s="81"/>
      <c r="D2815" s="81"/>
      <c r="I2815" s="81"/>
      <c r="K2815" s="82"/>
      <c r="L2815" s="123"/>
      <c r="M2815" s="3"/>
      <c r="N2815" s="3"/>
      <c r="O2815" s="3"/>
      <c r="P2815" s="125"/>
      <c r="Q2815" s="125"/>
      <c r="R2815" s="127"/>
      <c r="S2815" s="123"/>
      <c r="T2815" s="3"/>
      <c r="W2815" s="86"/>
      <c r="Y2815" s="75"/>
    </row>
    <row r="2816" spans="1:25" x14ac:dyDescent="0.25">
      <c r="A2816" s="75"/>
      <c r="C2816" s="81"/>
      <c r="D2816" s="81"/>
      <c r="I2816" s="81"/>
      <c r="K2816" s="82"/>
      <c r="L2816" s="123"/>
      <c r="M2816" s="3"/>
      <c r="N2816" s="3"/>
      <c r="O2816" s="3"/>
      <c r="P2816" s="125"/>
      <c r="Q2816" s="125"/>
      <c r="R2816" s="127"/>
      <c r="S2816" s="123"/>
      <c r="T2816" s="3"/>
      <c r="W2816" s="86"/>
      <c r="Y2816" s="75"/>
    </row>
    <row r="2817" spans="1:25" x14ac:dyDescent="0.25">
      <c r="A2817" s="75"/>
      <c r="C2817" s="81"/>
      <c r="D2817" s="81"/>
      <c r="I2817" s="81"/>
      <c r="K2817" s="82"/>
      <c r="L2817" s="123"/>
      <c r="M2817" s="3"/>
      <c r="N2817" s="3"/>
      <c r="O2817" s="3"/>
      <c r="P2817" s="125"/>
      <c r="Q2817" s="125"/>
      <c r="R2817" s="127"/>
      <c r="S2817" s="123"/>
      <c r="T2817" s="3"/>
      <c r="W2817" s="86"/>
      <c r="Y2817" s="75"/>
    </row>
    <row r="2818" spans="1:25" x14ac:dyDescent="0.25">
      <c r="A2818" s="75"/>
      <c r="C2818" s="81"/>
      <c r="D2818" s="81"/>
      <c r="I2818" s="81"/>
      <c r="K2818" s="82"/>
      <c r="L2818" s="123"/>
      <c r="M2818" s="3"/>
      <c r="N2818" s="3"/>
      <c r="O2818" s="3"/>
      <c r="P2818" s="125"/>
      <c r="Q2818" s="125"/>
      <c r="R2818" s="127"/>
      <c r="S2818" s="123"/>
      <c r="T2818" s="3"/>
      <c r="W2818" s="86"/>
      <c r="Y2818" s="75"/>
    </row>
    <row r="2819" spans="1:25" x14ac:dyDescent="0.25">
      <c r="A2819" s="75"/>
      <c r="C2819" s="81"/>
      <c r="D2819" s="81"/>
      <c r="I2819" s="81"/>
      <c r="K2819" s="82"/>
      <c r="L2819" s="123"/>
      <c r="M2819" s="3"/>
      <c r="N2819" s="3"/>
      <c r="O2819" s="3"/>
      <c r="P2819" s="125"/>
      <c r="Q2819" s="125"/>
      <c r="R2819" s="127"/>
      <c r="S2819" s="123"/>
      <c r="T2819" s="3"/>
      <c r="W2819" s="86"/>
      <c r="Y2819" s="75"/>
    </row>
    <row r="2820" spans="1:25" x14ac:dyDescent="0.25">
      <c r="A2820" s="75"/>
      <c r="C2820" s="81"/>
      <c r="D2820" s="81"/>
      <c r="I2820" s="81"/>
      <c r="K2820" s="82"/>
      <c r="L2820" s="123"/>
      <c r="M2820" s="3"/>
      <c r="N2820" s="3"/>
      <c r="O2820" s="3"/>
      <c r="P2820" s="125"/>
      <c r="Q2820" s="125"/>
      <c r="R2820" s="127"/>
      <c r="S2820" s="123"/>
      <c r="T2820" s="3"/>
      <c r="W2820" s="86"/>
      <c r="Y2820" s="75"/>
    </row>
    <row r="2821" spans="1:25" x14ac:dyDescent="0.25">
      <c r="A2821" s="75"/>
      <c r="C2821" s="81"/>
      <c r="D2821" s="81"/>
      <c r="I2821" s="81"/>
      <c r="K2821" s="82"/>
      <c r="L2821" s="123"/>
      <c r="M2821" s="3"/>
      <c r="N2821" s="3"/>
      <c r="O2821" s="3"/>
      <c r="P2821" s="125"/>
      <c r="Q2821" s="125"/>
      <c r="R2821" s="127"/>
      <c r="S2821" s="123"/>
      <c r="T2821" s="3"/>
      <c r="W2821" s="86"/>
      <c r="Y2821" s="75"/>
    </row>
    <row r="2822" spans="1:25" x14ac:dyDescent="0.25">
      <c r="A2822" s="75"/>
      <c r="C2822" s="81"/>
      <c r="D2822" s="81"/>
      <c r="I2822" s="81"/>
      <c r="K2822" s="82"/>
      <c r="L2822" s="123"/>
      <c r="M2822" s="3"/>
      <c r="N2822" s="3"/>
      <c r="O2822" s="3"/>
      <c r="P2822" s="125"/>
      <c r="Q2822" s="125"/>
      <c r="R2822" s="127"/>
      <c r="S2822" s="123"/>
      <c r="T2822" s="3"/>
      <c r="W2822" s="86"/>
      <c r="Y2822" s="75"/>
    </row>
    <row r="2823" spans="1:25" x14ac:dyDescent="0.25">
      <c r="A2823" s="75"/>
      <c r="C2823" s="81"/>
      <c r="D2823" s="81"/>
      <c r="I2823" s="81"/>
      <c r="K2823" s="82"/>
      <c r="L2823" s="123"/>
      <c r="M2823" s="3"/>
      <c r="N2823" s="3"/>
      <c r="O2823" s="3"/>
      <c r="P2823" s="125"/>
      <c r="Q2823" s="125"/>
      <c r="R2823" s="127"/>
      <c r="S2823" s="123"/>
      <c r="T2823" s="3"/>
      <c r="W2823" s="86"/>
      <c r="Y2823" s="75"/>
    </row>
    <row r="2824" spans="1:25" x14ac:dyDescent="0.25">
      <c r="A2824" s="75"/>
      <c r="C2824" s="81"/>
      <c r="D2824" s="81"/>
      <c r="I2824" s="81"/>
      <c r="K2824" s="82"/>
      <c r="L2824" s="123"/>
      <c r="M2824" s="3"/>
      <c r="N2824" s="3"/>
      <c r="O2824" s="3"/>
      <c r="P2824" s="125"/>
      <c r="Q2824" s="125"/>
      <c r="R2824" s="127"/>
      <c r="S2824" s="123"/>
      <c r="T2824" s="3"/>
      <c r="W2824" s="86"/>
      <c r="Y2824" s="75"/>
    </row>
    <row r="2825" spans="1:25" x14ac:dyDescent="0.25">
      <c r="A2825" s="75"/>
      <c r="C2825" s="81"/>
      <c r="D2825" s="81"/>
      <c r="I2825" s="81"/>
      <c r="K2825" s="82"/>
      <c r="L2825" s="123"/>
      <c r="M2825" s="3"/>
      <c r="N2825" s="3"/>
      <c r="O2825" s="3"/>
      <c r="P2825" s="125"/>
      <c r="Q2825" s="125"/>
      <c r="R2825" s="127"/>
      <c r="S2825" s="123"/>
      <c r="T2825" s="3"/>
      <c r="W2825" s="86"/>
      <c r="Y2825" s="75"/>
    </row>
    <row r="2826" spans="1:25" x14ac:dyDescent="0.25">
      <c r="A2826" s="75"/>
      <c r="C2826" s="81"/>
      <c r="D2826" s="81"/>
      <c r="I2826" s="81"/>
      <c r="K2826" s="82"/>
      <c r="L2826" s="123"/>
      <c r="M2826" s="3"/>
      <c r="N2826" s="3"/>
      <c r="O2826" s="3"/>
      <c r="P2826" s="125"/>
      <c r="Q2826" s="125"/>
      <c r="R2826" s="127"/>
      <c r="S2826" s="123"/>
      <c r="T2826" s="3"/>
      <c r="W2826" s="86"/>
      <c r="Y2826" s="75"/>
    </row>
    <row r="2827" spans="1:25" x14ac:dyDescent="0.25">
      <c r="A2827" s="75"/>
      <c r="C2827" s="81"/>
      <c r="D2827" s="81"/>
      <c r="I2827" s="81"/>
      <c r="K2827" s="82"/>
      <c r="L2827" s="123"/>
      <c r="M2827" s="3"/>
      <c r="N2827" s="3"/>
      <c r="O2827" s="3"/>
      <c r="P2827" s="125"/>
      <c r="Q2827" s="125"/>
      <c r="R2827" s="127"/>
      <c r="S2827" s="123"/>
      <c r="T2827" s="3"/>
      <c r="W2827" s="86"/>
      <c r="Y2827" s="75"/>
    </row>
    <row r="2828" spans="1:25" x14ac:dyDescent="0.25">
      <c r="A2828" s="75"/>
      <c r="C2828" s="81"/>
      <c r="D2828" s="81"/>
      <c r="I2828" s="81"/>
      <c r="K2828" s="82"/>
      <c r="L2828" s="123"/>
      <c r="M2828" s="3"/>
      <c r="N2828" s="3"/>
      <c r="O2828" s="3"/>
      <c r="P2828" s="125"/>
      <c r="Q2828" s="125"/>
      <c r="R2828" s="127"/>
      <c r="S2828" s="123"/>
      <c r="T2828" s="3"/>
      <c r="W2828" s="86"/>
      <c r="Y2828" s="75"/>
    </row>
    <row r="2829" spans="1:25" x14ac:dyDescent="0.25">
      <c r="A2829" s="75"/>
      <c r="C2829" s="81"/>
      <c r="D2829" s="81"/>
      <c r="I2829" s="81"/>
      <c r="K2829" s="82"/>
      <c r="L2829" s="123"/>
      <c r="M2829" s="3"/>
      <c r="N2829" s="3"/>
      <c r="O2829" s="3"/>
      <c r="P2829" s="125"/>
      <c r="Q2829" s="125"/>
      <c r="R2829" s="127"/>
      <c r="S2829" s="123"/>
      <c r="T2829" s="3"/>
      <c r="W2829" s="86"/>
      <c r="Y2829" s="75"/>
    </row>
    <row r="2830" spans="1:25" x14ac:dyDescent="0.25">
      <c r="A2830" s="75"/>
      <c r="C2830" s="81"/>
      <c r="D2830" s="81"/>
      <c r="I2830" s="81"/>
      <c r="K2830" s="82"/>
      <c r="L2830" s="123"/>
      <c r="M2830" s="3"/>
      <c r="N2830" s="3"/>
      <c r="O2830" s="3"/>
      <c r="P2830" s="125"/>
      <c r="Q2830" s="125"/>
      <c r="R2830" s="127"/>
      <c r="S2830" s="123"/>
      <c r="T2830" s="3"/>
      <c r="W2830" s="86"/>
      <c r="Y2830" s="75"/>
    </row>
    <row r="2831" spans="1:25" x14ac:dyDescent="0.25">
      <c r="A2831" s="75"/>
      <c r="C2831" s="81"/>
      <c r="D2831" s="81"/>
      <c r="I2831" s="81"/>
      <c r="K2831" s="82"/>
      <c r="L2831" s="123"/>
      <c r="M2831" s="3"/>
      <c r="N2831" s="3"/>
      <c r="O2831" s="3"/>
      <c r="P2831" s="125"/>
      <c r="Q2831" s="125"/>
      <c r="R2831" s="127"/>
      <c r="S2831" s="123"/>
      <c r="T2831" s="3"/>
      <c r="W2831" s="86"/>
      <c r="Y2831" s="75"/>
    </row>
    <row r="2832" spans="1:25" x14ac:dyDescent="0.25">
      <c r="A2832" s="75"/>
      <c r="C2832" s="81"/>
      <c r="D2832" s="81"/>
      <c r="I2832" s="81"/>
      <c r="K2832" s="82"/>
      <c r="L2832" s="123"/>
      <c r="M2832" s="3"/>
      <c r="N2832" s="3"/>
      <c r="O2832" s="3"/>
      <c r="P2832" s="125"/>
      <c r="Q2832" s="125"/>
      <c r="R2832" s="127"/>
      <c r="S2832" s="123"/>
      <c r="T2832" s="3"/>
      <c r="W2832" s="86"/>
      <c r="Y2832" s="75"/>
    </row>
    <row r="2833" spans="1:25" x14ac:dyDescent="0.25">
      <c r="A2833" s="75"/>
      <c r="C2833" s="81"/>
      <c r="D2833" s="81"/>
      <c r="I2833" s="81"/>
      <c r="K2833" s="82"/>
      <c r="L2833" s="123"/>
      <c r="M2833" s="3"/>
      <c r="N2833" s="3"/>
      <c r="O2833" s="3"/>
      <c r="P2833" s="125"/>
      <c r="Q2833" s="125"/>
      <c r="R2833" s="127"/>
      <c r="S2833" s="123"/>
      <c r="T2833" s="3"/>
      <c r="W2833" s="86"/>
      <c r="Y2833" s="75"/>
    </row>
    <row r="2834" spans="1:25" x14ac:dyDescent="0.25">
      <c r="A2834" s="75"/>
      <c r="C2834" s="81"/>
      <c r="D2834" s="81"/>
      <c r="I2834" s="81"/>
      <c r="K2834" s="82"/>
      <c r="L2834" s="123"/>
      <c r="M2834" s="3"/>
      <c r="N2834" s="3"/>
      <c r="O2834" s="3"/>
      <c r="P2834" s="125"/>
      <c r="Q2834" s="125"/>
      <c r="R2834" s="127"/>
      <c r="S2834" s="123"/>
      <c r="T2834" s="3"/>
      <c r="W2834" s="86"/>
      <c r="Y2834" s="75"/>
    </row>
    <row r="2835" spans="1:25" x14ac:dyDescent="0.25">
      <c r="A2835" s="75"/>
      <c r="C2835" s="81"/>
      <c r="D2835" s="81"/>
      <c r="I2835" s="81"/>
      <c r="K2835" s="82"/>
      <c r="L2835" s="123"/>
      <c r="M2835" s="3"/>
      <c r="N2835" s="3"/>
      <c r="O2835" s="3"/>
      <c r="P2835" s="125"/>
      <c r="Q2835" s="125"/>
      <c r="R2835" s="127"/>
      <c r="S2835" s="123"/>
      <c r="T2835" s="3"/>
      <c r="W2835" s="86"/>
      <c r="Y2835" s="75"/>
    </row>
    <row r="2836" spans="1:25" x14ac:dyDescent="0.25">
      <c r="A2836" s="75"/>
      <c r="C2836" s="81"/>
      <c r="D2836" s="81"/>
      <c r="I2836" s="81"/>
      <c r="K2836" s="82"/>
      <c r="L2836" s="123"/>
      <c r="M2836" s="3"/>
      <c r="N2836" s="3"/>
      <c r="O2836" s="3"/>
      <c r="P2836" s="125"/>
      <c r="Q2836" s="125"/>
      <c r="R2836" s="127"/>
      <c r="S2836" s="123"/>
      <c r="T2836" s="3"/>
      <c r="W2836" s="86"/>
      <c r="Y2836" s="75"/>
    </row>
    <row r="2837" spans="1:25" x14ac:dyDescent="0.25">
      <c r="A2837" s="75"/>
      <c r="C2837" s="81"/>
      <c r="D2837" s="81"/>
      <c r="I2837" s="81"/>
      <c r="K2837" s="82"/>
      <c r="L2837" s="123"/>
      <c r="M2837" s="3"/>
      <c r="N2837" s="3"/>
      <c r="O2837" s="3"/>
      <c r="P2837" s="125"/>
      <c r="Q2837" s="125"/>
      <c r="R2837" s="127"/>
      <c r="S2837" s="123"/>
      <c r="T2837" s="3"/>
      <c r="W2837" s="86"/>
      <c r="Y2837" s="75"/>
    </row>
    <row r="2838" spans="1:25" x14ac:dyDescent="0.25">
      <c r="A2838" s="75"/>
      <c r="C2838" s="81"/>
      <c r="D2838" s="81"/>
      <c r="I2838" s="81"/>
      <c r="K2838" s="82"/>
      <c r="L2838" s="123"/>
      <c r="M2838" s="3"/>
      <c r="N2838" s="3"/>
      <c r="O2838" s="3"/>
      <c r="P2838" s="125"/>
      <c r="Q2838" s="125"/>
      <c r="R2838" s="127"/>
      <c r="S2838" s="123"/>
      <c r="T2838" s="3"/>
      <c r="W2838" s="86"/>
      <c r="Y2838" s="75"/>
    </row>
    <row r="2839" spans="1:25" x14ac:dyDescent="0.25">
      <c r="A2839" s="75"/>
      <c r="C2839" s="81"/>
      <c r="D2839" s="81"/>
      <c r="I2839" s="81"/>
      <c r="K2839" s="82"/>
      <c r="L2839" s="123"/>
      <c r="M2839" s="3"/>
      <c r="N2839" s="3"/>
      <c r="O2839" s="3"/>
      <c r="P2839" s="125"/>
      <c r="Q2839" s="125"/>
      <c r="R2839" s="127"/>
      <c r="S2839" s="123"/>
      <c r="T2839" s="3"/>
      <c r="W2839" s="86"/>
      <c r="Y2839" s="75"/>
    </row>
    <row r="2840" spans="1:25" x14ac:dyDescent="0.25">
      <c r="A2840" s="75"/>
      <c r="C2840" s="81"/>
      <c r="D2840" s="81"/>
      <c r="I2840" s="81"/>
      <c r="K2840" s="82"/>
      <c r="L2840" s="123"/>
      <c r="M2840" s="3"/>
      <c r="N2840" s="3"/>
      <c r="O2840" s="3"/>
      <c r="P2840" s="125"/>
      <c r="Q2840" s="125"/>
      <c r="R2840" s="127"/>
      <c r="S2840" s="123"/>
      <c r="T2840" s="3"/>
      <c r="W2840" s="86"/>
      <c r="Y2840" s="75"/>
    </row>
    <row r="2841" spans="1:25" x14ac:dyDescent="0.25">
      <c r="A2841" s="75"/>
      <c r="C2841" s="81"/>
      <c r="D2841" s="81"/>
      <c r="I2841" s="81"/>
      <c r="K2841" s="82"/>
      <c r="L2841" s="123"/>
      <c r="M2841" s="3"/>
      <c r="N2841" s="3"/>
      <c r="O2841" s="3"/>
      <c r="P2841" s="125"/>
      <c r="Q2841" s="125"/>
      <c r="R2841" s="127"/>
      <c r="S2841" s="123"/>
      <c r="T2841" s="3"/>
      <c r="W2841" s="86"/>
      <c r="Y2841" s="75"/>
    </row>
    <row r="2842" spans="1:25" x14ac:dyDescent="0.25">
      <c r="A2842" s="75"/>
      <c r="C2842" s="81"/>
      <c r="D2842" s="81"/>
      <c r="I2842" s="81"/>
      <c r="K2842" s="82"/>
      <c r="L2842" s="123"/>
      <c r="M2842" s="3"/>
      <c r="N2842" s="3"/>
      <c r="O2842" s="3"/>
      <c r="P2842" s="125"/>
      <c r="Q2842" s="125"/>
      <c r="R2842" s="127"/>
      <c r="S2842" s="123"/>
      <c r="T2842" s="3"/>
      <c r="W2842" s="86"/>
      <c r="Y2842" s="75"/>
    </row>
    <row r="2843" spans="1:25" x14ac:dyDescent="0.25">
      <c r="A2843" s="75"/>
      <c r="C2843" s="81"/>
      <c r="D2843" s="81"/>
      <c r="I2843" s="81"/>
      <c r="K2843" s="82"/>
      <c r="L2843" s="123"/>
      <c r="M2843" s="3"/>
      <c r="N2843" s="3"/>
      <c r="O2843" s="3"/>
      <c r="P2843" s="125"/>
      <c r="Q2843" s="125"/>
      <c r="R2843" s="127"/>
      <c r="S2843" s="123"/>
      <c r="T2843" s="3"/>
      <c r="W2843" s="86"/>
      <c r="Y2843" s="75"/>
    </row>
    <row r="2844" spans="1:25" x14ac:dyDescent="0.25">
      <c r="A2844" s="75"/>
      <c r="C2844" s="81"/>
      <c r="D2844" s="81"/>
      <c r="I2844" s="81"/>
      <c r="K2844" s="82"/>
      <c r="L2844" s="123"/>
      <c r="M2844" s="3"/>
      <c r="N2844" s="3"/>
      <c r="O2844" s="3"/>
      <c r="P2844" s="125"/>
      <c r="Q2844" s="125"/>
      <c r="R2844" s="127"/>
      <c r="S2844" s="123"/>
      <c r="T2844" s="3"/>
      <c r="W2844" s="86"/>
      <c r="Y2844" s="75"/>
    </row>
    <row r="2845" spans="1:25" x14ac:dyDescent="0.25">
      <c r="A2845" s="75"/>
      <c r="C2845" s="81"/>
      <c r="D2845" s="81"/>
      <c r="I2845" s="81"/>
      <c r="K2845" s="82"/>
      <c r="L2845" s="123"/>
      <c r="M2845" s="3"/>
      <c r="N2845" s="3"/>
      <c r="O2845" s="3"/>
      <c r="P2845" s="125"/>
      <c r="Q2845" s="125"/>
      <c r="R2845" s="127"/>
      <c r="S2845" s="123"/>
      <c r="T2845" s="3"/>
      <c r="W2845" s="86"/>
      <c r="Y2845" s="75"/>
    </row>
    <row r="2846" spans="1:25" x14ac:dyDescent="0.25">
      <c r="A2846" s="75"/>
      <c r="C2846" s="81"/>
      <c r="D2846" s="81"/>
      <c r="I2846" s="81"/>
      <c r="K2846" s="82"/>
      <c r="L2846" s="123"/>
      <c r="M2846" s="3"/>
      <c r="N2846" s="3"/>
      <c r="O2846" s="3"/>
      <c r="P2846" s="125"/>
      <c r="Q2846" s="125"/>
      <c r="R2846" s="127"/>
      <c r="S2846" s="123"/>
      <c r="T2846" s="3"/>
      <c r="W2846" s="86"/>
      <c r="Y2846" s="75"/>
    </row>
    <row r="2847" spans="1:25" x14ac:dyDescent="0.25">
      <c r="A2847" s="75"/>
      <c r="C2847" s="81"/>
      <c r="D2847" s="81"/>
      <c r="I2847" s="81"/>
      <c r="K2847" s="82"/>
      <c r="L2847" s="123"/>
      <c r="M2847" s="3"/>
      <c r="N2847" s="3"/>
      <c r="O2847" s="3"/>
      <c r="P2847" s="125"/>
      <c r="Q2847" s="125"/>
      <c r="R2847" s="127"/>
      <c r="S2847" s="123"/>
      <c r="T2847" s="3"/>
      <c r="W2847" s="86"/>
      <c r="Y2847" s="75"/>
    </row>
    <row r="2848" spans="1:25" x14ac:dyDescent="0.25">
      <c r="A2848" s="75"/>
      <c r="C2848" s="81"/>
      <c r="D2848" s="81"/>
      <c r="I2848" s="81"/>
      <c r="K2848" s="82"/>
      <c r="L2848" s="123"/>
      <c r="M2848" s="3"/>
      <c r="N2848" s="3"/>
      <c r="O2848" s="3"/>
      <c r="P2848" s="125"/>
      <c r="Q2848" s="125"/>
      <c r="R2848" s="127"/>
      <c r="S2848" s="123"/>
      <c r="T2848" s="3"/>
      <c r="W2848" s="86"/>
      <c r="Y2848" s="75"/>
    </row>
    <row r="2849" spans="1:25" x14ac:dyDescent="0.25">
      <c r="A2849" s="75"/>
      <c r="C2849" s="81"/>
      <c r="D2849" s="81"/>
      <c r="I2849" s="81"/>
      <c r="K2849" s="82"/>
      <c r="L2849" s="123"/>
      <c r="M2849" s="3"/>
      <c r="N2849" s="3"/>
      <c r="O2849" s="3"/>
      <c r="P2849" s="125"/>
      <c r="Q2849" s="125"/>
      <c r="R2849" s="127"/>
      <c r="S2849" s="123"/>
      <c r="T2849" s="3"/>
      <c r="W2849" s="86"/>
      <c r="Y2849" s="75"/>
    </row>
    <row r="2850" spans="1:25" x14ac:dyDescent="0.25">
      <c r="A2850" s="75"/>
      <c r="C2850" s="81"/>
      <c r="D2850" s="81"/>
      <c r="I2850" s="81"/>
      <c r="K2850" s="82"/>
      <c r="L2850" s="123"/>
      <c r="M2850" s="3"/>
      <c r="N2850" s="3"/>
      <c r="O2850" s="3"/>
      <c r="P2850" s="125"/>
      <c r="Q2850" s="125"/>
      <c r="R2850" s="127"/>
      <c r="S2850" s="123"/>
      <c r="T2850" s="3"/>
      <c r="W2850" s="86"/>
      <c r="Y2850" s="75"/>
    </row>
    <row r="2851" spans="1:25" x14ac:dyDescent="0.25">
      <c r="A2851" s="75"/>
      <c r="C2851" s="81"/>
      <c r="D2851" s="81"/>
      <c r="I2851" s="81"/>
      <c r="K2851" s="82"/>
      <c r="L2851" s="123"/>
      <c r="M2851" s="3"/>
      <c r="N2851" s="3"/>
      <c r="O2851" s="3"/>
      <c r="P2851" s="125"/>
      <c r="Q2851" s="125"/>
      <c r="R2851" s="127"/>
      <c r="S2851" s="123"/>
      <c r="T2851" s="3"/>
      <c r="W2851" s="86"/>
      <c r="Y2851" s="75"/>
    </row>
    <row r="2852" spans="1:25" x14ac:dyDescent="0.25">
      <c r="A2852" s="75"/>
      <c r="C2852" s="81"/>
      <c r="D2852" s="81"/>
      <c r="I2852" s="81"/>
      <c r="K2852" s="82"/>
      <c r="L2852" s="123"/>
      <c r="M2852" s="3"/>
      <c r="N2852" s="3"/>
      <c r="O2852" s="3"/>
      <c r="P2852" s="125"/>
      <c r="Q2852" s="125"/>
      <c r="R2852" s="127"/>
      <c r="S2852" s="123"/>
      <c r="T2852" s="3"/>
      <c r="W2852" s="86"/>
      <c r="Y2852" s="75"/>
    </row>
    <row r="2853" spans="1:25" x14ac:dyDescent="0.25">
      <c r="A2853" s="75"/>
      <c r="C2853" s="81"/>
      <c r="D2853" s="81"/>
      <c r="I2853" s="81"/>
      <c r="K2853" s="82"/>
      <c r="L2853" s="123"/>
      <c r="M2853" s="3"/>
      <c r="N2853" s="3"/>
      <c r="O2853" s="3"/>
      <c r="P2853" s="125"/>
      <c r="Q2853" s="125"/>
      <c r="R2853" s="127"/>
      <c r="S2853" s="123"/>
      <c r="T2853" s="3"/>
      <c r="W2853" s="86"/>
      <c r="Y2853" s="75"/>
    </row>
    <row r="2854" spans="1:25" x14ac:dyDescent="0.25">
      <c r="A2854" s="75"/>
      <c r="C2854" s="81"/>
      <c r="D2854" s="81"/>
      <c r="I2854" s="81"/>
      <c r="K2854" s="82"/>
      <c r="L2854" s="123"/>
      <c r="M2854" s="3"/>
      <c r="N2854" s="3"/>
      <c r="O2854" s="3"/>
      <c r="P2854" s="125"/>
      <c r="Q2854" s="125"/>
      <c r="R2854" s="127"/>
      <c r="S2854" s="123"/>
      <c r="T2854" s="3"/>
      <c r="W2854" s="86"/>
      <c r="Y2854" s="75"/>
    </row>
    <row r="2855" spans="1:25" x14ac:dyDescent="0.25">
      <c r="A2855" s="75"/>
      <c r="C2855" s="81"/>
      <c r="D2855" s="81"/>
      <c r="I2855" s="81"/>
      <c r="K2855" s="82"/>
      <c r="L2855" s="123"/>
      <c r="M2855" s="3"/>
      <c r="N2855" s="3"/>
      <c r="O2855" s="3"/>
      <c r="P2855" s="125"/>
      <c r="Q2855" s="125"/>
      <c r="R2855" s="127"/>
      <c r="S2855" s="123"/>
      <c r="T2855" s="3"/>
      <c r="W2855" s="86"/>
      <c r="Y2855" s="75"/>
    </row>
    <row r="2856" spans="1:25" x14ac:dyDescent="0.25">
      <c r="A2856" s="75"/>
      <c r="C2856" s="81"/>
      <c r="D2856" s="81"/>
      <c r="I2856" s="81"/>
      <c r="K2856" s="82"/>
      <c r="L2856" s="123"/>
      <c r="M2856" s="3"/>
      <c r="N2856" s="3"/>
      <c r="O2856" s="3"/>
      <c r="P2856" s="125"/>
      <c r="Q2856" s="125"/>
      <c r="R2856" s="127"/>
      <c r="S2856" s="123"/>
      <c r="T2856" s="3"/>
      <c r="W2856" s="86"/>
      <c r="Y2856" s="75"/>
    </row>
    <row r="2857" spans="1:25" x14ac:dyDescent="0.25">
      <c r="A2857" s="75"/>
      <c r="C2857" s="81"/>
      <c r="D2857" s="81"/>
      <c r="I2857" s="81"/>
      <c r="K2857" s="82"/>
      <c r="L2857" s="123"/>
      <c r="M2857" s="3"/>
      <c r="N2857" s="3"/>
      <c r="O2857" s="3"/>
      <c r="P2857" s="125"/>
      <c r="Q2857" s="125"/>
      <c r="R2857" s="127"/>
      <c r="S2857" s="123"/>
      <c r="T2857" s="3"/>
      <c r="W2857" s="86"/>
      <c r="Y2857" s="75"/>
    </row>
    <row r="2858" spans="1:25" x14ac:dyDescent="0.25">
      <c r="A2858" s="75"/>
      <c r="C2858" s="81"/>
      <c r="D2858" s="81"/>
      <c r="I2858" s="81"/>
      <c r="K2858" s="82"/>
      <c r="L2858" s="123"/>
      <c r="M2858" s="3"/>
      <c r="N2858" s="3"/>
      <c r="O2858" s="3"/>
      <c r="P2858" s="125"/>
      <c r="Q2858" s="125"/>
      <c r="R2858" s="127"/>
      <c r="S2858" s="123"/>
      <c r="T2858" s="3"/>
      <c r="W2858" s="86"/>
      <c r="Y2858" s="75"/>
    </row>
    <row r="2859" spans="1:25" x14ac:dyDescent="0.25">
      <c r="A2859" s="75"/>
      <c r="C2859" s="81"/>
      <c r="D2859" s="81"/>
      <c r="I2859" s="81"/>
      <c r="K2859" s="82"/>
      <c r="L2859" s="123"/>
      <c r="M2859" s="3"/>
      <c r="N2859" s="3"/>
      <c r="O2859" s="3"/>
      <c r="P2859" s="125"/>
      <c r="Q2859" s="125"/>
      <c r="R2859" s="127"/>
      <c r="S2859" s="123"/>
      <c r="T2859" s="3"/>
      <c r="W2859" s="86"/>
      <c r="Y2859" s="75"/>
    </row>
    <row r="2860" spans="1:25" x14ac:dyDescent="0.25">
      <c r="A2860" s="75"/>
      <c r="C2860" s="81"/>
      <c r="D2860" s="81"/>
      <c r="I2860" s="81"/>
      <c r="K2860" s="82"/>
      <c r="L2860" s="123"/>
      <c r="M2860" s="3"/>
      <c r="N2860" s="3"/>
      <c r="O2860" s="3"/>
      <c r="P2860" s="125"/>
      <c r="Q2860" s="125"/>
      <c r="R2860" s="127"/>
      <c r="S2860" s="123"/>
      <c r="T2860" s="3"/>
      <c r="W2860" s="86"/>
      <c r="Y2860" s="75"/>
    </row>
    <row r="2861" spans="1:25" x14ac:dyDescent="0.25">
      <c r="A2861" s="75"/>
      <c r="C2861" s="81"/>
      <c r="D2861" s="81"/>
      <c r="I2861" s="81"/>
      <c r="K2861" s="82"/>
      <c r="L2861" s="123"/>
      <c r="M2861" s="3"/>
      <c r="N2861" s="3"/>
      <c r="O2861" s="3"/>
      <c r="P2861" s="125"/>
      <c r="Q2861" s="125"/>
      <c r="R2861" s="127"/>
      <c r="S2861" s="123"/>
      <c r="T2861" s="3"/>
      <c r="W2861" s="86"/>
      <c r="Y2861" s="75"/>
    </row>
    <row r="2862" spans="1:25" x14ac:dyDescent="0.25">
      <c r="A2862" s="75"/>
      <c r="C2862" s="81"/>
      <c r="D2862" s="81"/>
      <c r="I2862" s="81"/>
      <c r="K2862" s="82"/>
      <c r="L2862" s="123"/>
      <c r="M2862" s="3"/>
      <c r="N2862" s="3"/>
      <c r="O2862" s="3"/>
      <c r="P2862" s="125"/>
      <c r="Q2862" s="125"/>
      <c r="R2862" s="127"/>
      <c r="S2862" s="123"/>
      <c r="T2862" s="3"/>
      <c r="W2862" s="86"/>
      <c r="Y2862" s="75"/>
    </row>
    <row r="2863" spans="1:25" x14ac:dyDescent="0.25">
      <c r="A2863" s="75"/>
      <c r="C2863" s="81"/>
      <c r="D2863" s="81"/>
      <c r="I2863" s="81"/>
      <c r="K2863" s="82"/>
      <c r="L2863" s="123"/>
      <c r="M2863" s="3"/>
      <c r="N2863" s="3"/>
      <c r="O2863" s="3"/>
      <c r="P2863" s="125"/>
      <c r="Q2863" s="125"/>
      <c r="R2863" s="127"/>
      <c r="S2863" s="123"/>
      <c r="T2863" s="3"/>
      <c r="W2863" s="86"/>
      <c r="Y2863" s="75"/>
    </row>
    <row r="2864" spans="1:25" x14ac:dyDescent="0.25">
      <c r="A2864" s="75"/>
      <c r="C2864" s="81"/>
      <c r="D2864" s="81"/>
      <c r="I2864" s="81"/>
      <c r="K2864" s="82"/>
      <c r="L2864" s="123"/>
      <c r="M2864" s="3"/>
      <c r="N2864" s="3"/>
      <c r="O2864" s="3"/>
      <c r="P2864" s="125"/>
      <c r="Q2864" s="125"/>
      <c r="R2864" s="127"/>
      <c r="S2864" s="123"/>
      <c r="T2864" s="3"/>
      <c r="W2864" s="86"/>
      <c r="Y2864" s="75"/>
    </row>
    <row r="2865" spans="1:25" x14ac:dyDescent="0.25">
      <c r="A2865" s="75"/>
      <c r="C2865" s="81"/>
      <c r="D2865" s="81"/>
      <c r="I2865" s="81"/>
      <c r="K2865" s="82"/>
      <c r="L2865" s="123"/>
      <c r="M2865" s="3"/>
      <c r="N2865" s="3"/>
      <c r="O2865" s="3"/>
      <c r="P2865" s="125"/>
      <c r="Q2865" s="125"/>
      <c r="R2865" s="127"/>
      <c r="S2865" s="123"/>
      <c r="T2865" s="3"/>
      <c r="W2865" s="86"/>
      <c r="Y2865" s="75"/>
    </row>
    <row r="2866" spans="1:25" x14ac:dyDescent="0.25">
      <c r="A2866" s="75"/>
      <c r="C2866" s="81"/>
      <c r="D2866" s="81"/>
      <c r="I2866" s="81"/>
      <c r="K2866" s="82"/>
      <c r="L2866" s="123"/>
      <c r="M2866" s="3"/>
      <c r="N2866" s="3"/>
      <c r="O2866" s="3"/>
      <c r="P2866" s="125"/>
      <c r="Q2866" s="125"/>
      <c r="R2866" s="127"/>
      <c r="S2866" s="123"/>
      <c r="T2866" s="3"/>
      <c r="W2866" s="86"/>
      <c r="Y2866" s="75"/>
    </row>
    <row r="2867" spans="1:25" x14ac:dyDescent="0.25">
      <c r="A2867" s="75"/>
      <c r="C2867" s="81"/>
      <c r="D2867" s="81"/>
      <c r="I2867" s="81"/>
      <c r="K2867" s="82"/>
      <c r="L2867" s="123"/>
      <c r="M2867" s="3"/>
      <c r="N2867" s="3"/>
      <c r="O2867" s="3"/>
      <c r="P2867" s="125"/>
      <c r="Q2867" s="125"/>
      <c r="R2867" s="127"/>
      <c r="S2867" s="123"/>
      <c r="T2867" s="3"/>
      <c r="W2867" s="86"/>
      <c r="Y2867" s="75"/>
    </row>
    <row r="2868" spans="1:25" x14ac:dyDescent="0.25">
      <c r="A2868" s="75"/>
      <c r="C2868" s="81"/>
      <c r="D2868" s="81"/>
      <c r="I2868" s="81"/>
      <c r="K2868" s="82"/>
      <c r="L2868" s="123"/>
      <c r="M2868" s="3"/>
      <c r="N2868" s="3"/>
      <c r="O2868" s="3"/>
      <c r="P2868" s="125"/>
      <c r="Q2868" s="125"/>
      <c r="R2868" s="127"/>
      <c r="S2868" s="123"/>
      <c r="T2868" s="3"/>
      <c r="W2868" s="86"/>
      <c r="Y2868" s="75"/>
    </row>
    <row r="2869" spans="1:25" x14ac:dyDescent="0.25">
      <c r="A2869" s="75"/>
      <c r="C2869" s="81"/>
      <c r="D2869" s="81"/>
      <c r="I2869" s="81"/>
      <c r="K2869" s="82"/>
      <c r="L2869" s="123"/>
      <c r="M2869" s="3"/>
      <c r="N2869" s="3"/>
      <c r="O2869" s="3"/>
      <c r="P2869" s="125"/>
      <c r="Q2869" s="125"/>
      <c r="R2869" s="127"/>
      <c r="S2869" s="123"/>
      <c r="T2869" s="3"/>
      <c r="W2869" s="86"/>
      <c r="Y2869" s="75"/>
    </row>
    <row r="2870" spans="1:25" x14ac:dyDescent="0.25">
      <c r="A2870" s="75"/>
      <c r="C2870" s="81"/>
      <c r="D2870" s="81"/>
      <c r="I2870" s="81"/>
      <c r="K2870" s="82"/>
      <c r="L2870" s="123"/>
      <c r="M2870" s="3"/>
      <c r="N2870" s="3"/>
      <c r="O2870" s="3"/>
      <c r="P2870" s="125"/>
      <c r="Q2870" s="125"/>
      <c r="R2870" s="127"/>
      <c r="S2870" s="123"/>
      <c r="T2870" s="3"/>
      <c r="W2870" s="86"/>
      <c r="Y2870" s="75"/>
    </row>
    <row r="2871" spans="1:25" x14ac:dyDescent="0.25">
      <c r="A2871" s="75"/>
      <c r="C2871" s="81"/>
      <c r="D2871" s="81"/>
      <c r="I2871" s="81"/>
      <c r="K2871" s="82"/>
      <c r="L2871" s="123"/>
      <c r="M2871" s="3"/>
      <c r="N2871" s="3"/>
      <c r="O2871" s="3"/>
      <c r="P2871" s="125"/>
      <c r="Q2871" s="125"/>
      <c r="R2871" s="127"/>
      <c r="S2871" s="123"/>
      <c r="T2871" s="3"/>
      <c r="W2871" s="86"/>
      <c r="Y2871" s="75"/>
    </row>
    <row r="2872" spans="1:25" x14ac:dyDescent="0.25">
      <c r="A2872" s="75"/>
      <c r="C2872" s="81"/>
      <c r="D2872" s="81"/>
      <c r="I2872" s="81"/>
      <c r="K2872" s="82"/>
      <c r="L2872" s="123"/>
      <c r="M2872" s="3"/>
      <c r="N2872" s="3"/>
      <c r="O2872" s="3"/>
      <c r="P2872" s="125"/>
      <c r="Q2872" s="125"/>
      <c r="R2872" s="127"/>
      <c r="S2872" s="123"/>
      <c r="T2872" s="3"/>
      <c r="W2872" s="86"/>
      <c r="Y2872" s="75"/>
    </row>
    <row r="2873" spans="1:25" x14ac:dyDescent="0.25">
      <c r="A2873" s="75"/>
      <c r="C2873" s="81"/>
      <c r="D2873" s="81"/>
      <c r="I2873" s="81"/>
      <c r="K2873" s="82"/>
      <c r="L2873" s="123"/>
      <c r="M2873" s="3"/>
      <c r="N2873" s="3"/>
      <c r="O2873" s="3"/>
      <c r="P2873" s="125"/>
      <c r="Q2873" s="125"/>
      <c r="R2873" s="127"/>
      <c r="S2873" s="123"/>
      <c r="T2873" s="3"/>
      <c r="W2873" s="86"/>
      <c r="Y2873" s="75"/>
    </row>
    <row r="2874" spans="1:25" x14ac:dyDescent="0.25">
      <c r="A2874" s="75"/>
      <c r="C2874" s="81"/>
      <c r="D2874" s="81"/>
      <c r="I2874" s="81"/>
      <c r="K2874" s="82"/>
      <c r="L2874" s="123"/>
      <c r="M2874" s="3"/>
      <c r="N2874" s="3"/>
      <c r="O2874" s="3"/>
      <c r="P2874" s="125"/>
      <c r="Q2874" s="125"/>
      <c r="R2874" s="127"/>
      <c r="S2874" s="123"/>
      <c r="T2874" s="3"/>
      <c r="W2874" s="86"/>
      <c r="Y2874" s="75"/>
    </row>
    <row r="2875" spans="1:25" x14ac:dyDescent="0.25">
      <c r="A2875" s="75"/>
      <c r="C2875" s="81"/>
      <c r="D2875" s="81"/>
      <c r="I2875" s="81"/>
      <c r="K2875" s="82"/>
      <c r="L2875" s="123"/>
      <c r="M2875" s="3"/>
      <c r="N2875" s="3"/>
      <c r="O2875" s="3"/>
      <c r="P2875" s="125"/>
      <c r="Q2875" s="125"/>
      <c r="R2875" s="127"/>
      <c r="S2875" s="123"/>
      <c r="T2875" s="3"/>
      <c r="W2875" s="86"/>
      <c r="Y2875" s="75"/>
    </row>
    <row r="2876" spans="1:25" x14ac:dyDescent="0.25">
      <c r="A2876" s="75"/>
      <c r="C2876" s="81"/>
      <c r="D2876" s="81"/>
      <c r="I2876" s="81"/>
      <c r="K2876" s="82"/>
      <c r="L2876" s="123"/>
      <c r="M2876" s="3"/>
      <c r="N2876" s="3"/>
      <c r="O2876" s="3"/>
      <c r="P2876" s="125"/>
      <c r="Q2876" s="125"/>
      <c r="R2876" s="127"/>
      <c r="S2876" s="123"/>
      <c r="T2876" s="3"/>
      <c r="W2876" s="86"/>
      <c r="Y2876" s="75"/>
    </row>
    <row r="2877" spans="1:25" x14ac:dyDescent="0.25">
      <c r="A2877" s="75"/>
      <c r="C2877" s="81"/>
      <c r="D2877" s="81"/>
      <c r="I2877" s="81"/>
      <c r="K2877" s="82"/>
      <c r="L2877" s="123"/>
      <c r="M2877" s="3"/>
      <c r="N2877" s="3"/>
      <c r="O2877" s="3"/>
      <c r="P2877" s="125"/>
      <c r="Q2877" s="125"/>
      <c r="R2877" s="127"/>
      <c r="S2877" s="123"/>
      <c r="T2877" s="3"/>
      <c r="W2877" s="86"/>
      <c r="Y2877" s="75"/>
    </row>
    <row r="2878" spans="1:25" x14ac:dyDescent="0.25">
      <c r="A2878" s="75"/>
      <c r="C2878" s="81"/>
      <c r="D2878" s="81"/>
      <c r="I2878" s="81"/>
      <c r="K2878" s="82"/>
      <c r="L2878" s="123"/>
      <c r="M2878" s="3"/>
      <c r="N2878" s="3"/>
      <c r="O2878" s="3"/>
      <c r="P2878" s="125"/>
      <c r="Q2878" s="125"/>
      <c r="R2878" s="127"/>
      <c r="S2878" s="123"/>
      <c r="T2878" s="3"/>
      <c r="W2878" s="86"/>
      <c r="Y2878" s="75"/>
    </row>
    <row r="2879" spans="1:25" x14ac:dyDescent="0.25">
      <c r="A2879" s="75"/>
      <c r="C2879" s="81"/>
      <c r="D2879" s="81"/>
      <c r="I2879" s="81"/>
      <c r="K2879" s="82"/>
      <c r="L2879" s="123"/>
      <c r="M2879" s="3"/>
      <c r="N2879" s="3"/>
      <c r="O2879" s="3"/>
      <c r="P2879" s="125"/>
      <c r="Q2879" s="125"/>
      <c r="R2879" s="127"/>
      <c r="S2879" s="123"/>
      <c r="T2879" s="3"/>
      <c r="W2879" s="86"/>
      <c r="Y2879" s="75"/>
    </row>
    <row r="2880" spans="1:25" x14ac:dyDescent="0.25">
      <c r="A2880" s="75"/>
      <c r="C2880" s="81"/>
      <c r="D2880" s="81"/>
      <c r="I2880" s="81"/>
      <c r="K2880" s="82"/>
      <c r="L2880" s="123"/>
      <c r="M2880" s="3"/>
      <c r="N2880" s="3"/>
      <c r="O2880" s="3"/>
      <c r="P2880" s="125"/>
      <c r="Q2880" s="125"/>
      <c r="R2880" s="127"/>
      <c r="S2880" s="123"/>
      <c r="T2880" s="3"/>
      <c r="W2880" s="86"/>
      <c r="Y2880" s="75"/>
    </row>
    <row r="2881" spans="1:25" x14ac:dyDescent="0.25">
      <c r="A2881" s="75"/>
      <c r="C2881" s="81"/>
      <c r="D2881" s="81"/>
      <c r="I2881" s="81"/>
      <c r="K2881" s="82"/>
      <c r="L2881" s="123"/>
      <c r="M2881" s="3"/>
      <c r="N2881" s="3"/>
      <c r="O2881" s="3"/>
      <c r="P2881" s="125"/>
      <c r="Q2881" s="125"/>
      <c r="R2881" s="127"/>
      <c r="S2881" s="123"/>
      <c r="T2881" s="3"/>
      <c r="W2881" s="86"/>
      <c r="Y2881" s="75"/>
    </row>
    <row r="2882" spans="1:25" x14ac:dyDescent="0.25">
      <c r="A2882" s="75"/>
      <c r="C2882" s="81"/>
      <c r="D2882" s="81"/>
      <c r="I2882" s="81"/>
      <c r="K2882" s="82"/>
      <c r="L2882" s="123"/>
      <c r="M2882" s="3"/>
      <c r="N2882" s="3"/>
      <c r="O2882" s="3"/>
      <c r="P2882" s="125"/>
      <c r="Q2882" s="125"/>
      <c r="R2882" s="127"/>
      <c r="S2882" s="123"/>
      <c r="T2882" s="3"/>
      <c r="W2882" s="86"/>
      <c r="Y2882" s="75"/>
    </row>
    <row r="2883" spans="1:25" x14ac:dyDescent="0.25">
      <c r="A2883" s="75"/>
      <c r="C2883" s="81"/>
      <c r="D2883" s="81"/>
      <c r="I2883" s="81"/>
      <c r="K2883" s="82"/>
      <c r="L2883" s="123"/>
      <c r="M2883" s="3"/>
      <c r="N2883" s="3"/>
      <c r="O2883" s="3"/>
      <c r="P2883" s="125"/>
      <c r="Q2883" s="125"/>
      <c r="R2883" s="127"/>
      <c r="S2883" s="123"/>
      <c r="T2883" s="3"/>
      <c r="W2883" s="86"/>
      <c r="Y2883" s="75"/>
    </row>
    <row r="2884" spans="1:25" x14ac:dyDescent="0.25">
      <c r="A2884" s="75"/>
      <c r="C2884" s="81"/>
      <c r="D2884" s="81"/>
      <c r="I2884" s="81"/>
      <c r="K2884" s="82"/>
      <c r="L2884" s="123"/>
      <c r="M2884" s="3"/>
      <c r="N2884" s="3"/>
      <c r="O2884" s="3"/>
      <c r="P2884" s="125"/>
      <c r="Q2884" s="125"/>
      <c r="R2884" s="127"/>
      <c r="S2884" s="123"/>
      <c r="T2884" s="3"/>
      <c r="W2884" s="86"/>
      <c r="Y2884" s="75"/>
    </row>
    <row r="2885" spans="1:25" x14ac:dyDescent="0.25">
      <c r="A2885" s="75"/>
      <c r="C2885" s="81"/>
      <c r="D2885" s="81"/>
      <c r="I2885" s="81"/>
      <c r="K2885" s="82"/>
      <c r="L2885" s="123"/>
      <c r="M2885" s="3"/>
      <c r="N2885" s="3"/>
      <c r="O2885" s="3"/>
      <c r="P2885" s="125"/>
      <c r="Q2885" s="125"/>
      <c r="R2885" s="127"/>
      <c r="S2885" s="123"/>
      <c r="T2885" s="3"/>
      <c r="W2885" s="86"/>
      <c r="Y2885" s="75"/>
    </row>
    <row r="2886" spans="1:25" x14ac:dyDescent="0.25">
      <c r="A2886" s="75"/>
      <c r="C2886" s="81"/>
      <c r="D2886" s="81"/>
      <c r="I2886" s="81"/>
      <c r="K2886" s="82"/>
      <c r="L2886" s="123"/>
      <c r="M2886" s="3"/>
      <c r="N2886" s="3"/>
      <c r="O2886" s="3"/>
      <c r="P2886" s="125"/>
      <c r="Q2886" s="125"/>
      <c r="R2886" s="127"/>
      <c r="S2886" s="123"/>
      <c r="T2886" s="3"/>
      <c r="W2886" s="86"/>
      <c r="Y2886" s="75"/>
    </row>
    <row r="2887" spans="1:25" x14ac:dyDescent="0.25">
      <c r="A2887" s="75"/>
      <c r="C2887" s="81"/>
      <c r="D2887" s="81"/>
      <c r="I2887" s="81"/>
      <c r="K2887" s="82"/>
      <c r="L2887" s="123"/>
      <c r="M2887" s="3"/>
      <c r="N2887" s="3"/>
      <c r="O2887" s="3"/>
      <c r="P2887" s="125"/>
      <c r="Q2887" s="125"/>
      <c r="R2887" s="127"/>
      <c r="S2887" s="123"/>
      <c r="T2887" s="3"/>
      <c r="W2887" s="86"/>
      <c r="Y2887" s="75"/>
    </row>
    <row r="2888" spans="1:25" x14ac:dyDescent="0.25">
      <c r="A2888" s="75"/>
      <c r="C2888" s="81"/>
      <c r="D2888" s="81"/>
      <c r="I2888" s="81"/>
      <c r="K2888" s="82"/>
      <c r="L2888" s="123"/>
      <c r="M2888" s="3"/>
      <c r="N2888" s="3"/>
      <c r="O2888" s="3"/>
      <c r="P2888" s="125"/>
      <c r="Q2888" s="125"/>
      <c r="R2888" s="127"/>
      <c r="S2888" s="123"/>
      <c r="T2888" s="3"/>
      <c r="W2888" s="86"/>
      <c r="Y2888" s="75"/>
    </row>
    <row r="2889" spans="1:25" x14ac:dyDescent="0.25">
      <c r="A2889" s="75"/>
      <c r="C2889" s="81"/>
      <c r="D2889" s="81"/>
      <c r="I2889" s="81"/>
      <c r="K2889" s="82"/>
      <c r="L2889" s="123"/>
      <c r="M2889" s="3"/>
      <c r="N2889" s="3"/>
      <c r="O2889" s="3"/>
      <c r="P2889" s="125"/>
      <c r="Q2889" s="125"/>
      <c r="R2889" s="127"/>
      <c r="S2889" s="123"/>
      <c r="T2889" s="3"/>
      <c r="W2889" s="86"/>
      <c r="Y2889" s="75"/>
    </row>
    <row r="2890" spans="1:25" x14ac:dyDescent="0.25">
      <c r="A2890" s="75"/>
      <c r="C2890" s="81"/>
      <c r="D2890" s="81"/>
      <c r="I2890" s="81"/>
      <c r="K2890" s="82"/>
      <c r="L2890" s="123"/>
      <c r="M2890" s="3"/>
      <c r="N2890" s="3"/>
      <c r="O2890" s="3"/>
      <c r="P2890" s="125"/>
      <c r="Q2890" s="125"/>
      <c r="R2890" s="127"/>
      <c r="S2890" s="123"/>
      <c r="T2890" s="3"/>
      <c r="W2890" s="86"/>
      <c r="Y2890" s="75"/>
    </row>
    <row r="2891" spans="1:25" x14ac:dyDescent="0.25">
      <c r="A2891" s="75"/>
      <c r="C2891" s="81"/>
      <c r="D2891" s="81"/>
      <c r="I2891" s="81"/>
      <c r="K2891" s="82"/>
      <c r="L2891" s="123"/>
      <c r="M2891" s="3"/>
      <c r="N2891" s="3"/>
      <c r="O2891" s="3"/>
      <c r="P2891" s="125"/>
      <c r="Q2891" s="125"/>
      <c r="R2891" s="127"/>
      <c r="S2891" s="123"/>
      <c r="T2891" s="3"/>
      <c r="W2891" s="86"/>
      <c r="Y2891" s="75"/>
    </row>
    <row r="2892" spans="1:25" x14ac:dyDescent="0.25">
      <c r="A2892" s="75"/>
      <c r="C2892" s="81"/>
      <c r="D2892" s="81"/>
      <c r="I2892" s="81"/>
      <c r="K2892" s="82"/>
      <c r="L2892" s="123"/>
      <c r="M2892" s="3"/>
      <c r="N2892" s="3"/>
      <c r="O2892" s="3"/>
      <c r="P2892" s="125"/>
      <c r="Q2892" s="125"/>
      <c r="R2892" s="127"/>
      <c r="S2892" s="123"/>
      <c r="T2892" s="3"/>
      <c r="W2892" s="86"/>
      <c r="Y2892" s="75"/>
    </row>
    <row r="2893" spans="1:25" x14ac:dyDescent="0.25">
      <c r="A2893" s="75"/>
      <c r="C2893" s="81"/>
      <c r="D2893" s="81"/>
      <c r="I2893" s="81"/>
      <c r="K2893" s="82"/>
      <c r="L2893" s="123"/>
      <c r="M2893" s="3"/>
      <c r="N2893" s="3"/>
      <c r="O2893" s="3"/>
      <c r="P2893" s="125"/>
      <c r="Q2893" s="125"/>
      <c r="R2893" s="127"/>
      <c r="S2893" s="123"/>
      <c r="T2893" s="3"/>
      <c r="W2893" s="86"/>
      <c r="Y2893" s="75"/>
    </row>
    <row r="2894" spans="1:25" x14ac:dyDescent="0.25">
      <c r="A2894" s="75"/>
      <c r="C2894" s="81"/>
      <c r="D2894" s="81"/>
      <c r="I2894" s="81"/>
      <c r="K2894" s="82"/>
      <c r="L2894" s="123"/>
      <c r="M2894" s="3"/>
      <c r="N2894" s="3"/>
      <c r="O2894" s="3"/>
      <c r="P2894" s="125"/>
      <c r="Q2894" s="125"/>
      <c r="R2894" s="127"/>
      <c r="S2894" s="123"/>
      <c r="T2894" s="3"/>
      <c r="W2894" s="86"/>
      <c r="Y2894" s="75"/>
    </row>
    <row r="2895" spans="1:25" x14ac:dyDescent="0.25">
      <c r="A2895" s="75"/>
      <c r="C2895" s="81"/>
      <c r="D2895" s="81"/>
      <c r="I2895" s="81"/>
      <c r="K2895" s="82"/>
      <c r="L2895" s="123"/>
      <c r="M2895" s="3"/>
      <c r="N2895" s="3"/>
      <c r="O2895" s="3"/>
      <c r="P2895" s="125"/>
      <c r="Q2895" s="125"/>
      <c r="R2895" s="127"/>
      <c r="S2895" s="123"/>
      <c r="T2895" s="3"/>
      <c r="W2895" s="86"/>
      <c r="Y2895" s="75"/>
    </row>
    <row r="2896" spans="1:25" x14ac:dyDescent="0.25">
      <c r="A2896" s="75"/>
      <c r="C2896" s="81"/>
      <c r="D2896" s="81"/>
      <c r="I2896" s="81"/>
      <c r="K2896" s="82"/>
      <c r="L2896" s="123"/>
      <c r="M2896" s="3"/>
      <c r="N2896" s="3"/>
      <c r="O2896" s="3"/>
      <c r="P2896" s="125"/>
      <c r="Q2896" s="125"/>
      <c r="R2896" s="127"/>
      <c r="S2896" s="123"/>
      <c r="T2896" s="3"/>
      <c r="W2896" s="86"/>
      <c r="Y2896" s="75"/>
    </row>
    <row r="2897" spans="1:25" x14ac:dyDescent="0.25">
      <c r="A2897" s="75"/>
      <c r="C2897" s="81"/>
      <c r="D2897" s="81"/>
      <c r="I2897" s="81"/>
      <c r="K2897" s="82"/>
      <c r="L2897" s="123"/>
      <c r="M2897" s="3"/>
      <c r="N2897" s="3"/>
      <c r="O2897" s="3"/>
      <c r="P2897" s="125"/>
      <c r="Q2897" s="125"/>
      <c r="R2897" s="127"/>
      <c r="S2897" s="123"/>
      <c r="T2897" s="3"/>
      <c r="W2897" s="86"/>
      <c r="Y2897" s="75"/>
    </row>
    <row r="2898" spans="1:25" x14ac:dyDescent="0.25">
      <c r="A2898" s="75"/>
      <c r="C2898" s="81"/>
      <c r="D2898" s="81"/>
      <c r="I2898" s="81"/>
      <c r="K2898" s="82"/>
      <c r="L2898" s="123"/>
      <c r="M2898" s="3"/>
      <c r="N2898" s="3"/>
      <c r="O2898" s="3"/>
      <c r="P2898" s="125"/>
      <c r="Q2898" s="125"/>
      <c r="R2898" s="127"/>
      <c r="S2898" s="123"/>
      <c r="T2898" s="3"/>
      <c r="W2898" s="86"/>
      <c r="Y2898" s="75"/>
    </row>
    <row r="2899" spans="1:25" x14ac:dyDescent="0.25">
      <c r="A2899" s="75"/>
      <c r="C2899" s="81"/>
      <c r="D2899" s="81"/>
      <c r="I2899" s="81"/>
      <c r="K2899" s="82"/>
      <c r="L2899" s="123"/>
      <c r="M2899" s="3"/>
      <c r="N2899" s="3"/>
      <c r="O2899" s="3"/>
      <c r="P2899" s="125"/>
      <c r="Q2899" s="125"/>
      <c r="R2899" s="127"/>
      <c r="S2899" s="123"/>
      <c r="T2899" s="3"/>
      <c r="W2899" s="86"/>
      <c r="Y2899" s="75"/>
    </row>
    <row r="2900" spans="1:25" x14ac:dyDescent="0.25">
      <c r="A2900" s="75"/>
      <c r="C2900" s="81"/>
      <c r="D2900" s="81"/>
      <c r="I2900" s="81"/>
      <c r="K2900" s="82"/>
      <c r="L2900" s="123"/>
      <c r="M2900" s="3"/>
      <c r="N2900" s="3"/>
      <c r="O2900" s="3"/>
      <c r="P2900" s="125"/>
      <c r="Q2900" s="125"/>
      <c r="R2900" s="127"/>
      <c r="S2900" s="123"/>
      <c r="T2900" s="3"/>
      <c r="W2900" s="86"/>
      <c r="Y2900" s="75"/>
    </row>
    <row r="2901" spans="1:25" x14ac:dyDescent="0.25">
      <c r="A2901" s="75"/>
      <c r="C2901" s="81"/>
      <c r="D2901" s="81"/>
      <c r="I2901" s="81"/>
      <c r="K2901" s="82"/>
      <c r="L2901" s="123"/>
      <c r="M2901" s="3"/>
      <c r="N2901" s="3"/>
      <c r="O2901" s="3"/>
      <c r="P2901" s="125"/>
      <c r="Q2901" s="125"/>
      <c r="R2901" s="127"/>
      <c r="S2901" s="123"/>
      <c r="T2901" s="3"/>
      <c r="W2901" s="86"/>
      <c r="Y2901" s="75"/>
    </row>
    <row r="2902" spans="1:25" x14ac:dyDescent="0.25">
      <c r="A2902" s="75"/>
      <c r="C2902" s="81"/>
      <c r="D2902" s="81"/>
      <c r="I2902" s="81"/>
      <c r="K2902" s="82"/>
      <c r="L2902" s="123"/>
      <c r="M2902" s="3"/>
      <c r="N2902" s="3"/>
      <c r="O2902" s="3"/>
      <c r="P2902" s="125"/>
      <c r="Q2902" s="125"/>
      <c r="R2902" s="127"/>
      <c r="S2902" s="123"/>
      <c r="T2902" s="3"/>
      <c r="W2902" s="86"/>
      <c r="Y2902" s="75"/>
    </row>
    <row r="2903" spans="1:25" x14ac:dyDescent="0.25">
      <c r="A2903" s="75"/>
      <c r="C2903" s="81"/>
      <c r="D2903" s="81"/>
      <c r="I2903" s="81"/>
      <c r="K2903" s="82"/>
      <c r="L2903" s="123"/>
      <c r="M2903" s="3"/>
      <c r="N2903" s="3"/>
      <c r="O2903" s="3"/>
      <c r="P2903" s="125"/>
      <c r="Q2903" s="125"/>
      <c r="R2903" s="127"/>
      <c r="S2903" s="123"/>
      <c r="T2903" s="3"/>
      <c r="W2903" s="86"/>
      <c r="Y2903" s="75"/>
    </row>
    <row r="2904" spans="1:25" x14ac:dyDescent="0.25">
      <c r="A2904" s="75"/>
      <c r="C2904" s="81"/>
      <c r="D2904" s="81"/>
      <c r="I2904" s="81"/>
      <c r="K2904" s="82"/>
      <c r="L2904" s="123"/>
      <c r="M2904" s="3"/>
      <c r="N2904" s="3"/>
      <c r="O2904" s="3"/>
      <c r="P2904" s="125"/>
      <c r="Q2904" s="125"/>
      <c r="R2904" s="127"/>
      <c r="S2904" s="123"/>
      <c r="T2904" s="3"/>
      <c r="W2904" s="86"/>
      <c r="Y2904" s="75"/>
    </row>
    <row r="2905" spans="1:25" x14ac:dyDescent="0.25">
      <c r="A2905" s="75"/>
      <c r="C2905" s="81"/>
      <c r="D2905" s="81"/>
      <c r="I2905" s="81"/>
      <c r="K2905" s="82"/>
      <c r="L2905" s="123"/>
      <c r="M2905" s="3"/>
      <c r="N2905" s="3"/>
      <c r="O2905" s="3"/>
      <c r="P2905" s="125"/>
      <c r="Q2905" s="125"/>
      <c r="R2905" s="127"/>
      <c r="S2905" s="123"/>
      <c r="T2905" s="3"/>
      <c r="W2905" s="86"/>
      <c r="Y2905" s="75"/>
    </row>
    <row r="2906" spans="1:25" x14ac:dyDescent="0.25">
      <c r="A2906" s="75"/>
      <c r="C2906" s="81"/>
      <c r="D2906" s="81"/>
      <c r="I2906" s="81"/>
      <c r="K2906" s="82"/>
      <c r="L2906" s="123"/>
      <c r="M2906" s="3"/>
      <c r="N2906" s="3"/>
      <c r="O2906" s="3"/>
      <c r="P2906" s="125"/>
      <c r="Q2906" s="125"/>
      <c r="R2906" s="127"/>
      <c r="S2906" s="123"/>
      <c r="T2906" s="3"/>
      <c r="W2906" s="86"/>
      <c r="Y2906" s="75"/>
    </row>
    <row r="2907" spans="1:25" x14ac:dyDescent="0.25">
      <c r="A2907" s="75"/>
      <c r="C2907" s="81"/>
      <c r="D2907" s="81"/>
      <c r="I2907" s="81"/>
      <c r="K2907" s="82"/>
      <c r="L2907" s="123"/>
      <c r="M2907" s="3"/>
      <c r="N2907" s="3"/>
      <c r="O2907" s="3"/>
      <c r="P2907" s="125"/>
      <c r="Q2907" s="125"/>
      <c r="R2907" s="127"/>
      <c r="S2907" s="123"/>
      <c r="T2907" s="3"/>
      <c r="W2907" s="86"/>
      <c r="Y2907" s="75"/>
    </row>
    <row r="2908" spans="1:25" x14ac:dyDescent="0.25">
      <c r="A2908" s="75"/>
      <c r="C2908" s="81"/>
      <c r="D2908" s="81"/>
      <c r="I2908" s="81"/>
      <c r="K2908" s="82"/>
      <c r="L2908" s="123"/>
      <c r="M2908" s="3"/>
      <c r="N2908" s="3"/>
      <c r="O2908" s="3"/>
      <c r="P2908" s="125"/>
      <c r="Q2908" s="125"/>
      <c r="R2908" s="127"/>
      <c r="S2908" s="123"/>
      <c r="T2908" s="3"/>
      <c r="W2908" s="86"/>
      <c r="Y2908" s="75"/>
    </row>
    <row r="2909" spans="1:25" x14ac:dyDescent="0.25">
      <c r="A2909" s="75"/>
      <c r="C2909" s="81"/>
      <c r="D2909" s="81"/>
      <c r="I2909" s="81"/>
      <c r="K2909" s="82"/>
      <c r="L2909" s="123"/>
      <c r="M2909" s="3"/>
      <c r="N2909" s="3"/>
      <c r="O2909" s="3"/>
      <c r="P2909" s="125"/>
      <c r="Q2909" s="125"/>
      <c r="R2909" s="127"/>
      <c r="S2909" s="123"/>
      <c r="T2909" s="3"/>
      <c r="W2909" s="86"/>
      <c r="Y2909" s="75"/>
    </row>
    <row r="2910" spans="1:25" x14ac:dyDescent="0.25">
      <c r="A2910" s="75"/>
      <c r="C2910" s="81"/>
      <c r="D2910" s="81"/>
      <c r="I2910" s="81"/>
      <c r="K2910" s="82"/>
      <c r="L2910" s="123"/>
      <c r="M2910" s="3"/>
      <c r="N2910" s="3"/>
      <c r="O2910" s="3"/>
      <c r="P2910" s="125"/>
      <c r="Q2910" s="125"/>
      <c r="R2910" s="127"/>
      <c r="S2910" s="123"/>
      <c r="T2910" s="3"/>
      <c r="W2910" s="86"/>
      <c r="Y2910" s="75"/>
    </row>
    <row r="2911" spans="1:25" x14ac:dyDescent="0.25">
      <c r="A2911" s="75"/>
      <c r="C2911" s="81"/>
      <c r="D2911" s="81"/>
      <c r="I2911" s="81"/>
      <c r="K2911" s="82"/>
      <c r="L2911" s="123"/>
      <c r="M2911" s="3"/>
      <c r="N2911" s="3"/>
      <c r="O2911" s="3"/>
      <c r="P2911" s="125"/>
      <c r="Q2911" s="125"/>
      <c r="R2911" s="127"/>
      <c r="S2911" s="123"/>
      <c r="T2911" s="3"/>
      <c r="W2911" s="86"/>
      <c r="Y2911" s="75"/>
    </row>
    <row r="2912" spans="1:25" x14ac:dyDescent="0.25">
      <c r="A2912" s="75"/>
      <c r="C2912" s="81"/>
      <c r="D2912" s="81"/>
      <c r="I2912" s="81"/>
      <c r="K2912" s="82"/>
      <c r="L2912" s="123"/>
      <c r="M2912" s="3"/>
      <c r="N2912" s="3"/>
      <c r="O2912" s="3"/>
      <c r="P2912" s="125"/>
      <c r="Q2912" s="125"/>
      <c r="R2912" s="127"/>
      <c r="S2912" s="123"/>
      <c r="T2912" s="3"/>
      <c r="W2912" s="86"/>
      <c r="Y2912" s="75"/>
    </row>
    <row r="2913" spans="1:25" x14ac:dyDescent="0.25">
      <c r="A2913" s="75"/>
      <c r="C2913" s="81"/>
      <c r="D2913" s="81"/>
      <c r="I2913" s="81"/>
      <c r="K2913" s="82"/>
      <c r="L2913" s="123"/>
      <c r="M2913" s="3"/>
      <c r="N2913" s="3"/>
      <c r="O2913" s="3"/>
      <c r="P2913" s="125"/>
      <c r="Q2913" s="125"/>
      <c r="R2913" s="127"/>
      <c r="S2913" s="123"/>
      <c r="T2913" s="3"/>
      <c r="W2913" s="86"/>
      <c r="Y2913" s="75"/>
    </row>
    <row r="2914" spans="1:25" x14ac:dyDescent="0.25">
      <c r="A2914" s="75"/>
      <c r="C2914" s="81"/>
      <c r="D2914" s="81"/>
      <c r="I2914" s="81"/>
      <c r="K2914" s="82"/>
      <c r="L2914" s="123"/>
      <c r="M2914" s="3"/>
      <c r="N2914" s="3"/>
      <c r="O2914" s="3"/>
      <c r="P2914" s="125"/>
      <c r="Q2914" s="125"/>
      <c r="R2914" s="127"/>
      <c r="S2914" s="123"/>
      <c r="T2914" s="3"/>
      <c r="W2914" s="86"/>
      <c r="Y2914" s="75"/>
    </row>
    <row r="2915" spans="1:25" x14ac:dyDescent="0.25">
      <c r="A2915" s="75"/>
      <c r="C2915" s="81"/>
      <c r="D2915" s="81"/>
      <c r="I2915" s="81"/>
      <c r="K2915" s="82"/>
      <c r="L2915" s="123"/>
      <c r="M2915" s="3"/>
      <c r="N2915" s="3"/>
      <c r="O2915" s="3"/>
      <c r="P2915" s="125"/>
      <c r="Q2915" s="125"/>
      <c r="R2915" s="127"/>
      <c r="S2915" s="123"/>
      <c r="T2915" s="3"/>
      <c r="W2915" s="86"/>
      <c r="Y2915" s="75"/>
    </row>
    <row r="2916" spans="1:25" x14ac:dyDescent="0.25">
      <c r="A2916" s="75"/>
      <c r="C2916" s="81"/>
      <c r="D2916" s="81"/>
      <c r="I2916" s="81"/>
      <c r="K2916" s="82"/>
      <c r="L2916" s="123"/>
      <c r="M2916" s="3"/>
      <c r="N2916" s="3"/>
      <c r="O2916" s="3"/>
      <c r="P2916" s="125"/>
      <c r="Q2916" s="125"/>
      <c r="R2916" s="127"/>
      <c r="S2916" s="123"/>
      <c r="T2916" s="3"/>
      <c r="W2916" s="86"/>
      <c r="Y2916" s="75"/>
    </row>
    <row r="2917" spans="1:25" x14ac:dyDescent="0.25">
      <c r="A2917" s="75"/>
      <c r="C2917" s="81"/>
      <c r="D2917" s="81"/>
      <c r="I2917" s="81"/>
      <c r="K2917" s="82"/>
      <c r="L2917" s="123"/>
      <c r="M2917" s="3"/>
      <c r="N2917" s="3"/>
      <c r="O2917" s="3"/>
      <c r="P2917" s="125"/>
      <c r="Q2917" s="125"/>
      <c r="R2917" s="127"/>
      <c r="S2917" s="123"/>
      <c r="T2917" s="3"/>
      <c r="W2917" s="86"/>
      <c r="Y2917" s="75"/>
    </row>
    <row r="2918" spans="1:25" x14ac:dyDescent="0.25">
      <c r="A2918" s="75"/>
      <c r="C2918" s="81"/>
      <c r="D2918" s="81"/>
      <c r="I2918" s="81"/>
      <c r="K2918" s="82"/>
      <c r="L2918" s="123"/>
      <c r="M2918" s="3"/>
      <c r="N2918" s="3"/>
      <c r="O2918" s="3"/>
      <c r="P2918" s="125"/>
      <c r="Q2918" s="125"/>
      <c r="R2918" s="127"/>
      <c r="S2918" s="123"/>
      <c r="T2918" s="3"/>
      <c r="W2918" s="86"/>
      <c r="Y2918" s="75"/>
    </row>
    <row r="2919" spans="1:25" x14ac:dyDescent="0.25">
      <c r="A2919" s="75"/>
      <c r="C2919" s="81"/>
      <c r="D2919" s="81"/>
      <c r="I2919" s="81"/>
      <c r="K2919" s="82"/>
      <c r="L2919" s="123"/>
      <c r="M2919" s="3"/>
      <c r="N2919" s="3"/>
      <c r="O2919" s="3"/>
      <c r="P2919" s="125"/>
      <c r="Q2919" s="125"/>
      <c r="R2919" s="127"/>
      <c r="S2919" s="123"/>
      <c r="T2919" s="3"/>
      <c r="W2919" s="86"/>
      <c r="Y2919" s="75"/>
    </row>
    <row r="2920" spans="1:25" x14ac:dyDescent="0.25">
      <c r="A2920" s="75"/>
      <c r="C2920" s="81"/>
      <c r="D2920" s="81"/>
      <c r="I2920" s="81"/>
      <c r="K2920" s="82"/>
      <c r="L2920" s="123"/>
      <c r="M2920" s="3"/>
      <c r="N2920" s="3"/>
      <c r="O2920" s="3"/>
      <c r="P2920" s="125"/>
      <c r="Q2920" s="125"/>
      <c r="R2920" s="127"/>
      <c r="S2920" s="123"/>
      <c r="T2920" s="3"/>
      <c r="W2920" s="86"/>
      <c r="Y2920" s="75"/>
    </row>
    <row r="2921" spans="1:25" x14ac:dyDescent="0.25">
      <c r="A2921" s="75"/>
      <c r="C2921" s="81"/>
      <c r="D2921" s="81"/>
      <c r="I2921" s="81"/>
      <c r="K2921" s="82"/>
      <c r="L2921" s="123"/>
      <c r="M2921" s="3"/>
      <c r="N2921" s="3"/>
      <c r="O2921" s="3"/>
      <c r="P2921" s="125"/>
      <c r="Q2921" s="125"/>
      <c r="R2921" s="127"/>
      <c r="S2921" s="123"/>
      <c r="T2921" s="3"/>
      <c r="W2921" s="86"/>
      <c r="Y2921" s="75"/>
    </row>
    <row r="2922" spans="1:25" x14ac:dyDescent="0.25">
      <c r="A2922" s="75"/>
      <c r="C2922" s="81"/>
      <c r="D2922" s="81"/>
      <c r="I2922" s="81"/>
      <c r="K2922" s="82"/>
      <c r="L2922" s="123"/>
      <c r="M2922" s="3"/>
      <c r="N2922" s="3"/>
      <c r="O2922" s="3"/>
      <c r="P2922" s="125"/>
      <c r="Q2922" s="125"/>
      <c r="R2922" s="127"/>
      <c r="S2922" s="123"/>
      <c r="T2922" s="3"/>
      <c r="W2922" s="86"/>
      <c r="Y2922" s="75"/>
    </row>
    <row r="2923" spans="1:25" x14ac:dyDescent="0.25">
      <c r="A2923" s="75"/>
      <c r="C2923" s="81"/>
      <c r="D2923" s="81"/>
      <c r="I2923" s="81"/>
      <c r="K2923" s="82"/>
      <c r="L2923" s="123"/>
      <c r="M2923" s="3"/>
      <c r="N2923" s="3"/>
      <c r="O2923" s="3"/>
      <c r="P2923" s="125"/>
      <c r="Q2923" s="125"/>
      <c r="R2923" s="127"/>
      <c r="S2923" s="123"/>
      <c r="T2923" s="3"/>
      <c r="W2923" s="86"/>
      <c r="Y2923" s="75"/>
    </row>
    <row r="2924" spans="1:25" x14ac:dyDescent="0.25">
      <c r="A2924" s="75"/>
      <c r="C2924" s="81"/>
      <c r="D2924" s="81"/>
      <c r="I2924" s="81"/>
      <c r="K2924" s="82"/>
      <c r="L2924" s="123"/>
      <c r="M2924" s="3"/>
      <c r="N2924" s="3"/>
      <c r="O2924" s="3"/>
      <c r="P2924" s="125"/>
      <c r="Q2924" s="125"/>
      <c r="R2924" s="127"/>
      <c r="S2924" s="123"/>
      <c r="T2924" s="3"/>
      <c r="W2924" s="86"/>
      <c r="Y2924" s="75"/>
    </row>
    <row r="2925" spans="1:25" x14ac:dyDescent="0.25">
      <c r="A2925" s="75"/>
      <c r="C2925" s="81"/>
      <c r="D2925" s="81"/>
      <c r="I2925" s="81"/>
      <c r="K2925" s="82"/>
      <c r="L2925" s="123"/>
      <c r="M2925" s="3"/>
      <c r="N2925" s="3"/>
      <c r="O2925" s="3"/>
      <c r="P2925" s="125"/>
      <c r="Q2925" s="125"/>
      <c r="R2925" s="127"/>
      <c r="S2925" s="123"/>
      <c r="T2925" s="3"/>
      <c r="W2925" s="86"/>
      <c r="Y2925" s="75"/>
    </row>
    <row r="2926" spans="1:25" x14ac:dyDescent="0.25">
      <c r="A2926" s="75"/>
      <c r="C2926" s="81"/>
      <c r="D2926" s="81"/>
      <c r="I2926" s="81"/>
      <c r="K2926" s="82"/>
      <c r="L2926" s="123"/>
      <c r="M2926" s="3"/>
      <c r="N2926" s="3"/>
      <c r="O2926" s="3"/>
      <c r="P2926" s="125"/>
      <c r="Q2926" s="125"/>
      <c r="R2926" s="127"/>
      <c r="S2926" s="123"/>
      <c r="T2926" s="3"/>
      <c r="W2926" s="86"/>
      <c r="Y2926" s="75"/>
    </row>
    <row r="2927" spans="1:25" x14ac:dyDescent="0.25">
      <c r="A2927" s="75"/>
      <c r="C2927" s="81"/>
      <c r="D2927" s="81"/>
      <c r="I2927" s="81"/>
      <c r="K2927" s="82"/>
      <c r="L2927" s="123"/>
      <c r="M2927" s="3"/>
      <c r="N2927" s="3"/>
      <c r="O2927" s="3"/>
      <c r="P2927" s="125"/>
      <c r="Q2927" s="125"/>
      <c r="R2927" s="127"/>
      <c r="S2927" s="123"/>
      <c r="T2927" s="3"/>
      <c r="W2927" s="86"/>
      <c r="Y2927" s="75"/>
    </row>
    <row r="2928" spans="1:25" x14ac:dyDescent="0.25">
      <c r="A2928" s="75"/>
      <c r="C2928" s="81"/>
      <c r="D2928" s="81"/>
      <c r="I2928" s="81"/>
      <c r="K2928" s="82"/>
      <c r="L2928" s="123"/>
      <c r="M2928" s="3"/>
      <c r="N2928" s="3"/>
      <c r="O2928" s="3"/>
      <c r="P2928" s="125"/>
      <c r="Q2928" s="125"/>
      <c r="R2928" s="127"/>
      <c r="S2928" s="123"/>
      <c r="T2928" s="3"/>
      <c r="W2928" s="86"/>
      <c r="Y2928" s="75"/>
    </row>
    <row r="2929" spans="1:25" x14ac:dyDescent="0.25">
      <c r="A2929" s="75"/>
      <c r="C2929" s="81"/>
      <c r="D2929" s="81"/>
      <c r="I2929" s="81"/>
      <c r="K2929" s="82"/>
      <c r="L2929" s="123"/>
      <c r="M2929" s="3"/>
      <c r="N2929" s="3"/>
      <c r="O2929" s="3"/>
      <c r="P2929" s="125"/>
      <c r="Q2929" s="125"/>
      <c r="R2929" s="127"/>
      <c r="S2929" s="123"/>
      <c r="T2929" s="3"/>
      <c r="W2929" s="86"/>
      <c r="Y2929" s="75"/>
    </row>
    <row r="2930" spans="1:25" x14ac:dyDescent="0.25">
      <c r="A2930" s="75"/>
      <c r="C2930" s="81"/>
      <c r="D2930" s="81"/>
      <c r="I2930" s="81"/>
      <c r="K2930" s="82"/>
      <c r="L2930" s="123"/>
      <c r="M2930" s="3"/>
      <c r="N2930" s="3"/>
      <c r="O2930" s="3"/>
      <c r="P2930" s="125"/>
      <c r="Q2930" s="125"/>
      <c r="R2930" s="127"/>
      <c r="S2930" s="123"/>
      <c r="T2930" s="3"/>
      <c r="W2930" s="86"/>
      <c r="Y2930" s="75"/>
    </row>
    <row r="2931" spans="1:25" x14ac:dyDescent="0.25">
      <c r="A2931" s="75"/>
      <c r="C2931" s="81"/>
      <c r="D2931" s="81"/>
      <c r="I2931" s="81"/>
      <c r="K2931" s="82"/>
      <c r="L2931" s="123"/>
      <c r="M2931" s="3"/>
      <c r="N2931" s="3"/>
      <c r="O2931" s="3"/>
      <c r="P2931" s="125"/>
      <c r="Q2931" s="125"/>
      <c r="R2931" s="127"/>
      <c r="S2931" s="123"/>
      <c r="T2931" s="3"/>
      <c r="W2931" s="86"/>
      <c r="Y2931" s="75"/>
    </row>
    <row r="2932" spans="1:25" x14ac:dyDescent="0.25">
      <c r="A2932" s="75"/>
      <c r="C2932" s="81"/>
      <c r="D2932" s="81"/>
      <c r="I2932" s="81"/>
      <c r="K2932" s="82"/>
      <c r="L2932" s="123"/>
      <c r="M2932" s="3"/>
      <c r="N2932" s="3"/>
      <c r="O2932" s="3"/>
      <c r="P2932" s="125"/>
      <c r="Q2932" s="125"/>
      <c r="R2932" s="127"/>
      <c r="S2932" s="123"/>
      <c r="T2932" s="3"/>
      <c r="W2932" s="86"/>
      <c r="Y2932" s="75"/>
    </row>
    <row r="2933" spans="1:25" x14ac:dyDescent="0.25">
      <c r="A2933" s="75"/>
      <c r="C2933" s="81"/>
      <c r="D2933" s="81"/>
      <c r="I2933" s="81"/>
      <c r="K2933" s="82"/>
      <c r="L2933" s="123"/>
      <c r="M2933" s="3"/>
      <c r="N2933" s="3"/>
      <c r="O2933" s="3"/>
      <c r="P2933" s="125"/>
      <c r="Q2933" s="125"/>
      <c r="R2933" s="127"/>
      <c r="S2933" s="123"/>
      <c r="T2933" s="3"/>
      <c r="W2933" s="86"/>
      <c r="Y2933" s="75"/>
    </row>
    <row r="2934" spans="1:25" x14ac:dyDescent="0.25">
      <c r="A2934" s="75"/>
      <c r="C2934" s="81"/>
      <c r="D2934" s="81"/>
      <c r="I2934" s="81"/>
      <c r="K2934" s="82"/>
      <c r="L2934" s="123"/>
      <c r="M2934" s="3"/>
      <c r="N2934" s="3"/>
      <c r="O2934" s="3"/>
      <c r="P2934" s="125"/>
      <c r="Q2934" s="125"/>
      <c r="R2934" s="127"/>
      <c r="S2934" s="123"/>
      <c r="T2934" s="3"/>
      <c r="W2934" s="86"/>
      <c r="Y2934" s="75"/>
    </row>
    <row r="2935" spans="1:25" x14ac:dyDescent="0.25">
      <c r="A2935" s="75"/>
      <c r="C2935" s="81"/>
      <c r="D2935" s="81"/>
      <c r="I2935" s="81"/>
      <c r="K2935" s="82"/>
      <c r="L2935" s="123"/>
      <c r="M2935" s="3"/>
      <c r="N2935" s="3"/>
      <c r="O2935" s="3"/>
      <c r="P2935" s="125"/>
      <c r="Q2935" s="125"/>
      <c r="R2935" s="127"/>
      <c r="S2935" s="123"/>
      <c r="T2935" s="3"/>
      <c r="W2935" s="86"/>
      <c r="Y2935" s="75"/>
    </row>
    <row r="2936" spans="1:25" x14ac:dyDescent="0.25">
      <c r="A2936" s="75"/>
      <c r="C2936" s="81"/>
      <c r="D2936" s="81"/>
      <c r="I2936" s="81"/>
      <c r="K2936" s="82"/>
      <c r="L2936" s="123"/>
      <c r="M2936" s="3"/>
      <c r="N2936" s="3"/>
      <c r="O2936" s="3"/>
      <c r="P2936" s="125"/>
      <c r="Q2936" s="125"/>
      <c r="R2936" s="127"/>
      <c r="S2936" s="123"/>
      <c r="T2936" s="3"/>
      <c r="W2936" s="86"/>
      <c r="Y2936" s="75"/>
    </row>
    <row r="2937" spans="1:25" x14ac:dyDescent="0.25">
      <c r="A2937" s="75"/>
      <c r="C2937" s="81"/>
      <c r="D2937" s="81"/>
      <c r="I2937" s="81"/>
      <c r="K2937" s="82"/>
      <c r="L2937" s="123"/>
      <c r="M2937" s="3"/>
      <c r="N2937" s="3"/>
      <c r="O2937" s="3"/>
      <c r="P2937" s="125"/>
      <c r="Q2937" s="125"/>
      <c r="R2937" s="127"/>
      <c r="S2937" s="123"/>
      <c r="T2937" s="3"/>
      <c r="W2937" s="86"/>
      <c r="Y2937" s="75"/>
    </row>
    <row r="2938" spans="1:25" x14ac:dyDescent="0.25">
      <c r="A2938" s="75"/>
      <c r="C2938" s="81"/>
      <c r="D2938" s="81"/>
      <c r="I2938" s="81"/>
      <c r="K2938" s="82"/>
      <c r="L2938" s="123"/>
      <c r="M2938" s="3"/>
      <c r="N2938" s="3"/>
      <c r="O2938" s="3"/>
      <c r="P2938" s="125"/>
      <c r="Q2938" s="125"/>
      <c r="R2938" s="127"/>
      <c r="S2938" s="123"/>
      <c r="T2938" s="3"/>
      <c r="W2938" s="86"/>
      <c r="Y2938" s="75"/>
    </row>
    <row r="2939" spans="1:25" x14ac:dyDescent="0.25">
      <c r="A2939" s="75"/>
      <c r="C2939" s="81"/>
      <c r="D2939" s="81"/>
      <c r="I2939" s="81"/>
      <c r="K2939" s="82"/>
      <c r="L2939" s="123"/>
      <c r="M2939" s="3"/>
      <c r="N2939" s="3"/>
      <c r="O2939" s="3"/>
      <c r="P2939" s="125"/>
      <c r="Q2939" s="125"/>
      <c r="R2939" s="127"/>
      <c r="S2939" s="123"/>
      <c r="T2939" s="3"/>
      <c r="W2939" s="86"/>
      <c r="Y2939" s="75"/>
    </row>
    <row r="2940" spans="1:25" x14ac:dyDescent="0.25">
      <c r="A2940" s="75"/>
      <c r="C2940" s="81"/>
      <c r="D2940" s="81"/>
      <c r="I2940" s="81"/>
      <c r="K2940" s="82"/>
      <c r="L2940" s="123"/>
      <c r="M2940" s="3"/>
      <c r="N2940" s="3"/>
      <c r="O2940" s="3"/>
      <c r="P2940" s="125"/>
      <c r="Q2940" s="125"/>
      <c r="R2940" s="127"/>
      <c r="S2940" s="123"/>
      <c r="T2940" s="3"/>
      <c r="W2940" s="86"/>
      <c r="Y2940" s="75"/>
    </row>
    <row r="2941" spans="1:25" x14ac:dyDescent="0.25">
      <c r="A2941" s="75"/>
      <c r="C2941" s="81"/>
      <c r="D2941" s="81"/>
      <c r="I2941" s="81"/>
      <c r="K2941" s="82"/>
      <c r="L2941" s="123"/>
      <c r="M2941" s="3"/>
      <c r="N2941" s="3"/>
      <c r="O2941" s="3"/>
      <c r="P2941" s="125"/>
      <c r="Q2941" s="125"/>
      <c r="R2941" s="127"/>
      <c r="S2941" s="123"/>
      <c r="T2941" s="3"/>
      <c r="W2941" s="86"/>
      <c r="Y2941" s="75"/>
    </row>
    <row r="2942" spans="1:25" x14ac:dyDescent="0.25">
      <c r="A2942" s="75"/>
      <c r="C2942" s="81"/>
      <c r="D2942" s="81"/>
      <c r="I2942" s="81"/>
      <c r="K2942" s="82"/>
      <c r="L2942" s="123"/>
      <c r="M2942" s="3"/>
      <c r="N2942" s="3"/>
      <c r="O2942" s="3"/>
      <c r="P2942" s="125"/>
      <c r="Q2942" s="125"/>
      <c r="R2942" s="127"/>
      <c r="S2942" s="123"/>
      <c r="T2942" s="3"/>
      <c r="W2942" s="86"/>
      <c r="Y2942" s="75"/>
    </row>
    <row r="2943" spans="1:25" x14ac:dyDescent="0.25">
      <c r="A2943" s="75"/>
      <c r="C2943" s="81"/>
      <c r="D2943" s="81"/>
      <c r="I2943" s="81"/>
      <c r="K2943" s="82"/>
      <c r="L2943" s="123"/>
      <c r="M2943" s="3"/>
      <c r="N2943" s="3"/>
      <c r="O2943" s="3"/>
      <c r="P2943" s="125"/>
      <c r="Q2943" s="125"/>
      <c r="R2943" s="127"/>
      <c r="S2943" s="123"/>
      <c r="T2943" s="3"/>
      <c r="W2943" s="86"/>
      <c r="Y2943" s="75"/>
    </row>
    <row r="2944" spans="1:25" x14ac:dyDescent="0.25">
      <c r="A2944" s="75"/>
      <c r="C2944" s="81"/>
      <c r="D2944" s="81"/>
      <c r="I2944" s="81"/>
      <c r="K2944" s="82"/>
      <c r="L2944" s="123"/>
      <c r="M2944" s="3"/>
      <c r="N2944" s="3"/>
      <c r="O2944" s="3"/>
      <c r="P2944" s="125"/>
      <c r="Q2944" s="125"/>
      <c r="R2944" s="127"/>
      <c r="S2944" s="123"/>
      <c r="T2944" s="3"/>
      <c r="W2944" s="86"/>
      <c r="Y2944" s="75"/>
    </row>
    <row r="2945" spans="1:25" x14ac:dyDescent="0.25">
      <c r="A2945" s="75"/>
      <c r="C2945" s="81"/>
      <c r="D2945" s="81"/>
      <c r="I2945" s="81"/>
      <c r="K2945" s="82"/>
      <c r="L2945" s="123"/>
      <c r="M2945" s="3"/>
      <c r="N2945" s="3"/>
      <c r="O2945" s="3"/>
      <c r="P2945" s="125"/>
      <c r="Q2945" s="125"/>
      <c r="R2945" s="127"/>
      <c r="S2945" s="123"/>
      <c r="T2945" s="3"/>
      <c r="W2945" s="86"/>
      <c r="Y2945" s="75"/>
    </row>
    <row r="2946" spans="1:25" x14ac:dyDescent="0.25">
      <c r="A2946" s="75"/>
      <c r="C2946" s="81"/>
      <c r="D2946" s="81"/>
      <c r="I2946" s="81"/>
      <c r="K2946" s="82"/>
      <c r="L2946" s="123"/>
      <c r="M2946" s="3"/>
      <c r="N2946" s="3"/>
      <c r="O2946" s="3"/>
      <c r="P2946" s="125"/>
      <c r="Q2946" s="125"/>
      <c r="R2946" s="127"/>
      <c r="S2946" s="123"/>
      <c r="T2946" s="3"/>
      <c r="W2946" s="86"/>
      <c r="Y2946" s="75"/>
    </row>
    <row r="2947" spans="1:25" x14ac:dyDescent="0.25">
      <c r="A2947" s="75"/>
      <c r="C2947" s="81"/>
      <c r="D2947" s="81"/>
      <c r="I2947" s="81"/>
      <c r="K2947" s="82"/>
      <c r="L2947" s="123"/>
      <c r="M2947" s="3"/>
      <c r="N2947" s="3"/>
      <c r="O2947" s="3"/>
      <c r="P2947" s="125"/>
      <c r="Q2947" s="125"/>
      <c r="R2947" s="127"/>
      <c r="S2947" s="123"/>
      <c r="T2947" s="3"/>
      <c r="W2947" s="86"/>
      <c r="Y2947" s="75"/>
    </row>
    <row r="2948" spans="1:25" x14ac:dyDescent="0.25">
      <c r="A2948" s="75"/>
      <c r="C2948" s="81"/>
      <c r="D2948" s="81"/>
      <c r="I2948" s="81"/>
      <c r="K2948" s="82"/>
      <c r="L2948" s="123"/>
      <c r="M2948" s="3"/>
      <c r="N2948" s="3"/>
      <c r="O2948" s="3"/>
      <c r="P2948" s="125"/>
      <c r="Q2948" s="125"/>
      <c r="R2948" s="127"/>
      <c r="S2948" s="123"/>
      <c r="T2948" s="3"/>
      <c r="W2948" s="86"/>
      <c r="Y2948" s="75"/>
    </row>
    <row r="2949" spans="1:25" x14ac:dyDescent="0.25">
      <c r="A2949" s="75"/>
      <c r="C2949" s="81"/>
      <c r="D2949" s="81"/>
      <c r="I2949" s="81"/>
      <c r="K2949" s="82"/>
      <c r="L2949" s="123"/>
      <c r="M2949" s="3"/>
      <c r="N2949" s="3"/>
      <c r="O2949" s="3"/>
      <c r="P2949" s="125"/>
      <c r="Q2949" s="125"/>
      <c r="R2949" s="127"/>
      <c r="S2949" s="123"/>
      <c r="T2949" s="3"/>
      <c r="W2949" s="86"/>
      <c r="Y2949" s="75"/>
    </row>
    <row r="2950" spans="1:25" x14ac:dyDescent="0.25">
      <c r="A2950" s="75"/>
      <c r="C2950" s="81"/>
      <c r="D2950" s="81"/>
      <c r="I2950" s="81"/>
      <c r="K2950" s="82"/>
      <c r="L2950" s="123"/>
      <c r="M2950" s="3"/>
      <c r="N2950" s="3"/>
      <c r="O2950" s="3"/>
      <c r="P2950" s="125"/>
      <c r="Q2950" s="125"/>
      <c r="R2950" s="127"/>
      <c r="S2950" s="123"/>
      <c r="T2950" s="3"/>
      <c r="W2950" s="86"/>
      <c r="Y2950" s="75"/>
    </row>
    <row r="2951" spans="1:25" x14ac:dyDescent="0.25">
      <c r="A2951" s="75"/>
      <c r="C2951" s="81"/>
      <c r="D2951" s="81"/>
      <c r="I2951" s="81"/>
      <c r="K2951" s="82"/>
      <c r="L2951" s="123"/>
      <c r="M2951" s="3"/>
      <c r="N2951" s="3"/>
      <c r="O2951" s="3"/>
      <c r="P2951" s="125"/>
      <c r="Q2951" s="125"/>
      <c r="R2951" s="127"/>
      <c r="S2951" s="123"/>
      <c r="T2951" s="3"/>
      <c r="W2951" s="86"/>
      <c r="Y2951" s="75"/>
    </row>
    <row r="2952" spans="1:25" x14ac:dyDescent="0.25">
      <c r="A2952" s="75"/>
      <c r="C2952" s="81"/>
      <c r="D2952" s="81"/>
      <c r="I2952" s="81"/>
      <c r="K2952" s="82"/>
      <c r="L2952" s="123"/>
      <c r="M2952" s="3"/>
      <c r="N2952" s="3"/>
      <c r="O2952" s="3"/>
      <c r="P2952" s="125"/>
      <c r="Q2952" s="125"/>
      <c r="R2952" s="127"/>
      <c r="S2952" s="123"/>
      <c r="T2952" s="3"/>
      <c r="W2952" s="86"/>
      <c r="Y2952" s="75"/>
    </row>
    <row r="2953" spans="1:25" x14ac:dyDescent="0.25">
      <c r="A2953" s="75"/>
      <c r="C2953" s="81"/>
      <c r="D2953" s="81"/>
      <c r="I2953" s="81"/>
      <c r="K2953" s="82"/>
      <c r="L2953" s="123"/>
      <c r="M2953" s="3"/>
      <c r="N2953" s="3"/>
      <c r="O2953" s="3"/>
      <c r="P2953" s="125"/>
      <c r="Q2953" s="125"/>
      <c r="R2953" s="127"/>
      <c r="S2953" s="123"/>
      <c r="T2953" s="3"/>
      <c r="W2953" s="86"/>
      <c r="Y2953" s="75"/>
    </row>
    <row r="2954" spans="1:25" x14ac:dyDescent="0.25">
      <c r="A2954" s="75"/>
      <c r="C2954" s="81"/>
      <c r="D2954" s="81"/>
      <c r="I2954" s="81"/>
      <c r="K2954" s="82"/>
      <c r="L2954" s="123"/>
      <c r="M2954" s="3"/>
      <c r="N2954" s="3"/>
      <c r="O2954" s="3"/>
      <c r="P2954" s="125"/>
      <c r="Q2954" s="125"/>
      <c r="R2954" s="127"/>
      <c r="S2954" s="123"/>
      <c r="T2954" s="3"/>
      <c r="W2954" s="86"/>
      <c r="Y2954" s="75"/>
    </row>
    <row r="2955" spans="1:25" x14ac:dyDescent="0.25">
      <c r="A2955" s="75"/>
      <c r="C2955" s="81"/>
      <c r="D2955" s="81"/>
      <c r="I2955" s="81"/>
      <c r="K2955" s="82"/>
      <c r="L2955" s="123"/>
      <c r="M2955" s="3"/>
      <c r="N2955" s="3"/>
      <c r="O2955" s="3"/>
      <c r="P2955" s="125"/>
      <c r="Q2955" s="125"/>
      <c r="R2955" s="127"/>
      <c r="S2955" s="123"/>
      <c r="T2955" s="3"/>
      <c r="W2955" s="86"/>
      <c r="Y2955" s="75"/>
    </row>
    <row r="2956" spans="1:25" x14ac:dyDescent="0.25">
      <c r="A2956" s="75"/>
      <c r="C2956" s="81"/>
      <c r="D2956" s="81"/>
      <c r="I2956" s="81"/>
      <c r="K2956" s="82"/>
      <c r="L2956" s="123"/>
      <c r="M2956" s="3"/>
      <c r="N2956" s="3"/>
      <c r="O2956" s="3"/>
      <c r="P2956" s="125"/>
      <c r="Q2956" s="125"/>
      <c r="R2956" s="127"/>
      <c r="S2956" s="123"/>
      <c r="T2956" s="3"/>
      <c r="W2956" s="86"/>
      <c r="Y2956" s="75"/>
    </row>
    <row r="2957" spans="1:25" x14ac:dyDescent="0.25">
      <c r="A2957" s="75"/>
      <c r="C2957" s="81"/>
      <c r="D2957" s="81"/>
      <c r="I2957" s="81"/>
      <c r="K2957" s="82"/>
      <c r="L2957" s="123"/>
      <c r="M2957" s="3"/>
      <c r="N2957" s="3"/>
      <c r="O2957" s="3"/>
      <c r="P2957" s="125"/>
      <c r="Q2957" s="125"/>
      <c r="R2957" s="127"/>
      <c r="S2957" s="123"/>
      <c r="T2957" s="3"/>
      <c r="W2957" s="86"/>
      <c r="Y2957" s="75"/>
    </row>
    <row r="2958" spans="1:25" x14ac:dyDescent="0.25">
      <c r="A2958" s="75"/>
      <c r="C2958" s="81"/>
      <c r="D2958" s="81"/>
      <c r="I2958" s="81"/>
      <c r="K2958" s="82"/>
      <c r="L2958" s="123"/>
      <c r="M2958" s="3"/>
      <c r="N2958" s="3"/>
      <c r="O2958" s="3"/>
      <c r="P2958" s="125"/>
      <c r="Q2958" s="125"/>
      <c r="R2958" s="127"/>
      <c r="S2958" s="123"/>
      <c r="T2958" s="3"/>
      <c r="W2958" s="86"/>
      <c r="Y2958" s="75"/>
    </row>
    <row r="2959" spans="1:25" x14ac:dyDescent="0.25">
      <c r="A2959" s="75"/>
      <c r="C2959" s="81"/>
      <c r="D2959" s="81"/>
      <c r="I2959" s="81"/>
      <c r="K2959" s="82"/>
      <c r="L2959" s="123"/>
      <c r="M2959" s="3"/>
      <c r="N2959" s="3"/>
      <c r="O2959" s="3"/>
      <c r="P2959" s="125"/>
      <c r="Q2959" s="125"/>
      <c r="R2959" s="127"/>
      <c r="S2959" s="123"/>
      <c r="T2959" s="3"/>
      <c r="W2959" s="86"/>
      <c r="Y2959" s="75"/>
    </row>
    <row r="2960" spans="1:25" x14ac:dyDescent="0.25">
      <c r="A2960" s="75"/>
      <c r="C2960" s="81"/>
      <c r="D2960" s="81"/>
      <c r="I2960" s="81"/>
      <c r="K2960" s="82"/>
      <c r="L2960" s="123"/>
      <c r="M2960" s="3"/>
      <c r="N2960" s="3"/>
      <c r="O2960" s="3"/>
      <c r="P2960" s="125"/>
      <c r="Q2960" s="125"/>
      <c r="R2960" s="127"/>
      <c r="S2960" s="123"/>
      <c r="T2960" s="3"/>
      <c r="W2960" s="86"/>
      <c r="Y2960" s="75"/>
    </row>
    <row r="2961" spans="1:25" x14ac:dyDescent="0.25">
      <c r="A2961" s="75"/>
      <c r="C2961" s="81"/>
      <c r="D2961" s="81"/>
      <c r="I2961" s="81"/>
      <c r="K2961" s="82"/>
      <c r="L2961" s="123"/>
      <c r="M2961" s="3"/>
      <c r="N2961" s="3"/>
      <c r="O2961" s="3"/>
      <c r="P2961" s="125"/>
      <c r="Q2961" s="125"/>
      <c r="R2961" s="127"/>
      <c r="S2961" s="123"/>
      <c r="T2961" s="3"/>
      <c r="W2961" s="86"/>
      <c r="Y2961" s="75"/>
    </row>
    <row r="2962" spans="1:25" x14ac:dyDescent="0.25">
      <c r="A2962" s="75"/>
      <c r="C2962" s="81"/>
      <c r="D2962" s="81"/>
      <c r="I2962" s="81"/>
      <c r="K2962" s="82"/>
      <c r="L2962" s="123"/>
      <c r="M2962" s="3"/>
      <c r="N2962" s="3"/>
      <c r="O2962" s="3"/>
      <c r="P2962" s="125"/>
      <c r="Q2962" s="125"/>
      <c r="R2962" s="127"/>
      <c r="S2962" s="123"/>
      <c r="T2962" s="3"/>
      <c r="W2962" s="86"/>
      <c r="Y2962" s="75"/>
    </row>
    <row r="2963" spans="1:25" x14ac:dyDescent="0.25">
      <c r="A2963" s="75"/>
      <c r="C2963" s="81"/>
      <c r="D2963" s="81"/>
      <c r="I2963" s="81"/>
      <c r="K2963" s="82"/>
      <c r="L2963" s="123"/>
      <c r="M2963" s="3"/>
      <c r="N2963" s="3"/>
      <c r="O2963" s="3"/>
      <c r="P2963" s="125"/>
      <c r="Q2963" s="125"/>
      <c r="R2963" s="127"/>
      <c r="S2963" s="123"/>
      <c r="T2963" s="3"/>
      <c r="W2963" s="86"/>
      <c r="Y2963" s="75"/>
    </row>
    <row r="2964" spans="1:25" x14ac:dyDescent="0.25">
      <c r="A2964" s="75"/>
      <c r="C2964" s="81"/>
      <c r="D2964" s="81"/>
      <c r="I2964" s="81"/>
      <c r="K2964" s="82"/>
      <c r="L2964" s="123"/>
      <c r="M2964" s="3"/>
      <c r="N2964" s="3"/>
      <c r="O2964" s="3"/>
      <c r="P2964" s="125"/>
      <c r="Q2964" s="125"/>
      <c r="R2964" s="127"/>
      <c r="S2964" s="123"/>
      <c r="T2964" s="3"/>
      <c r="W2964" s="86"/>
      <c r="Y2964" s="75"/>
    </row>
    <row r="2965" spans="1:25" x14ac:dyDescent="0.25">
      <c r="A2965" s="75"/>
      <c r="C2965" s="81"/>
      <c r="D2965" s="81"/>
      <c r="I2965" s="81"/>
      <c r="K2965" s="82"/>
      <c r="L2965" s="123"/>
      <c r="M2965" s="3"/>
      <c r="N2965" s="3"/>
      <c r="O2965" s="3"/>
      <c r="P2965" s="125"/>
      <c r="Q2965" s="125"/>
      <c r="R2965" s="127"/>
      <c r="S2965" s="123"/>
      <c r="T2965" s="3"/>
      <c r="W2965" s="86"/>
      <c r="Y2965" s="75"/>
    </row>
    <row r="2966" spans="1:25" x14ac:dyDescent="0.25">
      <c r="A2966" s="75"/>
      <c r="C2966" s="81"/>
      <c r="D2966" s="81"/>
      <c r="I2966" s="81"/>
      <c r="K2966" s="82"/>
      <c r="L2966" s="123"/>
      <c r="M2966" s="3"/>
      <c r="N2966" s="3"/>
      <c r="O2966" s="3"/>
      <c r="P2966" s="125"/>
      <c r="Q2966" s="125"/>
      <c r="R2966" s="127"/>
      <c r="S2966" s="123"/>
      <c r="T2966" s="3"/>
      <c r="W2966" s="86"/>
      <c r="Y2966" s="75"/>
    </row>
    <row r="2967" spans="1:25" x14ac:dyDescent="0.25">
      <c r="A2967" s="75"/>
      <c r="C2967" s="81"/>
      <c r="D2967" s="81"/>
      <c r="I2967" s="81"/>
      <c r="K2967" s="82"/>
      <c r="L2967" s="123"/>
      <c r="M2967" s="3"/>
      <c r="N2967" s="3"/>
      <c r="O2967" s="3"/>
      <c r="P2967" s="125"/>
      <c r="Q2967" s="125"/>
      <c r="R2967" s="127"/>
      <c r="S2967" s="123"/>
      <c r="T2967" s="3"/>
      <c r="W2967" s="86"/>
      <c r="Y2967" s="75"/>
    </row>
    <row r="2968" spans="1:25" x14ac:dyDescent="0.25">
      <c r="A2968" s="75"/>
      <c r="C2968" s="81"/>
      <c r="D2968" s="81"/>
      <c r="I2968" s="81"/>
      <c r="K2968" s="82"/>
      <c r="L2968" s="123"/>
      <c r="M2968" s="3"/>
      <c r="N2968" s="3"/>
      <c r="O2968" s="3"/>
      <c r="P2968" s="125"/>
      <c r="Q2968" s="125"/>
      <c r="R2968" s="127"/>
      <c r="S2968" s="123"/>
      <c r="T2968" s="3"/>
      <c r="W2968" s="86"/>
      <c r="Y2968" s="75"/>
    </row>
    <row r="2969" spans="1:25" x14ac:dyDescent="0.25">
      <c r="A2969" s="75"/>
      <c r="C2969" s="81"/>
      <c r="D2969" s="81"/>
      <c r="I2969" s="81"/>
      <c r="K2969" s="82"/>
      <c r="L2969" s="123"/>
      <c r="M2969" s="3"/>
      <c r="N2969" s="3"/>
      <c r="O2969" s="3"/>
      <c r="P2969" s="125"/>
      <c r="Q2969" s="125"/>
      <c r="R2969" s="127"/>
      <c r="S2969" s="123"/>
      <c r="T2969" s="3"/>
      <c r="W2969" s="86"/>
      <c r="Y2969" s="75"/>
    </row>
    <row r="2970" spans="1:25" x14ac:dyDescent="0.25">
      <c r="A2970" s="75"/>
      <c r="C2970" s="81"/>
      <c r="D2970" s="81"/>
      <c r="I2970" s="81"/>
      <c r="K2970" s="82"/>
      <c r="L2970" s="123"/>
      <c r="M2970" s="3"/>
      <c r="N2970" s="3"/>
      <c r="O2970" s="3"/>
      <c r="P2970" s="125"/>
      <c r="Q2970" s="125"/>
      <c r="R2970" s="127"/>
      <c r="S2970" s="123"/>
      <c r="T2970" s="3"/>
      <c r="W2970" s="86"/>
      <c r="Y2970" s="75"/>
    </row>
    <row r="2971" spans="1:25" x14ac:dyDescent="0.25">
      <c r="A2971" s="75"/>
      <c r="C2971" s="81"/>
      <c r="D2971" s="81"/>
      <c r="I2971" s="81"/>
      <c r="K2971" s="82"/>
      <c r="L2971" s="123"/>
      <c r="M2971" s="3"/>
      <c r="N2971" s="3"/>
      <c r="O2971" s="3"/>
      <c r="P2971" s="125"/>
      <c r="Q2971" s="125"/>
      <c r="R2971" s="127"/>
      <c r="S2971" s="123"/>
      <c r="T2971" s="3"/>
      <c r="W2971" s="86"/>
      <c r="Y2971" s="75"/>
    </row>
    <row r="2972" spans="1:25" x14ac:dyDescent="0.25">
      <c r="A2972" s="75"/>
      <c r="C2972" s="81"/>
      <c r="D2972" s="81"/>
      <c r="I2972" s="81"/>
      <c r="K2972" s="82"/>
      <c r="L2972" s="123"/>
      <c r="M2972" s="3"/>
      <c r="N2972" s="3"/>
      <c r="O2972" s="3"/>
      <c r="P2972" s="125"/>
      <c r="Q2972" s="125"/>
      <c r="R2972" s="127"/>
      <c r="S2972" s="123"/>
      <c r="T2972" s="3"/>
      <c r="W2972" s="86"/>
      <c r="Y2972" s="75"/>
    </row>
    <row r="2973" spans="1:25" x14ac:dyDescent="0.25">
      <c r="A2973" s="75"/>
      <c r="C2973" s="81"/>
      <c r="D2973" s="81"/>
      <c r="I2973" s="81"/>
      <c r="K2973" s="82"/>
      <c r="L2973" s="123"/>
      <c r="M2973" s="3"/>
      <c r="N2973" s="3"/>
      <c r="O2973" s="3"/>
      <c r="P2973" s="125"/>
      <c r="Q2973" s="125"/>
      <c r="R2973" s="127"/>
      <c r="S2973" s="123"/>
      <c r="T2973" s="3"/>
      <c r="W2973" s="86"/>
      <c r="Y2973" s="75"/>
    </row>
    <row r="2974" spans="1:25" x14ac:dyDescent="0.25">
      <c r="A2974" s="75"/>
      <c r="C2974" s="81"/>
      <c r="D2974" s="81"/>
      <c r="I2974" s="81"/>
      <c r="K2974" s="82"/>
      <c r="L2974" s="123"/>
      <c r="M2974" s="3"/>
      <c r="N2974" s="3"/>
      <c r="O2974" s="3"/>
      <c r="P2974" s="125"/>
      <c r="Q2974" s="125"/>
      <c r="R2974" s="127"/>
      <c r="S2974" s="123"/>
      <c r="T2974" s="3"/>
      <c r="W2974" s="86"/>
      <c r="Y2974" s="75"/>
    </row>
    <row r="2975" spans="1:25" x14ac:dyDescent="0.25">
      <c r="A2975" s="75"/>
      <c r="C2975" s="81"/>
      <c r="D2975" s="81"/>
      <c r="I2975" s="81"/>
      <c r="K2975" s="82"/>
      <c r="L2975" s="123"/>
      <c r="M2975" s="3"/>
      <c r="N2975" s="3"/>
      <c r="O2975" s="3"/>
      <c r="P2975" s="125"/>
      <c r="Q2975" s="125"/>
      <c r="R2975" s="127"/>
      <c r="S2975" s="123"/>
      <c r="T2975" s="3"/>
      <c r="W2975" s="86"/>
      <c r="Y2975" s="75"/>
    </row>
    <row r="2976" spans="1:25" x14ac:dyDescent="0.25">
      <c r="A2976" s="75"/>
      <c r="C2976" s="81"/>
      <c r="D2976" s="81"/>
      <c r="I2976" s="81"/>
      <c r="K2976" s="82"/>
      <c r="L2976" s="123"/>
      <c r="M2976" s="3"/>
      <c r="N2976" s="3"/>
      <c r="O2976" s="3"/>
      <c r="P2976" s="125"/>
      <c r="Q2976" s="125"/>
      <c r="R2976" s="127"/>
      <c r="S2976" s="123"/>
      <c r="T2976" s="3"/>
      <c r="W2976" s="86"/>
      <c r="Y2976" s="75"/>
    </row>
    <row r="2977" spans="1:25" x14ac:dyDescent="0.25">
      <c r="A2977" s="75"/>
      <c r="C2977" s="81"/>
      <c r="D2977" s="81"/>
      <c r="I2977" s="81"/>
      <c r="K2977" s="82"/>
      <c r="L2977" s="123"/>
      <c r="M2977" s="3"/>
      <c r="N2977" s="3"/>
      <c r="O2977" s="3"/>
      <c r="P2977" s="125"/>
      <c r="Q2977" s="125"/>
      <c r="R2977" s="127"/>
      <c r="S2977" s="123"/>
      <c r="T2977" s="3"/>
      <c r="W2977" s="86"/>
      <c r="Y2977" s="75"/>
    </row>
    <row r="2978" spans="1:25" x14ac:dyDescent="0.25">
      <c r="A2978" s="75"/>
      <c r="C2978" s="81"/>
      <c r="D2978" s="81"/>
      <c r="I2978" s="81"/>
      <c r="K2978" s="82"/>
      <c r="L2978" s="123"/>
      <c r="M2978" s="3"/>
      <c r="N2978" s="3"/>
      <c r="O2978" s="3"/>
      <c r="P2978" s="125"/>
      <c r="Q2978" s="125"/>
      <c r="R2978" s="127"/>
      <c r="S2978" s="123"/>
      <c r="T2978" s="3"/>
      <c r="W2978" s="86"/>
      <c r="Y2978" s="75"/>
    </row>
    <row r="2979" spans="1:25" x14ac:dyDescent="0.25">
      <c r="A2979" s="75"/>
      <c r="C2979" s="81"/>
      <c r="D2979" s="81"/>
      <c r="I2979" s="81"/>
      <c r="K2979" s="82"/>
      <c r="L2979" s="123"/>
      <c r="M2979" s="3"/>
      <c r="N2979" s="3"/>
      <c r="O2979" s="3"/>
      <c r="P2979" s="125"/>
      <c r="Q2979" s="125"/>
      <c r="R2979" s="127"/>
      <c r="S2979" s="123"/>
      <c r="T2979" s="3"/>
      <c r="W2979" s="86"/>
      <c r="Y2979" s="75"/>
    </row>
    <row r="2980" spans="1:25" x14ac:dyDescent="0.25">
      <c r="A2980" s="75"/>
      <c r="C2980" s="81"/>
      <c r="D2980" s="81"/>
      <c r="I2980" s="81"/>
      <c r="K2980" s="82"/>
      <c r="L2980" s="123"/>
      <c r="M2980" s="3"/>
      <c r="N2980" s="3"/>
      <c r="O2980" s="3"/>
      <c r="P2980" s="125"/>
      <c r="Q2980" s="125"/>
      <c r="R2980" s="127"/>
      <c r="S2980" s="123"/>
      <c r="T2980" s="3"/>
      <c r="W2980" s="86"/>
      <c r="Y2980" s="75"/>
    </row>
    <row r="2981" spans="1:25" x14ac:dyDescent="0.25">
      <c r="A2981" s="75"/>
      <c r="C2981" s="81"/>
      <c r="D2981" s="81"/>
      <c r="I2981" s="81"/>
      <c r="K2981" s="82"/>
      <c r="L2981" s="123"/>
      <c r="M2981" s="3"/>
      <c r="N2981" s="3"/>
      <c r="O2981" s="3"/>
      <c r="P2981" s="125"/>
      <c r="Q2981" s="125"/>
      <c r="R2981" s="127"/>
      <c r="S2981" s="123"/>
      <c r="T2981" s="3"/>
      <c r="W2981" s="86"/>
      <c r="Y2981" s="75"/>
    </row>
    <row r="2982" spans="1:25" x14ac:dyDescent="0.25">
      <c r="A2982" s="75"/>
      <c r="C2982" s="81"/>
      <c r="D2982" s="81"/>
      <c r="I2982" s="81"/>
      <c r="K2982" s="82"/>
      <c r="L2982" s="123"/>
      <c r="M2982" s="3"/>
      <c r="N2982" s="3"/>
      <c r="O2982" s="3"/>
      <c r="P2982" s="125"/>
      <c r="Q2982" s="125"/>
      <c r="R2982" s="127"/>
      <c r="S2982" s="123"/>
      <c r="T2982" s="3"/>
      <c r="W2982" s="86"/>
      <c r="Y2982" s="75"/>
    </row>
    <row r="2983" spans="1:25" x14ac:dyDescent="0.25">
      <c r="A2983" s="75"/>
      <c r="C2983" s="81"/>
      <c r="D2983" s="81"/>
      <c r="I2983" s="81"/>
      <c r="K2983" s="82"/>
      <c r="L2983" s="123"/>
      <c r="M2983" s="3"/>
      <c r="N2983" s="3"/>
      <c r="O2983" s="3"/>
      <c r="P2983" s="125"/>
      <c r="Q2983" s="125"/>
      <c r="R2983" s="127"/>
      <c r="S2983" s="123"/>
      <c r="T2983" s="3"/>
      <c r="W2983" s="86"/>
      <c r="Y2983" s="75"/>
    </row>
    <row r="2984" spans="1:25" x14ac:dyDescent="0.25">
      <c r="A2984" s="75"/>
      <c r="C2984" s="81"/>
      <c r="D2984" s="81"/>
      <c r="I2984" s="81"/>
      <c r="K2984" s="82"/>
      <c r="L2984" s="123"/>
      <c r="M2984" s="3"/>
      <c r="N2984" s="3"/>
      <c r="O2984" s="3"/>
      <c r="P2984" s="125"/>
      <c r="Q2984" s="125"/>
      <c r="R2984" s="127"/>
      <c r="S2984" s="123"/>
      <c r="T2984" s="3"/>
      <c r="W2984" s="86"/>
      <c r="Y2984" s="75"/>
    </row>
    <row r="2985" spans="1:25" x14ac:dyDescent="0.25">
      <c r="A2985" s="75"/>
      <c r="C2985" s="81"/>
      <c r="D2985" s="81"/>
      <c r="I2985" s="81"/>
      <c r="K2985" s="82"/>
      <c r="L2985" s="123"/>
      <c r="M2985" s="3"/>
      <c r="N2985" s="3"/>
      <c r="O2985" s="3"/>
      <c r="P2985" s="125"/>
      <c r="Q2985" s="125"/>
      <c r="R2985" s="127"/>
      <c r="S2985" s="123"/>
      <c r="T2985" s="3"/>
      <c r="W2985" s="86"/>
      <c r="Y2985" s="75"/>
    </row>
    <row r="2986" spans="1:25" x14ac:dyDescent="0.25">
      <c r="A2986" s="75"/>
      <c r="C2986" s="81"/>
      <c r="D2986" s="81"/>
      <c r="I2986" s="81"/>
      <c r="K2986" s="82"/>
      <c r="L2986" s="123"/>
      <c r="M2986" s="3"/>
      <c r="N2986" s="3"/>
      <c r="O2986" s="3"/>
      <c r="P2986" s="125"/>
      <c r="Q2986" s="125"/>
      <c r="R2986" s="127"/>
      <c r="S2986" s="123"/>
      <c r="T2986" s="3"/>
      <c r="W2986" s="86"/>
      <c r="Y2986" s="75"/>
    </row>
    <row r="2987" spans="1:25" x14ac:dyDescent="0.25">
      <c r="A2987" s="75"/>
      <c r="C2987" s="81"/>
      <c r="D2987" s="81"/>
      <c r="I2987" s="81"/>
      <c r="K2987" s="82"/>
      <c r="L2987" s="123"/>
      <c r="M2987" s="3"/>
      <c r="N2987" s="3"/>
      <c r="O2987" s="3"/>
      <c r="P2987" s="125"/>
      <c r="Q2987" s="125"/>
      <c r="R2987" s="127"/>
      <c r="S2987" s="123"/>
      <c r="T2987" s="3"/>
      <c r="W2987" s="86"/>
      <c r="Y2987" s="75"/>
    </row>
    <row r="2988" spans="1:25" x14ac:dyDescent="0.25">
      <c r="A2988" s="75"/>
      <c r="C2988" s="81"/>
      <c r="D2988" s="81"/>
      <c r="I2988" s="81"/>
      <c r="K2988" s="82"/>
      <c r="L2988" s="123"/>
      <c r="M2988" s="3"/>
      <c r="N2988" s="3"/>
      <c r="O2988" s="3"/>
      <c r="P2988" s="125"/>
      <c r="Q2988" s="125"/>
      <c r="R2988" s="127"/>
      <c r="S2988" s="123"/>
      <c r="T2988" s="3"/>
      <c r="W2988" s="86"/>
      <c r="Y2988" s="75"/>
    </row>
    <row r="2989" spans="1:25" x14ac:dyDescent="0.25">
      <c r="A2989" s="75"/>
      <c r="C2989" s="81"/>
      <c r="D2989" s="81"/>
      <c r="I2989" s="81"/>
      <c r="K2989" s="82"/>
      <c r="L2989" s="123"/>
      <c r="M2989" s="3"/>
      <c r="N2989" s="3"/>
      <c r="O2989" s="3"/>
      <c r="P2989" s="125"/>
      <c r="Q2989" s="125"/>
      <c r="R2989" s="127"/>
      <c r="S2989" s="123"/>
      <c r="T2989" s="3"/>
      <c r="W2989" s="86"/>
      <c r="Y2989" s="75"/>
    </row>
    <row r="2990" spans="1:25" x14ac:dyDescent="0.25">
      <c r="A2990" s="75"/>
      <c r="C2990" s="81"/>
      <c r="D2990" s="81"/>
      <c r="I2990" s="81"/>
      <c r="K2990" s="82"/>
      <c r="L2990" s="123"/>
      <c r="M2990" s="3"/>
      <c r="N2990" s="3"/>
      <c r="O2990" s="3"/>
      <c r="P2990" s="125"/>
      <c r="Q2990" s="125"/>
      <c r="R2990" s="127"/>
      <c r="S2990" s="123"/>
      <c r="T2990" s="3"/>
      <c r="W2990" s="86"/>
      <c r="Y2990" s="75"/>
    </row>
    <row r="2991" spans="1:25" x14ac:dyDescent="0.25">
      <c r="A2991" s="75"/>
      <c r="C2991" s="81"/>
      <c r="D2991" s="81"/>
      <c r="I2991" s="81"/>
      <c r="K2991" s="82"/>
      <c r="L2991" s="123"/>
      <c r="M2991" s="3"/>
      <c r="N2991" s="3"/>
      <c r="O2991" s="3"/>
      <c r="P2991" s="125"/>
      <c r="Q2991" s="125"/>
      <c r="R2991" s="127"/>
      <c r="S2991" s="123"/>
      <c r="T2991" s="3"/>
      <c r="W2991" s="86"/>
      <c r="Y2991" s="75"/>
    </row>
    <row r="2992" spans="1:25" x14ac:dyDescent="0.25">
      <c r="A2992" s="75"/>
      <c r="C2992" s="81"/>
      <c r="D2992" s="81"/>
      <c r="I2992" s="81"/>
      <c r="K2992" s="82"/>
      <c r="L2992" s="123"/>
      <c r="M2992" s="3"/>
      <c r="N2992" s="3"/>
      <c r="O2992" s="3"/>
      <c r="P2992" s="125"/>
      <c r="Q2992" s="125"/>
      <c r="R2992" s="127"/>
      <c r="S2992" s="123"/>
      <c r="T2992" s="3"/>
      <c r="W2992" s="86"/>
      <c r="Y2992" s="75"/>
    </row>
    <row r="2993" spans="1:25" x14ac:dyDescent="0.25">
      <c r="A2993" s="75"/>
      <c r="C2993" s="81"/>
      <c r="D2993" s="81"/>
      <c r="I2993" s="81"/>
      <c r="K2993" s="82"/>
      <c r="L2993" s="123"/>
      <c r="M2993" s="3"/>
      <c r="N2993" s="3"/>
      <c r="O2993" s="3"/>
      <c r="P2993" s="125"/>
      <c r="Q2993" s="125"/>
      <c r="R2993" s="127"/>
      <c r="S2993" s="123"/>
      <c r="T2993" s="3"/>
      <c r="W2993" s="86"/>
      <c r="Y2993" s="75"/>
    </row>
    <row r="2994" spans="1:25" x14ac:dyDescent="0.25">
      <c r="A2994" s="75"/>
      <c r="C2994" s="81"/>
      <c r="D2994" s="81"/>
      <c r="I2994" s="81"/>
      <c r="K2994" s="82"/>
      <c r="L2994" s="123"/>
      <c r="M2994" s="3"/>
      <c r="N2994" s="3"/>
      <c r="O2994" s="3"/>
      <c r="P2994" s="125"/>
      <c r="Q2994" s="125"/>
      <c r="R2994" s="127"/>
      <c r="S2994" s="123"/>
      <c r="T2994" s="3"/>
      <c r="W2994" s="86"/>
      <c r="Y2994" s="75"/>
    </row>
    <row r="2995" spans="1:25" x14ac:dyDescent="0.25">
      <c r="A2995" s="75"/>
      <c r="C2995" s="81"/>
      <c r="D2995" s="81"/>
      <c r="I2995" s="81"/>
      <c r="K2995" s="82"/>
      <c r="L2995" s="123"/>
      <c r="M2995" s="3"/>
      <c r="N2995" s="3"/>
      <c r="O2995" s="3"/>
      <c r="P2995" s="125"/>
      <c r="Q2995" s="125"/>
      <c r="R2995" s="127"/>
      <c r="S2995" s="123"/>
      <c r="T2995" s="3"/>
      <c r="W2995" s="86"/>
      <c r="Y2995" s="75"/>
    </row>
    <row r="2996" spans="1:25" x14ac:dyDescent="0.25">
      <c r="A2996" s="75"/>
      <c r="C2996" s="81"/>
      <c r="D2996" s="81"/>
      <c r="I2996" s="81"/>
      <c r="K2996" s="82"/>
      <c r="L2996" s="123"/>
      <c r="M2996" s="3"/>
      <c r="N2996" s="3"/>
      <c r="O2996" s="3"/>
      <c r="P2996" s="125"/>
      <c r="Q2996" s="125"/>
      <c r="R2996" s="127"/>
      <c r="S2996" s="123"/>
      <c r="T2996" s="3"/>
      <c r="W2996" s="86"/>
      <c r="Y2996" s="75"/>
    </row>
    <row r="2997" spans="1:25" x14ac:dyDescent="0.25">
      <c r="A2997" s="75"/>
      <c r="C2997" s="81"/>
      <c r="D2997" s="81"/>
      <c r="I2997" s="81"/>
      <c r="K2997" s="82"/>
      <c r="L2997" s="123"/>
      <c r="M2997" s="3"/>
      <c r="N2997" s="3"/>
      <c r="O2997" s="3"/>
      <c r="P2997" s="125"/>
      <c r="Q2997" s="125"/>
      <c r="R2997" s="127"/>
      <c r="S2997" s="123"/>
      <c r="T2997" s="3"/>
      <c r="W2997" s="86"/>
      <c r="Y2997" s="75"/>
    </row>
    <row r="2998" spans="1:25" x14ac:dyDescent="0.25">
      <c r="A2998" s="75"/>
      <c r="C2998" s="81"/>
      <c r="D2998" s="81"/>
      <c r="I2998" s="81"/>
      <c r="K2998" s="82"/>
      <c r="L2998" s="123"/>
      <c r="M2998" s="3"/>
      <c r="N2998" s="3"/>
      <c r="O2998" s="3"/>
      <c r="P2998" s="125"/>
      <c r="Q2998" s="125"/>
      <c r="R2998" s="127"/>
      <c r="S2998" s="123"/>
      <c r="T2998" s="3"/>
      <c r="W2998" s="86"/>
      <c r="Y2998" s="75"/>
    </row>
    <row r="2999" spans="1:25" x14ac:dyDescent="0.25">
      <c r="A2999" s="75"/>
      <c r="C2999" s="81"/>
      <c r="D2999" s="81"/>
      <c r="I2999" s="81"/>
      <c r="K2999" s="82"/>
      <c r="L2999" s="123"/>
      <c r="M2999" s="3"/>
      <c r="N2999" s="3"/>
      <c r="O2999" s="3"/>
      <c r="P2999" s="125"/>
      <c r="Q2999" s="125"/>
      <c r="R2999" s="127"/>
      <c r="S2999" s="123"/>
      <c r="T2999" s="3"/>
      <c r="W2999" s="86"/>
      <c r="Y2999" s="75"/>
    </row>
    <row r="3000" spans="1:25" x14ac:dyDescent="0.25">
      <c r="A3000" s="75"/>
      <c r="C3000" s="81"/>
      <c r="D3000" s="81"/>
      <c r="I3000" s="81"/>
      <c r="K3000" s="82"/>
      <c r="L3000" s="123"/>
      <c r="M3000" s="3"/>
      <c r="N3000" s="3"/>
      <c r="O3000" s="3"/>
      <c r="P3000" s="125"/>
      <c r="Q3000" s="125"/>
      <c r="R3000" s="127"/>
      <c r="S3000" s="123"/>
      <c r="T3000" s="3"/>
      <c r="W3000" s="86"/>
      <c r="Y3000" s="75"/>
    </row>
    <row r="3001" spans="1:25" x14ac:dyDescent="0.25">
      <c r="A3001" s="75"/>
      <c r="C3001" s="81"/>
      <c r="D3001" s="81"/>
      <c r="I3001" s="81"/>
      <c r="K3001" s="82"/>
      <c r="L3001" s="123"/>
      <c r="M3001" s="3"/>
      <c r="N3001" s="3"/>
      <c r="O3001" s="3"/>
      <c r="P3001" s="125"/>
      <c r="Q3001" s="125"/>
      <c r="R3001" s="127"/>
      <c r="S3001" s="123"/>
      <c r="T3001" s="3"/>
      <c r="W3001" s="86"/>
      <c r="Y3001" s="75"/>
    </row>
    <row r="3002" spans="1:25" x14ac:dyDescent="0.25">
      <c r="A3002" s="75"/>
      <c r="C3002" s="81"/>
      <c r="D3002" s="81"/>
      <c r="I3002" s="81"/>
      <c r="K3002" s="82"/>
      <c r="L3002" s="123"/>
      <c r="M3002" s="3"/>
      <c r="N3002" s="3"/>
      <c r="O3002" s="3"/>
      <c r="P3002" s="125"/>
      <c r="Q3002" s="125"/>
      <c r="R3002" s="127"/>
      <c r="S3002" s="123"/>
      <c r="T3002" s="3"/>
      <c r="W3002" s="86"/>
      <c r="Y3002" s="75"/>
    </row>
    <row r="3003" spans="1:25" x14ac:dyDescent="0.25">
      <c r="A3003" s="75"/>
      <c r="C3003" s="81"/>
      <c r="D3003" s="81"/>
      <c r="I3003" s="81"/>
      <c r="K3003" s="82"/>
      <c r="L3003" s="123"/>
      <c r="M3003" s="3"/>
      <c r="N3003" s="3"/>
      <c r="O3003" s="3"/>
      <c r="P3003" s="125"/>
      <c r="Q3003" s="125"/>
      <c r="R3003" s="127"/>
      <c r="S3003" s="123"/>
      <c r="T3003" s="3"/>
      <c r="W3003" s="86"/>
      <c r="Y3003" s="75"/>
    </row>
    <row r="3004" spans="1:25" x14ac:dyDescent="0.25">
      <c r="A3004" s="75"/>
      <c r="C3004" s="81"/>
      <c r="D3004" s="81"/>
      <c r="I3004" s="81"/>
      <c r="K3004" s="82"/>
      <c r="L3004" s="123"/>
      <c r="M3004" s="3"/>
      <c r="N3004" s="3"/>
      <c r="O3004" s="3"/>
      <c r="P3004" s="125"/>
      <c r="Q3004" s="125"/>
      <c r="R3004" s="127"/>
      <c r="S3004" s="123"/>
      <c r="T3004" s="3"/>
      <c r="W3004" s="86"/>
      <c r="Y3004" s="75"/>
    </row>
    <row r="3005" spans="1:25" x14ac:dyDescent="0.25">
      <c r="A3005" s="75"/>
      <c r="C3005" s="81"/>
      <c r="D3005" s="81"/>
      <c r="I3005" s="81"/>
      <c r="K3005" s="82"/>
      <c r="L3005" s="123"/>
      <c r="M3005" s="3"/>
      <c r="N3005" s="3"/>
      <c r="O3005" s="3"/>
      <c r="P3005" s="125"/>
      <c r="Q3005" s="125"/>
      <c r="R3005" s="127"/>
      <c r="S3005" s="123"/>
      <c r="T3005" s="3"/>
      <c r="W3005" s="86"/>
      <c r="Y3005" s="75"/>
    </row>
    <row r="3006" spans="1:25" x14ac:dyDescent="0.25">
      <c r="A3006" s="75"/>
      <c r="C3006" s="81"/>
      <c r="D3006" s="81"/>
      <c r="I3006" s="81"/>
      <c r="K3006" s="82"/>
      <c r="L3006" s="123"/>
      <c r="M3006" s="3"/>
      <c r="N3006" s="3"/>
      <c r="O3006" s="3"/>
      <c r="P3006" s="125"/>
      <c r="Q3006" s="125"/>
      <c r="R3006" s="127"/>
      <c r="S3006" s="123"/>
      <c r="T3006" s="3"/>
      <c r="W3006" s="86"/>
      <c r="Y3006" s="75"/>
    </row>
    <row r="3007" spans="1:25" x14ac:dyDescent="0.25">
      <c r="A3007" s="75"/>
      <c r="C3007" s="81"/>
      <c r="D3007" s="81"/>
      <c r="I3007" s="81"/>
      <c r="K3007" s="82"/>
      <c r="L3007" s="123"/>
      <c r="M3007" s="3"/>
      <c r="N3007" s="3"/>
      <c r="O3007" s="3"/>
      <c r="P3007" s="125"/>
      <c r="Q3007" s="125"/>
      <c r="R3007" s="127"/>
      <c r="S3007" s="123"/>
      <c r="T3007" s="3"/>
      <c r="W3007" s="86"/>
      <c r="Y3007" s="75"/>
    </row>
    <row r="3008" spans="1:25" x14ac:dyDescent="0.25">
      <c r="A3008" s="75"/>
      <c r="C3008" s="81"/>
      <c r="D3008" s="81"/>
      <c r="I3008" s="81"/>
      <c r="K3008" s="82"/>
      <c r="L3008" s="123"/>
      <c r="M3008" s="3"/>
      <c r="N3008" s="3"/>
      <c r="O3008" s="3"/>
      <c r="P3008" s="125"/>
      <c r="Q3008" s="125"/>
      <c r="R3008" s="127"/>
      <c r="S3008" s="123"/>
      <c r="T3008" s="3"/>
      <c r="W3008" s="86"/>
      <c r="Y3008" s="75"/>
    </row>
    <row r="3009" spans="1:25" x14ac:dyDescent="0.25">
      <c r="A3009" s="75"/>
      <c r="C3009" s="81"/>
      <c r="D3009" s="81"/>
      <c r="I3009" s="81"/>
      <c r="K3009" s="82"/>
      <c r="L3009" s="123"/>
      <c r="M3009" s="3"/>
      <c r="N3009" s="3"/>
      <c r="O3009" s="3"/>
      <c r="P3009" s="125"/>
      <c r="Q3009" s="125"/>
      <c r="R3009" s="127"/>
      <c r="S3009" s="123"/>
      <c r="T3009" s="3"/>
      <c r="W3009" s="86"/>
      <c r="Y3009" s="75"/>
    </row>
    <row r="3010" spans="1:25" x14ac:dyDescent="0.25">
      <c r="A3010" s="75"/>
      <c r="C3010" s="81"/>
      <c r="D3010" s="81"/>
      <c r="I3010" s="81"/>
      <c r="K3010" s="82"/>
      <c r="L3010" s="123"/>
      <c r="M3010" s="3"/>
      <c r="N3010" s="3"/>
      <c r="O3010" s="3"/>
      <c r="P3010" s="125"/>
      <c r="Q3010" s="125"/>
      <c r="R3010" s="127"/>
      <c r="S3010" s="123"/>
      <c r="T3010" s="3"/>
      <c r="W3010" s="86"/>
      <c r="Y3010" s="75"/>
    </row>
    <row r="3011" spans="1:25" x14ac:dyDescent="0.25">
      <c r="A3011" s="75"/>
      <c r="C3011" s="81"/>
      <c r="D3011" s="81"/>
      <c r="I3011" s="81"/>
      <c r="K3011" s="82"/>
      <c r="L3011" s="123"/>
      <c r="M3011" s="3"/>
      <c r="N3011" s="3"/>
      <c r="O3011" s="3"/>
      <c r="P3011" s="125"/>
      <c r="Q3011" s="125"/>
      <c r="R3011" s="127"/>
      <c r="S3011" s="123"/>
      <c r="T3011" s="3"/>
      <c r="W3011" s="86"/>
      <c r="Y3011" s="75"/>
    </row>
    <row r="3012" spans="1:25" x14ac:dyDescent="0.25">
      <c r="A3012" s="75"/>
      <c r="C3012" s="81"/>
      <c r="D3012" s="81"/>
      <c r="I3012" s="81"/>
      <c r="K3012" s="82"/>
      <c r="L3012" s="123"/>
      <c r="M3012" s="3"/>
      <c r="N3012" s="3"/>
      <c r="O3012" s="3"/>
      <c r="P3012" s="125"/>
      <c r="Q3012" s="125"/>
      <c r="R3012" s="127"/>
      <c r="S3012" s="123"/>
      <c r="T3012" s="3"/>
      <c r="W3012" s="86"/>
      <c r="Y3012" s="75"/>
    </row>
    <row r="3013" spans="1:25" x14ac:dyDescent="0.25">
      <c r="A3013" s="75"/>
      <c r="C3013" s="81"/>
      <c r="D3013" s="81"/>
      <c r="I3013" s="81"/>
      <c r="K3013" s="82"/>
      <c r="L3013" s="123"/>
      <c r="M3013" s="3"/>
      <c r="N3013" s="3"/>
      <c r="O3013" s="3"/>
      <c r="P3013" s="125"/>
      <c r="Q3013" s="125"/>
      <c r="R3013" s="127"/>
      <c r="S3013" s="123"/>
      <c r="T3013" s="3"/>
      <c r="W3013" s="86"/>
      <c r="Y3013" s="75"/>
    </row>
    <row r="3014" spans="1:25" x14ac:dyDescent="0.25">
      <c r="A3014" s="75"/>
      <c r="C3014" s="81"/>
      <c r="D3014" s="81"/>
      <c r="I3014" s="81"/>
      <c r="K3014" s="82"/>
      <c r="L3014" s="123"/>
      <c r="M3014" s="3"/>
      <c r="N3014" s="3"/>
      <c r="O3014" s="3"/>
      <c r="P3014" s="125"/>
      <c r="Q3014" s="125"/>
      <c r="R3014" s="127"/>
      <c r="S3014" s="123"/>
      <c r="T3014" s="3"/>
      <c r="W3014" s="86"/>
      <c r="Y3014" s="75"/>
    </row>
    <row r="3015" spans="1:25" x14ac:dyDescent="0.25">
      <c r="A3015" s="75"/>
      <c r="C3015" s="81"/>
      <c r="D3015" s="81"/>
      <c r="I3015" s="81"/>
      <c r="K3015" s="82"/>
      <c r="L3015" s="123"/>
      <c r="M3015" s="3"/>
      <c r="N3015" s="3"/>
      <c r="O3015" s="3"/>
      <c r="P3015" s="125"/>
      <c r="Q3015" s="125"/>
      <c r="R3015" s="127"/>
      <c r="S3015" s="123"/>
      <c r="T3015" s="3"/>
      <c r="W3015" s="86"/>
      <c r="Y3015" s="75"/>
    </row>
    <row r="3016" spans="1:25" x14ac:dyDescent="0.25">
      <c r="A3016" s="75"/>
      <c r="C3016" s="81"/>
      <c r="D3016" s="81"/>
      <c r="I3016" s="81"/>
      <c r="K3016" s="82"/>
      <c r="L3016" s="123"/>
      <c r="M3016" s="3"/>
      <c r="N3016" s="3"/>
      <c r="O3016" s="3"/>
      <c r="P3016" s="125"/>
      <c r="Q3016" s="125"/>
      <c r="R3016" s="127"/>
      <c r="S3016" s="123"/>
      <c r="T3016" s="3"/>
      <c r="W3016" s="86"/>
      <c r="Y3016" s="75"/>
    </row>
    <row r="3017" spans="1:25" x14ac:dyDescent="0.25">
      <c r="A3017" s="75"/>
      <c r="C3017" s="81"/>
      <c r="D3017" s="81"/>
      <c r="I3017" s="81"/>
      <c r="K3017" s="82"/>
      <c r="L3017" s="123"/>
      <c r="M3017" s="3"/>
      <c r="N3017" s="3"/>
      <c r="O3017" s="3"/>
      <c r="P3017" s="125"/>
      <c r="Q3017" s="125"/>
      <c r="R3017" s="127"/>
      <c r="S3017" s="123"/>
      <c r="T3017" s="3"/>
      <c r="W3017" s="86"/>
      <c r="Y3017" s="75"/>
    </row>
    <row r="3018" spans="1:25" x14ac:dyDescent="0.25">
      <c r="A3018" s="75"/>
      <c r="C3018" s="81"/>
      <c r="D3018" s="81"/>
      <c r="I3018" s="81"/>
      <c r="K3018" s="82"/>
      <c r="L3018" s="123"/>
      <c r="M3018" s="3"/>
      <c r="N3018" s="3"/>
      <c r="O3018" s="3"/>
      <c r="P3018" s="125"/>
      <c r="Q3018" s="125"/>
      <c r="R3018" s="127"/>
      <c r="S3018" s="123"/>
      <c r="T3018" s="3"/>
      <c r="W3018" s="86"/>
      <c r="Y3018" s="75"/>
    </row>
    <row r="3019" spans="1:25" x14ac:dyDescent="0.25">
      <c r="A3019" s="75"/>
      <c r="C3019" s="81"/>
      <c r="D3019" s="81"/>
      <c r="I3019" s="81"/>
      <c r="K3019" s="82"/>
      <c r="L3019" s="123"/>
      <c r="M3019" s="3"/>
      <c r="N3019" s="3"/>
      <c r="O3019" s="3"/>
      <c r="P3019" s="125"/>
      <c r="Q3019" s="125"/>
      <c r="R3019" s="127"/>
      <c r="S3019" s="123"/>
      <c r="T3019" s="3"/>
      <c r="W3019" s="86"/>
      <c r="Y3019" s="75"/>
    </row>
    <row r="3020" spans="1:25" x14ac:dyDescent="0.25">
      <c r="A3020" s="75"/>
      <c r="C3020" s="81"/>
      <c r="D3020" s="81"/>
      <c r="I3020" s="81"/>
      <c r="K3020" s="82"/>
      <c r="L3020" s="123"/>
      <c r="M3020" s="3"/>
      <c r="N3020" s="3"/>
      <c r="O3020" s="3"/>
      <c r="P3020" s="125"/>
      <c r="Q3020" s="125"/>
      <c r="R3020" s="127"/>
      <c r="S3020" s="123"/>
      <c r="T3020" s="3"/>
      <c r="W3020" s="86"/>
      <c r="Y3020" s="75"/>
    </row>
    <row r="3021" spans="1:25" x14ac:dyDescent="0.25">
      <c r="A3021" s="75"/>
      <c r="C3021" s="81"/>
      <c r="D3021" s="81"/>
      <c r="I3021" s="81"/>
      <c r="K3021" s="82"/>
      <c r="L3021" s="123"/>
      <c r="M3021" s="3"/>
      <c r="N3021" s="3"/>
      <c r="O3021" s="3"/>
      <c r="P3021" s="125"/>
      <c r="Q3021" s="125"/>
      <c r="R3021" s="127"/>
      <c r="S3021" s="123"/>
      <c r="T3021" s="3"/>
      <c r="W3021" s="86"/>
      <c r="Y3021" s="75"/>
    </row>
    <row r="3022" spans="1:25" x14ac:dyDescent="0.25">
      <c r="A3022" s="75"/>
      <c r="C3022" s="81"/>
      <c r="D3022" s="81"/>
      <c r="I3022" s="81"/>
      <c r="K3022" s="82"/>
      <c r="L3022" s="123"/>
      <c r="M3022" s="3"/>
      <c r="N3022" s="3"/>
      <c r="O3022" s="3"/>
      <c r="P3022" s="125"/>
      <c r="Q3022" s="125"/>
      <c r="R3022" s="127"/>
      <c r="S3022" s="123"/>
      <c r="T3022" s="3"/>
      <c r="W3022" s="86"/>
      <c r="Y3022" s="75"/>
    </row>
    <row r="3023" spans="1:25" x14ac:dyDescent="0.25">
      <c r="A3023" s="75"/>
      <c r="C3023" s="81"/>
      <c r="D3023" s="81"/>
      <c r="I3023" s="81"/>
      <c r="K3023" s="82"/>
      <c r="L3023" s="123"/>
      <c r="M3023" s="3"/>
      <c r="N3023" s="3"/>
      <c r="O3023" s="3"/>
      <c r="P3023" s="125"/>
      <c r="Q3023" s="125"/>
      <c r="R3023" s="127"/>
      <c r="S3023" s="123"/>
      <c r="T3023" s="3"/>
      <c r="W3023" s="86"/>
      <c r="Y3023" s="75"/>
    </row>
    <row r="3024" spans="1:25" x14ac:dyDescent="0.25">
      <c r="A3024" s="75"/>
      <c r="C3024" s="81"/>
      <c r="D3024" s="81"/>
      <c r="I3024" s="81"/>
      <c r="K3024" s="82"/>
      <c r="L3024" s="123"/>
      <c r="M3024" s="3"/>
      <c r="N3024" s="3"/>
      <c r="O3024" s="3"/>
      <c r="P3024" s="125"/>
      <c r="Q3024" s="125"/>
      <c r="R3024" s="127"/>
      <c r="S3024" s="123"/>
      <c r="T3024" s="3"/>
      <c r="W3024" s="86"/>
      <c r="Y3024" s="75"/>
    </row>
    <row r="3025" spans="1:25" x14ac:dyDescent="0.25">
      <c r="A3025" s="75"/>
      <c r="C3025" s="81"/>
      <c r="D3025" s="81"/>
      <c r="I3025" s="81"/>
      <c r="K3025" s="82"/>
      <c r="L3025" s="123"/>
      <c r="M3025" s="3"/>
      <c r="N3025" s="3"/>
      <c r="O3025" s="3"/>
      <c r="P3025" s="125"/>
      <c r="Q3025" s="125"/>
      <c r="R3025" s="127"/>
      <c r="S3025" s="123"/>
      <c r="T3025" s="3"/>
      <c r="W3025" s="86"/>
      <c r="Y3025" s="75"/>
    </row>
    <row r="3026" spans="1:25" x14ac:dyDescent="0.25">
      <c r="A3026" s="75"/>
      <c r="C3026" s="81"/>
      <c r="D3026" s="81"/>
      <c r="I3026" s="81"/>
      <c r="K3026" s="82"/>
      <c r="L3026" s="123"/>
      <c r="M3026" s="3"/>
      <c r="N3026" s="3"/>
      <c r="O3026" s="3"/>
      <c r="P3026" s="125"/>
      <c r="Q3026" s="125"/>
      <c r="R3026" s="127"/>
      <c r="S3026" s="123"/>
      <c r="T3026" s="3"/>
      <c r="W3026" s="86"/>
      <c r="Y3026" s="75"/>
    </row>
    <row r="3027" spans="1:25" x14ac:dyDescent="0.25">
      <c r="A3027" s="75"/>
      <c r="C3027" s="81"/>
      <c r="D3027" s="81"/>
      <c r="I3027" s="81"/>
      <c r="K3027" s="82"/>
      <c r="L3027" s="123"/>
      <c r="M3027" s="3"/>
      <c r="N3027" s="3"/>
      <c r="O3027" s="3"/>
      <c r="P3027" s="125"/>
      <c r="Q3027" s="125"/>
      <c r="R3027" s="127"/>
      <c r="S3027" s="123"/>
      <c r="T3027" s="3"/>
      <c r="W3027" s="86"/>
      <c r="Y3027" s="75"/>
    </row>
    <row r="3028" spans="1:25" x14ac:dyDescent="0.25">
      <c r="A3028" s="75"/>
      <c r="C3028" s="81"/>
      <c r="D3028" s="81"/>
      <c r="I3028" s="81"/>
      <c r="K3028" s="82"/>
      <c r="L3028" s="123"/>
      <c r="M3028" s="3"/>
      <c r="N3028" s="3"/>
      <c r="O3028" s="3"/>
      <c r="P3028" s="125"/>
      <c r="Q3028" s="125"/>
      <c r="R3028" s="127"/>
      <c r="S3028" s="123"/>
      <c r="T3028" s="3"/>
      <c r="W3028" s="86"/>
      <c r="Y3028" s="75"/>
    </row>
    <row r="3029" spans="1:25" x14ac:dyDescent="0.25">
      <c r="A3029" s="75"/>
      <c r="C3029" s="81"/>
      <c r="D3029" s="81"/>
      <c r="I3029" s="81"/>
      <c r="K3029" s="82"/>
      <c r="L3029" s="123"/>
      <c r="M3029" s="3"/>
      <c r="N3029" s="3"/>
      <c r="O3029" s="3"/>
      <c r="P3029" s="125"/>
      <c r="Q3029" s="125"/>
      <c r="R3029" s="127"/>
      <c r="S3029" s="123"/>
      <c r="T3029" s="3"/>
      <c r="W3029" s="86"/>
      <c r="Y3029" s="75"/>
    </row>
    <row r="3030" spans="1:25" x14ac:dyDescent="0.25">
      <c r="A3030" s="75"/>
      <c r="C3030" s="81"/>
      <c r="D3030" s="81"/>
      <c r="I3030" s="81"/>
      <c r="K3030" s="82"/>
      <c r="L3030" s="123"/>
      <c r="M3030" s="3"/>
      <c r="N3030" s="3"/>
      <c r="O3030" s="3"/>
      <c r="P3030" s="125"/>
      <c r="Q3030" s="125"/>
      <c r="R3030" s="127"/>
      <c r="S3030" s="123"/>
      <c r="T3030" s="3"/>
      <c r="W3030" s="86"/>
      <c r="Y3030" s="75"/>
    </row>
    <row r="3031" spans="1:25" x14ac:dyDescent="0.25">
      <c r="A3031" s="75"/>
      <c r="C3031" s="81"/>
      <c r="D3031" s="81"/>
      <c r="I3031" s="81"/>
      <c r="K3031" s="82"/>
      <c r="L3031" s="123"/>
      <c r="M3031" s="3"/>
      <c r="N3031" s="3"/>
      <c r="O3031" s="3"/>
      <c r="P3031" s="125"/>
      <c r="Q3031" s="125"/>
      <c r="R3031" s="127"/>
      <c r="S3031" s="123"/>
      <c r="T3031" s="3"/>
      <c r="W3031" s="86"/>
      <c r="Y3031" s="75"/>
    </row>
    <row r="3032" spans="1:25" x14ac:dyDescent="0.25">
      <c r="A3032" s="75"/>
      <c r="C3032" s="81"/>
      <c r="D3032" s="81"/>
      <c r="I3032" s="81"/>
      <c r="K3032" s="82"/>
      <c r="L3032" s="123"/>
      <c r="M3032" s="3"/>
      <c r="N3032" s="3"/>
      <c r="O3032" s="3"/>
      <c r="P3032" s="125"/>
      <c r="Q3032" s="125"/>
      <c r="R3032" s="127"/>
      <c r="S3032" s="123"/>
      <c r="T3032" s="3"/>
      <c r="W3032" s="86"/>
      <c r="Y3032" s="75"/>
    </row>
    <row r="3033" spans="1:25" x14ac:dyDescent="0.25">
      <c r="A3033" s="75"/>
      <c r="C3033" s="81"/>
      <c r="D3033" s="81"/>
      <c r="I3033" s="81"/>
      <c r="K3033" s="82"/>
      <c r="L3033" s="123"/>
      <c r="M3033" s="3"/>
      <c r="N3033" s="3"/>
      <c r="O3033" s="3"/>
      <c r="P3033" s="125"/>
      <c r="Q3033" s="125"/>
      <c r="R3033" s="127"/>
      <c r="S3033" s="123"/>
      <c r="T3033" s="3"/>
      <c r="W3033" s="86"/>
      <c r="Y3033" s="75"/>
    </row>
    <row r="3034" spans="1:25" x14ac:dyDescent="0.25">
      <c r="A3034" s="75"/>
      <c r="C3034" s="81"/>
      <c r="D3034" s="81"/>
      <c r="I3034" s="81"/>
      <c r="K3034" s="82"/>
      <c r="L3034" s="123"/>
      <c r="M3034" s="3"/>
      <c r="N3034" s="3"/>
      <c r="O3034" s="3"/>
      <c r="P3034" s="125"/>
      <c r="Q3034" s="125"/>
      <c r="R3034" s="127"/>
      <c r="S3034" s="123"/>
      <c r="T3034" s="3"/>
      <c r="W3034" s="86"/>
      <c r="Y3034" s="75"/>
    </row>
    <row r="3035" spans="1:25" x14ac:dyDescent="0.25">
      <c r="A3035" s="75"/>
      <c r="C3035" s="81"/>
      <c r="D3035" s="81"/>
      <c r="I3035" s="81"/>
      <c r="K3035" s="82"/>
      <c r="L3035" s="123"/>
      <c r="M3035" s="3"/>
      <c r="N3035" s="3"/>
      <c r="O3035" s="3"/>
      <c r="P3035" s="125"/>
      <c r="Q3035" s="125"/>
      <c r="R3035" s="127"/>
      <c r="S3035" s="123"/>
      <c r="T3035" s="3"/>
      <c r="W3035" s="86"/>
      <c r="Y3035" s="75"/>
    </row>
    <row r="3036" spans="1:25" x14ac:dyDescent="0.25">
      <c r="A3036" s="75"/>
      <c r="C3036" s="81"/>
      <c r="D3036" s="81"/>
      <c r="I3036" s="81"/>
      <c r="K3036" s="82"/>
      <c r="L3036" s="123"/>
      <c r="M3036" s="3"/>
      <c r="N3036" s="3"/>
      <c r="O3036" s="3"/>
      <c r="P3036" s="125"/>
      <c r="Q3036" s="125"/>
      <c r="R3036" s="127"/>
      <c r="S3036" s="123"/>
      <c r="T3036" s="3"/>
      <c r="W3036" s="86"/>
      <c r="Y3036" s="75"/>
    </row>
    <row r="3037" spans="1:25" x14ac:dyDescent="0.25">
      <c r="A3037" s="75"/>
      <c r="C3037" s="81"/>
      <c r="D3037" s="81"/>
      <c r="I3037" s="81"/>
      <c r="K3037" s="82"/>
      <c r="L3037" s="123"/>
      <c r="M3037" s="3"/>
      <c r="N3037" s="3"/>
      <c r="O3037" s="3"/>
      <c r="P3037" s="125"/>
      <c r="Q3037" s="125"/>
      <c r="R3037" s="127"/>
      <c r="S3037" s="123"/>
      <c r="T3037" s="3"/>
      <c r="W3037" s="86"/>
      <c r="Y3037" s="75"/>
    </row>
    <row r="3038" spans="1:25" x14ac:dyDescent="0.25">
      <c r="A3038" s="75"/>
      <c r="C3038" s="81"/>
      <c r="D3038" s="81"/>
      <c r="I3038" s="81"/>
      <c r="K3038" s="82"/>
      <c r="L3038" s="123"/>
      <c r="M3038" s="3"/>
      <c r="N3038" s="3"/>
      <c r="O3038" s="3"/>
      <c r="P3038" s="125"/>
      <c r="Q3038" s="125"/>
      <c r="R3038" s="127"/>
      <c r="S3038" s="123"/>
      <c r="T3038" s="3"/>
      <c r="W3038" s="86"/>
      <c r="Y3038" s="75"/>
    </row>
    <row r="3039" spans="1:25" x14ac:dyDescent="0.25">
      <c r="A3039" s="75"/>
      <c r="C3039" s="81"/>
      <c r="D3039" s="81"/>
      <c r="I3039" s="81"/>
      <c r="K3039" s="82"/>
      <c r="L3039" s="123"/>
      <c r="M3039" s="3"/>
      <c r="N3039" s="3"/>
      <c r="O3039" s="3"/>
      <c r="P3039" s="125"/>
      <c r="Q3039" s="125"/>
      <c r="R3039" s="127"/>
      <c r="S3039" s="123"/>
      <c r="T3039" s="3"/>
      <c r="W3039" s="86"/>
      <c r="Y3039" s="75"/>
    </row>
    <row r="3040" spans="1:25" x14ac:dyDescent="0.25">
      <c r="A3040" s="75"/>
      <c r="C3040" s="81"/>
      <c r="D3040" s="81"/>
      <c r="I3040" s="81"/>
      <c r="K3040" s="82"/>
      <c r="L3040" s="123"/>
      <c r="M3040" s="3"/>
      <c r="N3040" s="3"/>
      <c r="O3040" s="3"/>
      <c r="P3040" s="125"/>
      <c r="Q3040" s="125"/>
      <c r="R3040" s="127"/>
      <c r="S3040" s="123"/>
      <c r="T3040" s="3"/>
      <c r="W3040" s="86"/>
      <c r="Y3040" s="75"/>
    </row>
    <row r="3041" spans="1:25" x14ac:dyDescent="0.25">
      <c r="A3041" s="75"/>
      <c r="C3041" s="81"/>
      <c r="D3041" s="81"/>
      <c r="I3041" s="81"/>
      <c r="K3041" s="82"/>
      <c r="L3041" s="123"/>
      <c r="M3041" s="3"/>
      <c r="N3041" s="3"/>
      <c r="O3041" s="3"/>
      <c r="P3041" s="125"/>
      <c r="Q3041" s="125"/>
      <c r="R3041" s="127"/>
      <c r="S3041" s="123"/>
      <c r="T3041" s="3"/>
      <c r="W3041" s="86"/>
      <c r="Y3041" s="75"/>
    </row>
    <row r="3042" spans="1:25" x14ac:dyDescent="0.25">
      <c r="A3042" s="75"/>
      <c r="C3042" s="81"/>
      <c r="D3042" s="81"/>
      <c r="I3042" s="81"/>
      <c r="K3042" s="82"/>
      <c r="L3042" s="123"/>
      <c r="M3042" s="3"/>
      <c r="N3042" s="3"/>
      <c r="O3042" s="3"/>
      <c r="P3042" s="125"/>
      <c r="Q3042" s="125"/>
      <c r="R3042" s="127"/>
      <c r="S3042" s="123"/>
      <c r="T3042" s="3"/>
      <c r="W3042" s="86"/>
      <c r="Y3042" s="75"/>
    </row>
    <row r="3043" spans="1:25" x14ac:dyDescent="0.25">
      <c r="A3043" s="75"/>
      <c r="C3043" s="81"/>
      <c r="D3043" s="81"/>
      <c r="I3043" s="81"/>
      <c r="K3043" s="82"/>
      <c r="L3043" s="123"/>
      <c r="M3043" s="3"/>
      <c r="N3043" s="3"/>
      <c r="O3043" s="3"/>
      <c r="P3043" s="125"/>
      <c r="Q3043" s="125"/>
      <c r="R3043" s="127"/>
      <c r="S3043" s="123"/>
      <c r="T3043" s="3"/>
      <c r="W3043" s="86"/>
      <c r="Y3043" s="75"/>
    </row>
    <row r="3044" spans="1:25" x14ac:dyDescent="0.25">
      <c r="A3044" s="75"/>
      <c r="C3044" s="81"/>
      <c r="D3044" s="81"/>
      <c r="I3044" s="81"/>
      <c r="K3044" s="82"/>
      <c r="L3044" s="123"/>
      <c r="M3044" s="3"/>
      <c r="N3044" s="3"/>
      <c r="O3044" s="3"/>
      <c r="P3044" s="125"/>
      <c r="Q3044" s="125"/>
      <c r="R3044" s="127"/>
      <c r="S3044" s="123"/>
      <c r="T3044" s="3"/>
      <c r="W3044" s="86"/>
      <c r="Y3044" s="75"/>
    </row>
    <row r="3045" spans="1:25" x14ac:dyDescent="0.25">
      <c r="A3045" s="75"/>
      <c r="C3045" s="81"/>
      <c r="D3045" s="81"/>
      <c r="I3045" s="81"/>
      <c r="K3045" s="82"/>
      <c r="L3045" s="123"/>
      <c r="M3045" s="3"/>
      <c r="N3045" s="3"/>
      <c r="O3045" s="3"/>
      <c r="P3045" s="125"/>
      <c r="Q3045" s="125"/>
      <c r="R3045" s="127"/>
      <c r="S3045" s="123"/>
      <c r="T3045" s="3"/>
      <c r="W3045" s="86"/>
      <c r="Y3045" s="75"/>
    </row>
    <row r="3046" spans="1:25" x14ac:dyDescent="0.25">
      <c r="A3046" s="75"/>
      <c r="C3046" s="81"/>
      <c r="D3046" s="81"/>
      <c r="I3046" s="81"/>
      <c r="K3046" s="82"/>
      <c r="L3046" s="123"/>
      <c r="M3046" s="3"/>
      <c r="N3046" s="3"/>
      <c r="O3046" s="3"/>
      <c r="P3046" s="125"/>
      <c r="Q3046" s="125"/>
      <c r="R3046" s="127"/>
      <c r="S3046" s="123"/>
      <c r="T3046" s="3"/>
      <c r="W3046" s="86"/>
      <c r="Y3046" s="75"/>
    </row>
    <row r="3047" spans="1:25" x14ac:dyDescent="0.25">
      <c r="A3047" s="75"/>
      <c r="C3047" s="81"/>
      <c r="D3047" s="81"/>
      <c r="I3047" s="81"/>
      <c r="K3047" s="82"/>
      <c r="L3047" s="123"/>
      <c r="M3047" s="3"/>
      <c r="N3047" s="3"/>
      <c r="O3047" s="3"/>
      <c r="P3047" s="125"/>
      <c r="Q3047" s="125"/>
      <c r="R3047" s="127"/>
      <c r="S3047" s="123"/>
      <c r="T3047" s="3"/>
      <c r="W3047" s="86"/>
      <c r="Y3047" s="75"/>
    </row>
    <row r="3048" spans="1:25" x14ac:dyDescent="0.25">
      <c r="A3048" s="75"/>
      <c r="C3048" s="81"/>
      <c r="D3048" s="81"/>
      <c r="I3048" s="81"/>
      <c r="K3048" s="82"/>
      <c r="L3048" s="123"/>
      <c r="M3048" s="3"/>
      <c r="N3048" s="3"/>
      <c r="O3048" s="3"/>
      <c r="P3048" s="125"/>
      <c r="Q3048" s="125"/>
      <c r="R3048" s="127"/>
      <c r="S3048" s="123"/>
      <c r="T3048" s="3"/>
      <c r="W3048" s="86"/>
      <c r="Y3048" s="75"/>
    </row>
    <row r="3049" spans="1:25" x14ac:dyDescent="0.25">
      <c r="A3049" s="75"/>
      <c r="C3049" s="81"/>
      <c r="D3049" s="81"/>
      <c r="I3049" s="81"/>
      <c r="K3049" s="82"/>
      <c r="L3049" s="123"/>
      <c r="M3049" s="3"/>
      <c r="N3049" s="3"/>
      <c r="O3049" s="3"/>
      <c r="P3049" s="125"/>
      <c r="Q3049" s="125"/>
      <c r="R3049" s="127"/>
      <c r="S3049" s="123"/>
      <c r="T3049" s="3"/>
      <c r="W3049" s="86"/>
      <c r="Y3049" s="75"/>
    </row>
    <row r="3050" spans="1:25" x14ac:dyDescent="0.25">
      <c r="A3050" s="75"/>
      <c r="C3050" s="81"/>
      <c r="D3050" s="81"/>
      <c r="I3050" s="81"/>
      <c r="K3050" s="82"/>
      <c r="L3050" s="123"/>
      <c r="M3050" s="3"/>
      <c r="N3050" s="3"/>
      <c r="O3050" s="3"/>
      <c r="P3050" s="125"/>
      <c r="Q3050" s="125"/>
      <c r="R3050" s="127"/>
      <c r="S3050" s="123"/>
      <c r="T3050" s="3"/>
      <c r="W3050" s="86"/>
      <c r="Y3050" s="75"/>
    </row>
    <row r="3051" spans="1:25" x14ac:dyDescent="0.25">
      <c r="A3051" s="75"/>
      <c r="C3051" s="81"/>
      <c r="D3051" s="81"/>
      <c r="I3051" s="81"/>
      <c r="K3051" s="82"/>
      <c r="L3051" s="123"/>
      <c r="M3051" s="3"/>
      <c r="N3051" s="3"/>
      <c r="O3051" s="3"/>
      <c r="P3051" s="125"/>
      <c r="Q3051" s="125"/>
      <c r="R3051" s="127"/>
      <c r="S3051" s="123"/>
      <c r="T3051" s="3"/>
      <c r="W3051" s="86"/>
      <c r="Y3051" s="75"/>
    </row>
    <row r="3052" spans="1:25" x14ac:dyDescent="0.25">
      <c r="A3052" s="75"/>
      <c r="C3052" s="81"/>
      <c r="D3052" s="81"/>
      <c r="I3052" s="81"/>
      <c r="K3052" s="82"/>
      <c r="L3052" s="123"/>
      <c r="M3052" s="3"/>
      <c r="N3052" s="3"/>
      <c r="O3052" s="3"/>
      <c r="P3052" s="125"/>
      <c r="Q3052" s="125"/>
      <c r="R3052" s="127"/>
      <c r="S3052" s="123"/>
      <c r="T3052" s="3"/>
      <c r="W3052" s="86"/>
      <c r="Y3052" s="75"/>
    </row>
    <row r="3053" spans="1:25" x14ac:dyDescent="0.25">
      <c r="A3053" s="75"/>
      <c r="C3053" s="81"/>
      <c r="D3053" s="81"/>
      <c r="I3053" s="81"/>
      <c r="K3053" s="82"/>
      <c r="L3053" s="123"/>
      <c r="M3053" s="3"/>
      <c r="N3053" s="3"/>
      <c r="O3053" s="3"/>
      <c r="P3053" s="125"/>
      <c r="Q3053" s="125"/>
      <c r="R3053" s="127"/>
      <c r="S3053" s="123"/>
      <c r="T3053" s="3"/>
      <c r="W3053" s="86"/>
      <c r="Y3053" s="75"/>
    </row>
    <row r="3054" spans="1:25" x14ac:dyDescent="0.25">
      <c r="A3054" s="75"/>
      <c r="C3054" s="81"/>
      <c r="D3054" s="81"/>
      <c r="I3054" s="81"/>
      <c r="K3054" s="82"/>
      <c r="L3054" s="123"/>
      <c r="M3054" s="3"/>
      <c r="N3054" s="3"/>
      <c r="O3054" s="3"/>
      <c r="P3054" s="125"/>
      <c r="Q3054" s="125"/>
      <c r="R3054" s="127"/>
      <c r="S3054" s="123"/>
      <c r="T3054" s="3"/>
      <c r="W3054" s="86"/>
      <c r="Y3054" s="75"/>
    </row>
    <row r="3055" spans="1:25" x14ac:dyDescent="0.25">
      <c r="A3055" s="75"/>
      <c r="C3055" s="81"/>
      <c r="D3055" s="81"/>
      <c r="I3055" s="81"/>
      <c r="K3055" s="82"/>
      <c r="L3055" s="123"/>
      <c r="M3055" s="3"/>
      <c r="N3055" s="3"/>
      <c r="O3055" s="3"/>
      <c r="P3055" s="125"/>
      <c r="Q3055" s="125"/>
      <c r="R3055" s="127"/>
      <c r="S3055" s="123"/>
      <c r="T3055" s="3"/>
      <c r="W3055" s="86"/>
      <c r="Y3055" s="75"/>
    </row>
    <row r="3056" spans="1:25" x14ac:dyDescent="0.25">
      <c r="A3056" s="75"/>
      <c r="C3056" s="81"/>
      <c r="D3056" s="81"/>
      <c r="I3056" s="81"/>
      <c r="K3056" s="82"/>
      <c r="L3056" s="123"/>
      <c r="M3056" s="3"/>
      <c r="N3056" s="3"/>
      <c r="O3056" s="3"/>
      <c r="P3056" s="125"/>
      <c r="Q3056" s="125"/>
      <c r="R3056" s="127"/>
      <c r="S3056" s="123"/>
      <c r="T3056" s="3"/>
      <c r="W3056" s="86"/>
      <c r="Y3056" s="75"/>
    </row>
    <row r="3057" spans="1:25" x14ac:dyDescent="0.25">
      <c r="A3057" s="75"/>
      <c r="C3057" s="81"/>
      <c r="D3057" s="81"/>
      <c r="I3057" s="81"/>
      <c r="K3057" s="82"/>
      <c r="L3057" s="123"/>
      <c r="M3057" s="3"/>
      <c r="N3057" s="3"/>
      <c r="O3057" s="3"/>
      <c r="P3057" s="125"/>
      <c r="Q3057" s="125"/>
      <c r="R3057" s="127"/>
      <c r="S3057" s="123"/>
      <c r="T3057" s="3"/>
      <c r="W3057" s="86"/>
      <c r="Y3057" s="75"/>
    </row>
    <row r="3058" spans="1:25" x14ac:dyDescent="0.25">
      <c r="A3058" s="75"/>
      <c r="C3058" s="81"/>
      <c r="D3058" s="81"/>
      <c r="I3058" s="81"/>
      <c r="K3058" s="82"/>
      <c r="L3058" s="123"/>
      <c r="M3058" s="3"/>
      <c r="N3058" s="3"/>
      <c r="O3058" s="3"/>
      <c r="P3058" s="125"/>
      <c r="Q3058" s="125"/>
      <c r="R3058" s="127"/>
      <c r="S3058" s="123"/>
      <c r="T3058" s="3"/>
      <c r="W3058" s="86"/>
      <c r="Y3058" s="75"/>
    </row>
    <row r="3059" spans="1:25" x14ac:dyDescent="0.25">
      <c r="A3059" s="75"/>
      <c r="C3059" s="81"/>
      <c r="D3059" s="81"/>
      <c r="I3059" s="81"/>
      <c r="K3059" s="82"/>
      <c r="L3059" s="123"/>
      <c r="M3059" s="3"/>
      <c r="N3059" s="3"/>
      <c r="O3059" s="3"/>
      <c r="P3059" s="125"/>
      <c r="Q3059" s="125"/>
      <c r="R3059" s="127"/>
      <c r="S3059" s="123"/>
      <c r="T3059" s="3"/>
      <c r="W3059" s="86"/>
      <c r="Y3059" s="75"/>
    </row>
    <row r="3060" spans="1:25" x14ac:dyDescent="0.25">
      <c r="A3060" s="75"/>
      <c r="C3060" s="81"/>
      <c r="D3060" s="81"/>
      <c r="I3060" s="81"/>
      <c r="K3060" s="82"/>
      <c r="L3060" s="123"/>
      <c r="M3060" s="3"/>
      <c r="N3060" s="3"/>
      <c r="O3060" s="3"/>
      <c r="P3060" s="125"/>
      <c r="Q3060" s="125"/>
      <c r="R3060" s="127"/>
      <c r="S3060" s="123"/>
      <c r="T3060" s="3"/>
      <c r="W3060" s="86"/>
      <c r="Y3060" s="75"/>
    </row>
    <row r="3061" spans="1:25" x14ac:dyDescent="0.25">
      <c r="A3061" s="75"/>
      <c r="C3061" s="81"/>
      <c r="D3061" s="81"/>
      <c r="I3061" s="81"/>
      <c r="K3061" s="82"/>
      <c r="L3061" s="123"/>
      <c r="M3061" s="3"/>
      <c r="N3061" s="3"/>
      <c r="O3061" s="3"/>
      <c r="P3061" s="125"/>
      <c r="Q3061" s="125"/>
      <c r="R3061" s="127"/>
      <c r="S3061" s="123"/>
      <c r="T3061" s="3"/>
      <c r="W3061" s="86"/>
      <c r="Y3061" s="75"/>
    </row>
    <row r="3062" spans="1:25" x14ac:dyDescent="0.25">
      <c r="A3062" s="75"/>
      <c r="C3062" s="81"/>
      <c r="D3062" s="81"/>
      <c r="I3062" s="81"/>
      <c r="K3062" s="82"/>
      <c r="L3062" s="123"/>
      <c r="M3062" s="3"/>
      <c r="N3062" s="3"/>
      <c r="O3062" s="3"/>
      <c r="P3062" s="125"/>
      <c r="Q3062" s="125"/>
      <c r="R3062" s="127"/>
      <c r="S3062" s="123"/>
      <c r="T3062" s="3"/>
      <c r="W3062" s="86"/>
      <c r="Y3062" s="75"/>
    </row>
    <row r="3063" spans="1:25" x14ac:dyDescent="0.25">
      <c r="A3063" s="75"/>
      <c r="C3063" s="81"/>
      <c r="D3063" s="81"/>
      <c r="I3063" s="81"/>
      <c r="K3063" s="82"/>
      <c r="L3063" s="123"/>
      <c r="M3063" s="3"/>
      <c r="N3063" s="3"/>
      <c r="O3063" s="3"/>
      <c r="P3063" s="125"/>
      <c r="Q3063" s="125"/>
      <c r="R3063" s="127"/>
      <c r="S3063" s="123"/>
      <c r="T3063" s="3"/>
      <c r="W3063" s="86"/>
      <c r="Y3063" s="75"/>
    </row>
    <row r="3064" spans="1:25" x14ac:dyDescent="0.25">
      <c r="A3064" s="75"/>
      <c r="C3064" s="81"/>
      <c r="D3064" s="81"/>
      <c r="I3064" s="81"/>
      <c r="K3064" s="82"/>
      <c r="L3064" s="123"/>
      <c r="M3064" s="3"/>
      <c r="N3064" s="3"/>
      <c r="O3064" s="3"/>
      <c r="P3064" s="125"/>
      <c r="Q3064" s="125"/>
      <c r="R3064" s="127"/>
      <c r="S3064" s="123"/>
      <c r="T3064" s="3"/>
      <c r="W3064" s="86"/>
      <c r="Y3064" s="75"/>
    </row>
    <row r="3065" spans="1:25" x14ac:dyDescent="0.25">
      <c r="A3065" s="75"/>
      <c r="C3065" s="81"/>
      <c r="D3065" s="81"/>
      <c r="I3065" s="81"/>
      <c r="K3065" s="82"/>
      <c r="L3065" s="123"/>
      <c r="M3065" s="3"/>
      <c r="N3065" s="3"/>
      <c r="O3065" s="3"/>
      <c r="P3065" s="125"/>
      <c r="Q3065" s="125"/>
      <c r="R3065" s="127"/>
      <c r="S3065" s="123"/>
      <c r="T3065" s="3"/>
      <c r="W3065" s="86"/>
      <c r="Y3065" s="75"/>
    </row>
    <row r="3066" spans="1:25" x14ac:dyDescent="0.25">
      <c r="A3066" s="75"/>
      <c r="C3066" s="81"/>
      <c r="D3066" s="81"/>
      <c r="I3066" s="81"/>
      <c r="K3066" s="82"/>
      <c r="L3066" s="123"/>
      <c r="M3066" s="3"/>
      <c r="N3066" s="3"/>
      <c r="O3066" s="3"/>
      <c r="P3066" s="125"/>
      <c r="Q3066" s="125"/>
      <c r="R3066" s="127"/>
      <c r="S3066" s="123"/>
      <c r="T3066" s="3"/>
      <c r="W3066" s="86"/>
      <c r="Y3066" s="75"/>
    </row>
    <row r="3067" spans="1:25" x14ac:dyDescent="0.25">
      <c r="A3067" s="75"/>
      <c r="C3067" s="81"/>
      <c r="D3067" s="81"/>
      <c r="I3067" s="81"/>
      <c r="K3067" s="82"/>
      <c r="L3067" s="123"/>
      <c r="M3067" s="3"/>
      <c r="N3067" s="3"/>
      <c r="O3067" s="3"/>
      <c r="P3067" s="125"/>
      <c r="Q3067" s="125"/>
      <c r="R3067" s="127"/>
      <c r="S3067" s="123"/>
      <c r="T3067" s="3"/>
      <c r="W3067" s="86"/>
      <c r="Y3067" s="75"/>
    </row>
    <row r="3068" spans="1:25" x14ac:dyDescent="0.25">
      <c r="A3068" s="75"/>
      <c r="C3068" s="81"/>
      <c r="D3068" s="81"/>
      <c r="I3068" s="81"/>
      <c r="K3068" s="82"/>
      <c r="L3068" s="123"/>
      <c r="M3068" s="3"/>
      <c r="N3068" s="3"/>
      <c r="O3068" s="3"/>
      <c r="P3068" s="125"/>
      <c r="Q3068" s="125"/>
      <c r="R3068" s="127"/>
      <c r="S3068" s="123"/>
      <c r="T3068" s="3"/>
      <c r="W3068" s="86"/>
      <c r="Y3068" s="75"/>
    </row>
    <row r="3069" spans="1:25" x14ac:dyDescent="0.25">
      <c r="A3069" s="75"/>
      <c r="C3069" s="81"/>
      <c r="D3069" s="81"/>
      <c r="I3069" s="81"/>
      <c r="K3069" s="82"/>
      <c r="L3069" s="123"/>
      <c r="M3069" s="3"/>
      <c r="N3069" s="3"/>
      <c r="O3069" s="3"/>
      <c r="P3069" s="125"/>
      <c r="Q3069" s="125"/>
      <c r="R3069" s="127"/>
      <c r="S3069" s="123"/>
      <c r="T3069" s="3"/>
      <c r="W3069" s="86"/>
      <c r="Y3069" s="75"/>
    </row>
    <row r="3070" spans="1:25" x14ac:dyDescent="0.25">
      <c r="A3070" s="75"/>
      <c r="C3070" s="81"/>
      <c r="D3070" s="81"/>
      <c r="I3070" s="81"/>
      <c r="K3070" s="82"/>
      <c r="L3070" s="123"/>
      <c r="M3070" s="3"/>
      <c r="N3070" s="3"/>
      <c r="O3070" s="3"/>
      <c r="P3070" s="125"/>
      <c r="Q3070" s="125"/>
      <c r="R3070" s="127"/>
      <c r="S3070" s="123"/>
      <c r="T3070" s="3"/>
      <c r="W3070" s="86"/>
      <c r="Y3070" s="75"/>
    </row>
    <row r="3071" spans="1:25" x14ac:dyDescent="0.25">
      <c r="A3071" s="75"/>
      <c r="C3071" s="81"/>
      <c r="D3071" s="81"/>
      <c r="I3071" s="81"/>
      <c r="K3071" s="82"/>
      <c r="L3071" s="123"/>
      <c r="M3071" s="3"/>
      <c r="N3071" s="3"/>
      <c r="O3071" s="3"/>
      <c r="P3071" s="125"/>
      <c r="Q3071" s="125"/>
      <c r="R3071" s="127"/>
      <c r="S3071" s="123"/>
      <c r="T3071" s="3"/>
      <c r="W3071" s="86"/>
      <c r="Y3071" s="75"/>
    </row>
    <row r="3072" spans="1:25" x14ac:dyDescent="0.25">
      <c r="A3072" s="75"/>
      <c r="C3072" s="81"/>
      <c r="D3072" s="81"/>
      <c r="I3072" s="81"/>
      <c r="K3072" s="82"/>
      <c r="L3072" s="123"/>
      <c r="M3072" s="3"/>
      <c r="N3072" s="3"/>
      <c r="O3072" s="3"/>
      <c r="P3072" s="125"/>
      <c r="Q3072" s="125"/>
      <c r="R3072" s="127"/>
      <c r="S3072" s="123"/>
      <c r="T3072" s="3"/>
      <c r="W3072" s="86"/>
      <c r="Y3072" s="75"/>
    </row>
    <row r="3073" spans="1:25" x14ac:dyDescent="0.25">
      <c r="A3073" s="75"/>
      <c r="C3073" s="81"/>
      <c r="D3073" s="81"/>
      <c r="I3073" s="81"/>
      <c r="K3073" s="82"/>
      <c r="L3073" s="123"/>
      <c r="M3073" s="3"/>
      <c r="N3073" s="3"/>
      <c r="O3073" s="3"/>
      <c r="P3073" s="125"/>
      <c r="Q3073" s="125"/>
      <c r="R3073" s="127"/>
      <c r="S3073" s="123"/>
      <c r="T3073" s="3"/>
      <c r="W3073" s="86"/>
      <c r="Y3073" s="75"/>
    </row>
    <row r="3074" spans="1:25" x14ac:dyDescent="0.25">
      <c r="A3074" s="75"/>
      <c r="C3074" s="81"/>
      <c r="D3074" s="81"/>
      <c r="I3074" s="81"/>
      <c r="K3074" s="82"/>
      <c r="L3074" s="123"/>
      <c r="M3074" s="3"/>
      <c r="N3074" s="3"/>
      <c r="O3074" s="3"/>
      <c r="P3074" s="125"/>
      <c r="Q3074" s="125"/>
      <c r="R3074" s="127"/>
      <c r="S3074" s="123"/>
      <c r="T3074" s="3"/>
      <c r="W3074" s="86"/>
      <c r="Y3074" s="75"/>
    </row>
    <row r="3075" spans="1:25" x14ac:dyDescent="0.25">
      <c r="A3075" s="75"/>
      <c r="C3075" s="81"/>
      <c r="D3075" s="81"/>
      <c r="I3075" s="81"/>
      <c r="K3075" s="82"/>
      <c r="L3075" s="123"/>
      <c r="M3075" s="3"/>
      <c r="N3075" s="3"/>
      <c r="O3075" s="3"/>
      <c r="P3075" s="125"/>
      <c r="Q3075" s="125"/>
      <c r="R3075" s="127"/>
      <c r="S3075" s="123"/>
      <c r="T3075" s="3"/>
      <c r="W3075" s="86"/>
      <c r="Y3075" s="75"/>
    </row>
    <row r="3076" spans="1:25" x14ac:dyDescent="0.25">
      <c r="A3076" s="75"/>
      <c r="C3076" s="81"/>
      <c r="D3076" s="81"/>
      <c r="I3076" s="81"/>
      <c r="K3076" s="82"/>
      <c r="L3076" s="123"/>
      <c r="M3076" s="3"/>
      <c r="N3076" s="3"/>
      <c r="O3076" s="3"/>
      <c r="P3076" s="125"/>
      <c r="Q3076" s="125"/>
      <c r="R3076" s="127"/>
      <c r="S3076" s="123"/>
      <c r="T3076" s="3"/>
      <c r="W3076" s="86"/>
      <c r="Y3076" s="75"/>
    </row>
    <row r="3077" spans="1:25" x14ac:dyDescent="0.25">
      <c r="A3077" s="75"/>
      <c r="C3077" s="81"/>
      <c r="D3077" s="81"/>
      <c r="I3077" s="81"/>
      <c r="K3077" s="82"/>
      <c r="L3077" s="123"/>
      <c r="M3077" s="3"/>
      <c r="N3077" s="3"/>
      <c r="O3077" s="3"/>
      <c r="P3077" s="125"/>
      <c r="Q3077" s="125"/>
      <c r="R3077" s="127"/>
      <c r="S3077" s="123"/>
      <c r="T3077" s="3"/>
      <c r="W3077" s="86"/>
      <c r="Y3077" s="75"/>
    </row>
    <row r="3078" spans="1:25" x14ac:dyDescent="0.25">
      <c r="A3078" s="75"/>
      <c r="C3078" s="81"/>
      <c r="D3078" s="81"/>
      <c r="I3078" s="81"/>
      <c r="K3078" s="82"/>
      <c r="L3078" s="123"/>
      <c r="M3078" s="3"/>
      <c r="N3078" s="3"/>
      <c r="O3078" s="3"/>
      <c r="P3078" s="125"/>
      <c r="Q3078" s="125"/>
      <c r="R3078" s="127"/>
      <c r="S3078" s="123"/>
      <c r="T3078" s="3"/>
      <c r="W3078" s="86"/>
      <c r="Y3078" s="75"/>
    </row>
    <row r="3079" spans="1:25" x14ac:dyDescent="0.25">
      <c r="A3079" s="75"/>
      <c r="C3079" s="81"/>
      <c r="D3079" s="81"/>
      <c r="I3079" s="81"/>
      <c r="K3079" s="82"/>
      <c r="L3079" s="123"/>
      <c r="M3079" s="3"/>
      <c r="N3079" s="3"/>
      <c r="O3079" s="3"/>
      <c r="P3079" s="125"/>
      <c r="Q3079" s="125"/>
      <c r="R3079" s="127"/>
      <c r="S3079" s="123"/>
      <c r="T3079" s="3"/>
      <c r="W3079" s="86"/>
      <c r="Y3079" s="75"/>
    </row>
    <row r="3080" spans="1:25" x14ac:dyDescent="0.25">
      <c r="A3080" s="75"/>
      <c r="C3080" s="81"/>
      <c r="D3080" s="81"/>
      <c r="I3080" s="81"/>
      <c r="K3080" s="82"/>
      <c r="L3080" s="123"/>
      <c r="M3080" s="3"/>
      <c r="N3080" s="3"/>
      <c r="O3080" s="3"/>
      <c r="P3080" s="125"/>
      <c r="Q3080" s="125"/>
      <c r="R3080" s="127"/>
      <c r="S3080" s="123"/>
      <c r="T3080" s="3"/>
      <c r="W3080" s="86"/>
      <c r="Y3080" s="75"/>
    </row>
    <row r="3081" spans="1:25" x14ac:dyDescent="0.25">
      <c r="A3081" s="75"/>
      <c r="C3081" s="81"/>
      <c r="D3081" s="81"/>
      <c r="I3081" s="81"/>
      <c r="K3081" s="82"/>
      <c r="L3081" s="123"/>
      <c r="M3081" s="3"/>
      <c r="N3081" s="3"/>
      <c r="O3081" s="3"/>
      <c r="P3081" s="125"/>
      <c r="Q3081" s="125"/>
      <c r="R3081" s="127"/>
      <c r="S3081" s="123"/>
      <c r="T3081" s="3"/>
      <c r="W3081" s="86"/>
      <c r="Y3081" s="75"/>
    </row>
    <row r="3082" spans="1:25" x14ac:dyDescent="0.25">
      <c r="A3082" s="75"/>
      <c r="C3082" s="81"/>
      <c r="D3082" s="81"/>
      <c r="I3082" s="81"/>
      <c r="K3082" s="82"/>
      <c r="L3082" s="123"/>
      <c r="M3082" s="3"/>
      <c r="N3082" s="3"/>
      <c r="O3082" s="3"/>
      <c r="P3082" s="125"/>
      <c r="Q3082" s="125"/>
      <c r="R3082" s="127"/>
      <c r="S3082" s="123"/>
      <c r="T3082" s="3"/>
      <c r="W3082" s="86"/>
      <c r="Y3082" s="75"/>
    </row>
    <row r="3083" spans="1:25" x14ac:dyDescent="0.25">
      <c r="A3083" s="75"/>
      <c r="C3083" s="81"/>
      <c r="D3083" s="81"/>
      <c r="I3083" s="81"/>
      <c r="K3083" s="82"/>
      <c r="L3083" s="123"/>
      <c r="M3083" s="3"/>
      <c r="N3083" s="3"/>
      <c r="O3083" s="3"/>
      <c r="P3083" s="125"/>
      <c r="Q3083" s="125"/>
      <c r="R3083" s="127"/>
      <c r="S3083" s="123"/>
      <c r="T3083" s="3"/>
      <c r="W3083" s="86"/>
      <c r="Y3083" s="75"/>
    </row>
    <row r="3084" spans="1:25" x14ac:dyDescent="0.25">
      <c r="A3084" s="75"/>
      <c r="C3084" s="81"/>
      <c r="D3084" s="81"/>
      <c r="I3084" s="81"/>
      <c r="K3084" s="82"/>
      <c r="L3084" s="123"/>
      <c r="M3084" s="3"/>
      <c r="N3084" s="3"/>
      <c r="O3084" s="3"/>
      <c r="P3084" s="125"/>
      <c r="Q3084" s="125"/>
      <c r="R3084" s="127"/>
      <c r="S3084" s="123"/>
      <c r="T3084" s="3"/>
      <c r="W3084" s="86"/>
      <c r="Y3084" s="75"/>
    </row>
    <row r="3085" spans="1:25" x14ac:dyDescent="0.25">
      <c r="A3085" s="75"/>
      <c r="C3085" s="81"/>
      <c r="D3085" s="81"/>
      <c r="I3085" s="81"/>
      <c r="K3085" s="82"/>
      <c r="L3085" s="123"/>
      <c r="M3085" s="3"/>
      <c r="N3085" s="3"/>
      <c r="O3085" s="3"/>
      <c r="P3085" s="125"/>
      <c r="Q3085" s="125"/>
      <c r="R3085" s="127"/>
      <c r="S3085" s="123"/>
      <c r="T3085" s="3"/>
      <c r="W3085" s="86"/>
      <c r="Y3085" s="75"/>
    </row>
    <row r="3086" spans="1:25" x14ac:dyDescent="0.25">
      <c r="A3086" s="75"/>
      <c r="C3086" s="81"/>
      <c r="D3086" s="81"/>
      <c r="I3086" s="81"/>
      <c r="K3086" s="82"/>
      <c r="L3086" s="123"/>
      <c r="M3086" s="3"/>
      <c r="N3086" s="3"/>
      <c r="O3086" s="3"/>
      <c r="P3086" s="125"/>
      <c r="Q3086" s="125"/>
      <c r="R3086" s="127"/>
      <c r="S3086" s="123"/>
      <c r="T3086" s="3"/>
      <c r="W3086" s="86"/>
      <c r="Y3086" s="75"/>
    </row>
    <row r="3087" spans="1:25" x14ac:dyDescent="0.25">
      <c r="A3087" s="75"/>
      <c r="C3087" s="81"/>
      <c r="D3087" s="81"/>
      <c r="I3087" s="81"/>
      <c r="K3087" s="82"/>
      <c r="L3087" s="123"/>
      <c r="M3087" s="3"/>
      <c r="N3087" s="3"/>
      <c r="O3087" s="3"/>
      <c r="P3087" s="125"/>
      <c r="Q3087" s="125"/>
      <c r="R3087" s="127"/>
      <c r="S3087" s="123"/>
      <c r="T3087" s="3"/>
      <c r="W3087" s="86"/>
      <c r="Y3087" s="75"/>
    </row>
    <row r="3088" spans="1:25" x14ac:dyDescent="0.25">
      <c r="A3088" s="75"/>
      <c r="C3088" s="81"/>
      <c r="D3088" s="81"/>
      <c r="I3088" s="81"/>
      <c r="K3088" s="82"/>
      <c r="L3088" s="123"/>
      <c r="M3088" s="3"/>
      <c r="N3088" s="3"/>
      <c r="O3088" s="3"/>
      <c r="P3088" s="125"/>
      <c r="Q3088" s="125"/>
      <c r="R3088" s="127"/>
      <c r="S3088" s="123"/>
      <c r="T3088" s="3"/>
      <c r="W3088" s="86"/>
      <c r="Y3088" s="75"/>
    </row>
    <row r="3089" spans="1:25" x14ac:dyDescent="0.25">
      <c r="A3089" s="75"/>
      <c r="C3089" s="81"/>
      <c r="D3089" s="81"/>
      <c r="I3089" s="81"/>
      <c r="K3089" s="82"/>
      <c r="L3089" s="123"/>
      <c r="M3089" s="3"/>
      <c r="N3089" s="3"/>
      <c r="O3089" s="3"/>
      <c r="P3089" s="125"/>
      <c r="Q3089" s="125"/>
      <c r="R3089" s="127"/>
      <c r="S3089" s="123"/>
      <c r="T3089" s="3"/>
      <c r="W3089" s="86"/>
      <c r="Y3089" s="75"/>
    </row>
    <row r="3090" spans="1:25" x14ac:dyDescent="0.25">
      <c r="A3090" s="75"/>
      <c r="C3090" s="81"/>
      <c r="D3090" s="81"/>
      <c r="I3090" s="81"/>
      <c r="K3090" s="82"/>
      <c r="L3090" s="123"/>
      <c r="M3090" s="3"/>
      <c r="N3090" s="3"/>
      <c r="O3090" s="3"/>
      <c r="P3090" s="125"/>
      <c r="Q3090" s="125"/>
      <c r="R3090" s="127"/>
      <c r="S3090" s="123"/>
      <c r="T3090" s="3"/>
      <c r="W3090" s="86"/>
      <c r="Y3090" s="75"/>
    </row>
    <row r="3091" spans="1:25" x14ac:dyDescent="0.25">
      <c r="A3091" s="75"/>
      <c r="C3091" s="81"/>
      <c r="D3091" s="81"/>
      <c r="I3091" s="81"/>
      <c r="K3091" s="82"/>
      <c r="L3091" s="123"/>
      <c r="M3091" s="3"/>
      <c r="N3091" s="3"/>
      <c r="O3091" s="3"/>
      <c r="P3091" s="125"/>
      <c r="Q3091" s="125"/>
      <c r="R3091" s="127"/>
      <c r="S3091" s="123"/>
      <c r="T3091" s="3"/>
      <c r="W3091" s="86"/>
      <c r="Y3091" s="75"/>
    </row>
    <row r="3092" spans="1:25" x14ac:dyDescent="0.25">
      <c r="A3092" s="75"/>
      <c r="C3092" s="81"/>
      <c r="D3092" s="81"/>
      <c r="I3092" s="81"/>
      <c r="K3092" s="82"/>
      <c r="L3092" s="123"/>
      <c r="M3092" s="3"/>
      <c r="N3092" s="3"/>
      <c r="O3092" s="3"/>
      <c r="P3092" s="125"/>
      <c r="Q3092" s="125"/>
      <c r="R3092" s="127"/>
      <c r="S3092" s="123"/>
      <c r="T3092" s="3"/>
      <c r="W3092" s="86"/>
      <c r="Y3092" s="75"/>
    </row>
    <row r="3093" spans="1:25" x14ac:dyDescent="0.25">
      <c r="A3093" s="75"/>
      <c r="C3093" s="81"/>
      <c r="D3093" s="81"/>
      <c r="I3093" s="81"/>
      <c r="K3093" s="82"/>
      <c r="L3093" s="123"/>
      <c r="M3093" s="3"/>
      <c r="N3093" s="3"/>
      <c r="O3093" s="3"/>
      <c r="P3093" s="125"/>
      <c r="Q3093" s="125"/>
      <c r="R3093" s="127"/>
      <c r="S3093" s="123"/>
      <c r="T3093" s="3"/>
      <c r="W3093" s="86"/>
      <c r="Y3093" s="75"/>
    </row>
    <row r="3094" spans="1:25" x14ac:dyDescent="0.25">
      <c r="A3094" s="75"/>
      <c r="C3094" s="81"/>
      <c r="D3094" s="81"/>
      <c r="I3094" s="81"/>
      <c r="K3094" s="82"/>
      <c r="L3094" s="123"/>
      <c r="M3094" s="3"/>
      <c r="N3094" s="3"/>
      <c r="O3094" s="3"/>
      <c r="P3094" s="125"/>
      <c r="Q3094" s="125"/>
      <c r="R3094" s="127"/>
      <c r="S3094" s="123"/>
      <c r="T3094" s="3"/>
      <c r="W3094" s="86"/>
      <c r="Y3094" s="75"/>
    </row>
    <row r="3095" spans="1:25" x14ac:dyDescent="0.25">
      <c r="A3095" s="75"/>
      <c r="C3095" s="81"/>
      <c r="D3095" s="81"/>
      <c r="I3095" s="81"/>
      <c r="K3095" s="82"/>
      <c r="L3095" s="123"/>
      <c r="M3095" s="3"/>
      <c r="N3095" s="3"/>
      <c r="O3095" s="3"/>
      <c r="P3095" s="125"/>
      <c r="Q3095" s="125"/>
      <c r="R3095" s="127"/>
      <c r="S3095" s="123"/>
      <c r="T3095" s="3"/>
      <c r="W3095" s="86"/>
      <c r="Y3095" s="75"/>
    </row>
    <row r="3096" spans="1:25" x14ac:dyDescent="0.25">
      <c r="A3096" s="75"/>
      <c r="C3096" s="81"/>
      <c r="D3096" s="81"/>
      <c r="I3096" s="81"/>
      <c r="K3096" s="82"/>
      <c r="L3096" s="123"/>
      <c r="M3096" s="3"/>
      <c r="N3096" s="3"/>
      <c r="O3096" s="3"/>
      <c r="P3096" s="125"/>
      <c r="Q3096" s="125"/>
      <c r="R3096" s="127"/>
      <c r="S3096" s="123"/>
      <c r="T3096" s="3"/>
      <c r="W3096" s="86"/>
      <c r="Y3096" s="75"/>
    </row>
    <row r="3097" spans="1:25" x14ac:dyDescent="0.25">
      <c r="A3097" s="75"/>
      <c r="C3097" s="81"/>
      <c r="D3097" s="81"/>
      <c r="I3097" s="81"/>
      <c r="K3097" s="82"/>
      <c r="L3097" s="123"/>
      <c r="M3097" s="3"/>
      <c r="N3097" s="3"/>
      <c r="O3097" s="3"/>
      <c r="P3097" s="125"/>
      <c r="Q3097" s="125"/>
      <c r="R3097" s="127"/>
      <c r="S3097" s="123"/>
      <c r="T3097" s="3"/>
      <c r="W3097" s="86"/>
      <c r="Y3097" s="75"/>
    </row>
    <row r="3098" spans="1:25" x14ac:dyDescent="0.25">
      <c r="A3098" s="75"/>
      <c r="C3098" s="81"/>
      <c r="D3098" s="81"/>
      <c r="I3098" s="81"/>
      <c r="K3098" s="82"/>
      <c r="L3098" s="123"/>
      <c r="M3098" s="3"/>
      <c r="N3098" s="3"/>
      <c r="O3098" s="3"/>
      <c r="P3098" s="125"/>
      <c r="Q3098" s="125"/>
      <c r="R3098" s="127"/>
      <c r="S3098" s="123"/>
      <c r="T3098" s="3"/>
      <c r="W3098" s="86"/>
      <c r="Y3098" s="75"/>
    </row>
    <row r="3099" spans="1:25" x14ac:dyDescent="0.25">
      <c r="A3099" s="75"/>
      <c r="C3099" s="81"/>
      <c r="D3099" s="81"/>
      <c r="I3099" s="81"/>
      <c r="K3099" s="82"/>
      <c r="L3099" s="123"/>
      <c r="M3099" s="3"/>
      <c r="N3099" s="3"/>
      <c r="O3099" s="3"/>
      <c r="P3099" s="125"/>
      <c r="Q3099" s="125"/>
      <c r="R3099" s="127"/>
      <c r="S3099" s="123"/>
      <c r="T3099" s="3"/>
      <c r="W3099" s="86"/>
      <c r="Y3099" s="75"/>
    </row>
    <row r="3100" spans="1:25" x14ac:dyDescent="0.25">
      <c r="A3100" s="75"/>
      <c r="C3100" s="81"/>
      <c r="D3100" s="81"/>
      <c r="I3100" s="81"/>
      <c r="K3100" s="82"/>
      <c r="L3100" s="123"/>
      <c r="M3100" s="3"/>
      <c r="N3100" s="3"/>
      <c r="O3100" s="3"/>
      <c r="P3100" s="125"/>
      <c r="Q3100" s="125"/>
      <c r="R3100" s="127"/>
      <c r="S3100" s="123"/>
      <c r="T3100" s="3"/>
      <c r="W3100" s="86"/>
      <c r="Y3100" s="75"/>
    </row>
    <row r="3101" spans="1:25" x14ac:dyDescent="0.25">
      <c r="A3101" s="75"/>
      <c r="C3101" s="81"/>
      <c r="D3101" s="81"/>
      <c r="I3101" s="81"/>
      <c r="K3101" s="82"/>
      <c r="L3101" s="123"/>
      <c r="M3101" s="3"/>
      <c r="N3101" s="3"/>
      <c r="O3101" s="3"/>
      <c r="P3101" s="125"/>
      <c r="Q3101" s="125"/>
      <c r="R3101" s="127"/>
      <c r="S3101" s="123"/>
      <c r="T3101" s="3"/>
      <c r="W3101" s="86"/>
      <c r="Y3101" s="75"/>
    </row>
    <row r="3102" spans="1:25" x14ac:dyDescent="0.25">
      <c r="A3102" s="75"/>
      <c r="C3102" s="81"/>
      <c r="D3102" s="81"/>
      <c r="I3102" s="81"/>
      <c r="K3102" s="82"/>
      <c r="L3102" s="123"/>
      <c r="M3102" s="3"/>
      <c r="N3102" s="3"/>
      <c r="O3102" s="3"/>
      <c r="P3102" s="125"/>
      <c r="Q3102" s="125"/>
      <c r="R3102" s="127"/>
      <c r="S3102" s="123"/>
      <c r="T3102" s="3"/>
      <c r="W3102" s="86"/>
      <c r="Y3102" s="75"/>
    </row>
    <row r="3103" spans="1:25" x14ac:dyDescent="0.25">
      <c r="A3103" s="75"/>
      <c r="C3103" s="81"/>
      <c r="D3103" s="81"/>
      <c r="I3103" s="81"/>
      <c r="K3103" s="82"/>
      <c r="L3103" s="123"/>
      <c r="M3103" s="3"/>
      <c r="N3103" s="3"/>
      <c r="O3103" s="3"/>
      <c r="P3103" s="125"/>
      <c r="Q3103" s="125"/>
      <c r="R3103" s="127"/>
      <c r="S3103" s="123"/>
      <c r="T3103" s="3"/>
      <c r="W3103" s="86"/>
      <c r="Y3103" s="75"/>
    </row>
    <row r="3104" spans="1:25" x14ac:dyDescent="0.25">
      <c r="A3104" s="75"/>
      <c r="C3104" s="81"/>
      <c r="D3104" s="81"/>
      <c r="I3104" s="81"/>
      <c r="K3104" s="82"/>
      <c r="L3104" s="123"/>
      <c r="M3104" s="3"/>
      <c r="N3104" s="3"/>
      <c r="O3104" s="3"/>
      <c r="P3104" s="125"/>
      <c r="Q3104" s="125"/>
      <c r="R3104" s="127"/>
      <c r="S3104" s="123"/>
      <c r="T3104" s="3"/>
      <c r="W3104" s="86"/>
      <c r="Y3104" s="75"/>
    </row>
    <row r="3105" spans="1:25" x14ac:dyDescent="0.25">
      <c r="A3105" s="75"/>
      <c r="C3105" s="81"/>
      <c r="D3105" s="81"/>
      <c r="I3105" s="81"/>
      <c r="K3105" s="82"/>
      <c r="L3105" s="123"/>
      <c r="M3105" s="3"/>
      <c r="N3105" s="3"/>
      <c r="O3105" s="3"/>
      <c r="P3105" s="125"/>
      <c r="Q3105" s="125"/>
      <c r="R3105" s="127"/>
      <c r="S3105" s="123"/>
      <c r="T3105" s="3"/>
      <c r="W3105" s="86"/>
      <c r="Y3105" s="75"/>
    </row>
    <row r="3106" spans="1:25" x14ac:dyDescent="0.25">
      <c r="A3106" s="75"/>
      <c r="C3106" s="81"/>
      <c r="D3106" s="81"/>
      <c r="I3106" s="81"/>
      <c r="K3106" s="82"/>
      <c r="L3106" s="123"/>
      <c r="M3106" s="3"/>
      <c r="N3106" s="3"/>
      <c r="O3106" s="3"/>
      <c r="P3106" s="125"/>
      <c r="Q3106" s="125"/>
      <c r="R3106" s="127"/>
      <c r="S3106" s="123"/>
      <c r="T3106" s="3"/>
      <c r="W3106" s="86"/>
      <c r="Y3106" s="75"/>
    </row>
    <row r="3107" spans="1:25" x14ac:dyDescent="0.25">
      <c r="A3107" s="75"/>
      <c r="C3107" s="81"/>
      <c r="D3107" s="81"/>
      <c r="I3107" s="81"/>
      <c r="K3107" s="82"/>
      <c r="L3107" s="123"/>
      <c r="M3107" s="3"/>
      <c r="N3107" s="3"/>
      <c r="O3107" s="3"/>
      <c r="P3107" s="125"/>
      <c r="Q3107" s="125"/>
      <c r="R3107" s="127"/>
      <c r="S3107" s="123"/>
      <c r="T3107" s="3"/>
      <c r="W3107" s="86"/>
      <c r="Y3107" s="75"/>
    </row>
    <row r="3108" spans="1:25" x14ac:dyDescent="0.25">
      <c r="A3108" s="75"/>
      <c r="C3108" s="81"/>
      <c r="D3108" s="81"/>
      <c r="I3108" s="81"/>
      <c r="K3108" s="82"/>
      <c r="L3108" s="123"/>
      <c r="M3108" s="3"/>
      <c r="N3108" s="3"/>
      <c r="O3108" s="3"/>
      <c r="P3108" s="125"/>
      <c r="Q3108" s="125"/>
      <c r="R3108" s="127"/>
      <c r="S3108" s="123"/>
      <c r="T3108" s="3"/>
      <c r="W3108" s="86"/>
      <c r="Y3108" s="75"/>
    </row>
    <row r="3109" spans="1:25" x14ac:dyDescent="0.25">
      <c r="A3109" s="75"/>
      <c r="C3109" s="81"/>
      <c r="D3109" s="81"/>
      <c r="I3109" s="81"/>
      <c r="K3109" s="82"/>
      <c r="L3109" s="123"/>
      <c r="M3109" s="3"/>
      <c r="N3109" s="3"/>
      <c r="O3109" s="3"/>
      <c r="P3109" s="125"/>
      <c r="Q3109" s="125"/>
      <c r="R3109" s="127"/>
      <c r="S3109" s="123"/>
      <c r="T3109" s="3"/>
      <c r="W3109" s="86"/>
      <c r="Y3109" s="75"/>
    </row>
    <row r="3110" spans="1:25" x14ac:dyDescent="0.25">
      <c r="A3110" s="75"/>
      <c r="C3110" s="81"/>
      <c r="D3110" s="81"/>
      <c r="I3110" s="81"/>
      <c r="K3110" s="82"/>
      <c r="L3110" s="123"/>
      <c r="M3110" s="3"/>
      <c r="N3110" s="3"/>
      <c r="O3110" s="3"/>
      <c r="P3110" s="125"/>
      <c r="Q3110" s="125"/>
      <c r="R3110" s="127"/>
      <c r="S3110" s="123"/>
      <c r="T3110" s="3"/>
      <c r="W3110" s="86"/>
      <c r="Y3110" s="75"/>
    </row>
    <row r="3111" spans="1:25" x14ac:dyDescent="0.25">
      <c r="A3111" s="75"/>
      <c r="C3111" s="81"/>
      <c r="D3111" s="81"/>
      <c r="I3111" s="81"/>
      <c r="K3111" s="82"/>
      <c r="L3111" s="123"/>
      <c r="M3111" s="3"/>
      <c r="N3111" s="3"/>
      <c r="O3111" s="3"/>
      <c r="P3111" s="125"/>
      <c r="Q3111" s="125"/>
      <c r="R3111" s="127"/>
      <c r="S3111" s="123"/>
      <c r="T3111" s="3"/>
      <c r="W3111" s="86"/>
      <c r="Y3111" s="75"/>
    </row>
    <row r="3112" spans="1:25" x14ac:dyDescent="0.25">
      <c r="A3112" s="75"/>
      <c r="C3112" s="81"/>
      <c r="D3112" s="81"/>
      <c r="I3112" s="81"/>
      <c r="K3112" s="82"/>
      <c r="L3112" s="123"/>
      <c r="M3112" s="3"/>
      <c r="N3112" s="3"/>
      <c r="O3112" s="3"/>
      <c r="P3112" s="125"/>
      <c r="Q3112" s="125"/>
      <c r="R3112" s="127"/>
      <c r="S3112" s="123"/>
      <c r="T3112" s="3"/>
      <c r="W3112" s="86"/>
      <c r="Y3112" s="75"/>
    </row>
    <row r="3113" spans="1:25" x14ac:dyDescent="0.25">
      <c r="A3113" s="75"/>
      <c r="C3113" s="81"/>
      <c r="D3113" s="81"/>
      <c r="I3113" s="81"/>
      <c r="K3113" s="82"/>
      <c r="L3113" s="123"/>
      <c r="M3113" s="3"/>
      <c r="N3113" s="3"/>
      <c r="O3113" s="3"/>
      <c r="P3113" s="125"/>
      <c r="Q3113" s="125"/>
      <c r="R3113" s="127"/>
      <c r="S3113" s="123"/>
      <c r="T3113" s="3"/>
      <c r="W3113" s="86"/>
      <c r="Y3113" s="75"/>
    </row>
    <row r="3114" spans="1:25" x14ac:dyDescent="0.25">
      <c r="A3114" s="75"/>
      <c r="C3114" s="81"/>
      <c r="D3114" s="81"/>
      <c r="I3114" s="81"/>
      <c r="K3114" s="82"/>
      <c r="L3114" s="123"/>
      <c r="M3114" s="3"/>
      <c r="N3114" s="3"/>
      <c r="O3114" s="3"/>
      <c r="P3114" s="125"/>
      <c r="Q3114" s="125"/>
      <c r="R3114" s="127"/>
      <c r="S3114" s="123"/>
      <c r="T3114" s="3"/>
      <c r="W3114" s="86"/>
      <c r="Y3114" s="75"/>
    </row>
    <row r="3115" spans="1:25" x14ac:dyDescent="0.25">
      <c r="A3115" s="75"/>
      <c r="C3115" s="81"/>
      <c r="D3115" s="81"/>
      <c r="I3115" s="81"/>
      <c r="K3115" s="82"/>
      <c r="L3115" s="123"/>
      <c r="M3115" s="3"/>
      <c r="N3115" s="3"/>
      <c r="O3115" s="3"/>
      <c r="P3115" s="125"/>
      <c r="Q3115" s="125"/>
      <c r="R3115" s="127"/>
      <c r="S3115" s="123"/>
      <c r="T3115" s="3"/>
      <c r="W3115" s="86"/>
      <c r="Y3115" s="75"/>
    </row>
    <row r="3116" spans="1:25" x14ac:dyDescent="0.25">
      <c r="A3116" s="75"/>
      <c r="C3116" s="81"/>
      <c r="D3116" s="81"/>
      <c r="I3116" s="81"/>
      <c r="K3116" s="82"/>
      <c r="L3116" s="123"/>
      <c r="M3116" s="3"/>
      <c r="N3116" s="3"/>
      <c r="O3116" s="3"/>
      <c r="P3116" s="125"/>
      <c r="Q3116" s="125"/>
      <c r="R3116" s="127"/>
      <c r="S3116" s="123"/>
      <c r="T3116" s="3"/>
      <c r="W3116" s="86"/>
      <c r="Y3116" s="75"/>
    </row>
    <row r="3117" spans="1:25" x14ac:dyDescent="0.25">
      <c r="A3117" s="75"/>
      <c r="C3117" s="81"/>
      <c r="D3117" s="81"/>
      <c r="I3117" s="81"/>
      <c r="K3117" s="82"/>
      <c r="L3117" s="123"/>
      <c r="M3117" s="3"/>
      <c r="N3117" s="3"/>
      <c r="O3117" s="3"/>
      <c r="P3117" s="125"/>
      <c r="Q3117" s="125"/>
      <c r="R3117" s="127"/>
      <c r="S3117" s="123"/>
      <c r="T3117" s="3"/>
      <c r="W3117" s="86"/>
      <c r="Y3117" s="75"/>
    </row>
    <row r="3118" spans="1:25" x14ac:dyDescent="0.25">
      <c r="A3118" s="75"/>
      <c r="C3118" s="81"/>
      <c r="D3118" s="81"/>
      <c r="I3118" s="81"/>
      <c r="K3118" s="82"/>
      <c r="L3118" s="123"/>
      <c r="M3118" s="3"/>
      <c r="N3118" s="3"/>
      <c r="O3118" s="3"/>
      <c r="P3118" s="125"/>
      <c r="Q3118" s="125"/>
      <c r="R3118" s="127"/>
      <c r="S3118" s="123"/>
      <c r="T3118" s="3"/>
      <c r="W3118" s="86"/>
      <c r="Y3118" s="75"/>
    </row>
    <row r="3119" spans="1:25" x14ac:dyDescent="0.25">
      <c r="A3119" s="75"/>
      <c r="C3119" s="81"/>
      <c r="D3119" s="81"/>
      <c r="I3119" s="81"/>
      <c r="K3119" s="82"/>
      <c r="L3119" s="123"/>
      <c r="M3119" s="3"/>
      <c r="N3119" s="3"/>
      <c r="O3119" s="3"/>
      <c r="P3119" s="125"/>
      <c r="Q3119" s="125"/>
      <c r="R3119" s="127"/>
      <c r="S3119" s="123"/>
      <c r="T3119" s="3"/>
      <c r="W3119" s="86"/>
      <c r="Y3119" s="75"/>
    </row>
    <row r="3120" spans="1:25" x14ac:dyDescent="0.25">
      <c r="A3120" s="75"/>
      <c r="C3120" s="81"/>
      <c r="D3120" s="81"/>
      <c r="I3120" s="81"/>
      <c r="K3120" s="82"/>
      <c r="L3120" s="123"/>
      <c r="M3120" s="3"/>
      <c r="N3120" s="3"/>
      <c r="O3120" s="3"/>
      <c r="P3120" s="125"/>
      <c r="Q3120" s="125"/>
      <c r="R3120" s="127"/>
      <c r="S3120" s="123"/>
      <c r="T3120" s="3"/>
      <c r="W3120" s="86"/>
      <c r="Y3120" s="75"/>
    </row>
    <row r="3121" spans="1:25" x14ac:dyDescent="0.25">
      <c r="A3121" s="75"/>
      <c r="C3121" s="81"/>
      <c r="D3121" s="81"/>
      <c r="I3121" s="81"/>
      <c r="K3121" s="82"/>
      <c r="L3121" s="123"/>
      <c r="M3121" s="3"/>
      <c r="N3121" s="3"/>
      <c r="O3121" s="3"/>
      <c r="P3121" s="125"/>
      <c r="Q3121" s="125"/>
      <c r="R3121" s="127"/>
      <c r="S3121" s="123"/>
      <c r="T3121" s="3"/>
      <c r="W3121" s="86"/>
      <c r="Y3121" s="75"/>
    </row>
    <row r="3122" spans="1:25" x14ac:dyDescent="0.25">
      <c r="A3122" s="75"/>
      <c r="C3122" s="81"/>
      <c r="D3122" s="81"/>
      <c r="I3122" s="81"/>
      <c r="K3122" s="82"/>
      <c r="L3122" s="123"/>
      <c r="M3122" s="3"/>
      <c r="N3122" s="3"/>
      <c r="O3122" s="3"/>
      <c r="P3122" s="125"/>
      <c r="Q3122" s="125"/>
      <c r="R3122" s="127"/>
      <c r="S3122" s="123"/>
      <c r="T3122" s="3"/>
      <c r="W3122" s="86"/>
      <c r="Y3122" s="75"/>
    </row>
    <row r="3123" spans="1:25" x14ac:dyDescent="0.25">
      <c r="A3123" s="75"/>
      <c r="C3123" s="81"/>
      <c r="D3123" s="81"/>
      <c r="I3123" s="81"/>
      <c r="K3123" s="82"/>
      <c r="L3123" s="123"/>
      <c r="M3123" s="3"/>
      <c r="N3123" s="3"/>
      <c r="O3123" s="3"/>
      <c r="P3123" s="125"/>
      <c r="Q3123" s="125"/>
      <c r="R3123" s="127"/>
      <c r="S3123" s="123"/>
      <c r="T3123" s="3"/>
      <c r="W3123" s="86"/>
      <c r="Y3123" s="75"/>
    </row>
    <row r="3124" spans="1:25" x14ac:dyDescent="0.25">
      <c r="A3124" s="75"/>
      <c r="C3124" s="81"/>
      <c r="D3124" s="81"/>
      <c r="I3124" s="81"/>
      <c r="K3124" s="82"/>
      <c r="L3124" s="123"/>
      <c r="M3124" s="3"/>
      <c r="N3124" s="3"/>
      <c r="O3124" s="3"/>
      <c r="P3124" s="125"/>
      <c r="Q3124" s="125"/>
      <c r="R3124" s="127"/>
      <c r="S3124" s="123"/>
      <c r="T3124" s="3"/>
      <c r="W3124" s="86"/>
      <c r="Y3124" s="75"/>
    </row>
    <row r="3125" spans="1:25" x14ac:dyDescent="0.25">
      <c r="A3125" s="75"/>
      <c r="C3125" s="81"/>
      <c r="D3125" s="81"/>
      <c r="I3125" s="81"/>
      <c r="K3125" s="82"/>
      <c r="L3125" s="123"/>
      <c r="M3125" s="3"/>
      <c r="N3125" s="3"/>
      <c r="O3125" s="3"/>
      <c r="P3125" s="125"/>
      <c r="Q3125" s="125"/>
      <c r="R3125" s="127"/>
      <c r="S3125" s="123"/>
      <c r="T3125" s="3"/>
      <c r="W3125" s="86"/>
      <c r="Y3125" s="75"/>
    </row>
    <row r="3126" spans="1:25" x14ac:dyDescent="0.25">
      <c r="A3126" s="75"/>
      <c r="C3126" s="81"/>
      <c r="D3126" s="81"/>
      <c r="I3126" s="81"/>
      <c r="K3126" s="82"/>
      <c r="L3126" s="123"/>
      <c r="M3126" s="3"/>
      <c r="N3126" s="3"/>
      <c r="O3126" s="3"/>
      <c r="P3126" s="125"/>
      <c r="Q3126" s="125"/>
      <c r="R3126" s="127"/>
      <c r="S3126" s="123"/>
      <c r="T3126" s="3"/>
      <c r="W3126" s="86"/>
      <c r="Y3126" s="75"/>
    </row>
    <row r="3127" spans="1:25" x14ac:dyDescent="0.25">
      <c r="A3127" s="75"/>
      <c r="C3127" s="81"/>
      <c r="D3127" s="81"/>
      <c r="I3127" s="81"/>
      <c r="K3127" s="82"/>
      <c r="L3127" s="123"/>
      <c r="M3127" s="3"/>
      <c r="N3127" s="3"/>
      <c r="O3127" s="3"/>
      <c r="P3127" s="125"/>
      <c r="Q3127" s="125"/>
      <c r="R3127" s="127"/>
      <c r="S3127" s="123"/>
      <c r="T3127" s="3"/>
      <c r="W3127" s="86"/>
      <c r="Y3127" s="75"/>
    </row>
    <row r="3128" spans="1:25" x14ac:dyDescent="0.25">
      <c r="A3128" s="75"/>
      <c r="C3128" s="81"/>
      <c r="D3128" s="81"/>
      <c r="I3128" s="81"/>
      <c r="K3128" s="82"/>
      <c r="L3128" s="123"/>
      <c r="M3128" s="3"/>
      <c r="N3128" s="3"/>
      <c r="O3128" s="3"/>
      <c r="P3128" s="125"/>
      <c r="Q3128" s="125"/>
      <c r="R3128" s="127"/>
      <c r="S3128" s="123"/>
      <c r="T3128" s="3"/>
      <c r="W3128" s="86"/>
      <c r="Y3128" s="75"/>
    </row>
    <row r="3129" spans="1:25" x14ac:dyDescent="0.25">
      <c r="A3129" s="75"/>
      <c r="C3129" s="81"/>
      <c r="D3129" s="81"/>
      <c r="I3129" s="81"/>
      <c r="K3129" s="82"/>
      <c r="L3129" s="123"/>
      <c r="M3129" s="3"/>
      <c r="N3129" s="3"/>
      <c r="O3129" s="3"/>
      <c r="P3129" s="125"/>
      <c r="Q3129" s="125"/>
      <c r="R3129" s="127"/>
      <c r="S3129" s="123"/>
      <c r="T3129" s="3"/>
      <c r="W3129" s="86"/>
      <c r="Y3129" s="75"/>
    </row>
    <row r="3130" spans="1:25" x14ac:dyDescent="0.25">
      <c r="A3130" s="75"/>
      <c r="C3130" s="81"/>
      <c r="D3130" s="81"/>
      <c r="I3130" s="81"/>
      <c r="K3130" s="82"/>
      <c r="L3130" s="123"/>
      <c r="M3130" s="3"/>
      <c r="N3130" s="3"/>
      <c r="O3130" s="3"/>
      <c r="P3130" s="125"/>
      <c r="Q3130" s="125"/>
      <c r="R3130" s="127"/>
      <c r="S3130" s="123"/>
      <c r="T3130" s="3"/>
      <c r="W3130" s="86"/>
      <c r="Y3130" s="75"/>
    </row>
    <row r="3131" spans="1:25" x14ac:dyDescent="0.25">
      <c r="A3131" s="75"/>
      <c r="C3131" s="81"/>
      <c r="D3131" s="81"/>
      <c r="I3131" s="81"/>
      <c r="K3131" s="82"/>
      <c r="L3131" s="123"/>
      <c r="M3131" s="3"/>
      <c r="N3131" s="3"/>
      <c r="O3131" s="3"/>
      <c r="P3131" s="125"/>
      <c r="Q3131" s="125"/>
      <c r="R3131" s="127"/>
      <c r="S3131" s="123"/>
      <c r="T3131" s="3"/>
      <c r="W3131" s="86"/>
      <c r="Y3131" s="75"/>
    </row>
    <row r="3132" spans="1:25" x14ac:dyDescent="0.25">
      <c r="A3132" s="75"/>
      <c r="C3132" s="81"/>
      <c r="D3132" s="81"/>
      <c r="I3132" s="81"/>
      <c r="K3132" s="82"/>
      <c r="L3132" s="123"/>
      <c r="M3132" s="3"/>
      <c r="N3132" s="3"/>
      <c r="O3132" s="3"/>
      <c r="P3132" s="125"/>
      <c r="Q3132" s="125"/>
      <c r="R3132" s="127"/>
      <c r="S3132" s="123"/>
      <c r="T3132" s="3"/>
      <c r="W3132" s="86"/>
      <c r="Y3132" s="75"/>
    </row>
    <row r="3133" spans="1:25" x14ac:dyDescent="0.25">
      <c r="A3133" s="75"/>
      <c r="C3133" s="81"/>
      <c r="D3133" s="81"/>
      <c r="I3133" s="81"/>
      <c r="K3133" s="82"/>
      <c r="L3133" s="123"/>
      <c r="M3133" s="3"/>
      <c r="N3133" s="3"/>
      <c r="O3133" s="3"/>
      <c r="P3133" s="125"/>
      <c r="Q3133" s="125"/>
      <c r="R3133" s="127"/>
      <c r="S3133" s="123"/>
      <c r="T3133" s="3"/>
      <c r="W3133" s="86"/>
      <c r="Y3133" s="75"/>
    </row>
    <row r="3134" spans="1:25" x14ac:dyDescent="0.25">
      <c r="A3134" s="75"/>
      <c r="C3134" s="81"/>
      <c r="D3134" s="81"/>
      <c r="I3134" s="81"/>
      <c r="K3134" s="82"/>
      <c r="L3134" s="123"/>
      <c r="M3134" s="3"/>
      <c r="N3134" s="3"/>
      <c r="O3134" s="3"/>
      <c r="P3134" s="125"/>
      <c r="Q3134" s="125"/>
      <c r="R3134" s="127"/>
      <c r="S3134" s="123"/>
      <c r="T3134" s="3"/>
      <c r="W3134" s="86"/>
      <c r="Y3134" s="75"/>
    </row>
    <row r="3135" spans="1:25" x14ac:dyDescent="0.25">
      <c r="A3135" s="75"/>
      <c r="C3135" s="81"/>
      <c r="D3135" s="81"/>
      <c r="I3135" s="81"/>
      <c r="K3135" s="82"/>
      <c r="L3135" s="123"/>
      <c r="M3135" s="3"/>
      <c r="N3135" s="3"/>
      <c r="O3135" s="3"/>
      <c r="P3135" s="125"/>
      <c r="Q3135" s="125"/>
      <c r="R3135" s="127"/>
      <c r="S3135" s="123"/>
      <c r="T3135" s="3"/>
      <c r="W3135" s="86"/>
      <c r="Y3135" s="75"/>
    </row>
    <row r="3136" spans="1:25" x14ac:dyDescent="0.25">
      <c r="A3136" s="75"/>
      <c r="C3136" s="81"/>
      <c r="D3136" s="81"/>
      <c r="I3136" s="81"/>
      <c r="K3136" s="82"/>
      <c r="L3136" s="123"/>
      <c r="M3136" s="3"/>
      <c r="N3136" s="3"/>
      <c r="O3136" s="3"/>
      <c r="P3136" s="125"/>
      <c r="Q3136" s="125"/>
      <c r="R3136" s="127"/>
      <c r="S3136" s="123"/>
      <c r="T3136" s="3"/>
      <c r="W3136" s="86"/>
      <c r="Y3136" s="75"/>
    </row>
    <row r="3137" spans="1:25" x14ac:dyDescent="0.25">
      <c r="A3137" s="75"/>
      <c r="C3137" s="81"/>
      <c r="D3137" s="81"/>
      <c r="I3137" s="81"/>
      <c r="K3137" s="82"/>
      <c r="L3137" s="123"/>
      <c r="M3137" s="3"/>
      <c r="N3137" s="3"/>
      <c r="O3137" s="3"/>
      <c r="P3137" s="125"/>
      <c r="Q3137" s="125"/>
      <c r="R3137" s="127"/>
      <c r="S3137" s="123"/>
      <c r="T3137" s="3"/>
      <c r="W3137" s="86"/>
      <c r="Y3137" s="75"/>
    </row>
    <row r="3138" spans="1:25" x14ac:dyDescent="0.25">
      <c r="A3138" s="75"/>
      <c r="C3138" s="81"/>
      <c r="D3138" s="81"/>
      <c r="I3138" s="81"/>
      <c r="K3138" s="82"/>
      <c r="L3138" s="123"/>
      <c r="M3138" s="3"/>
      <c r="N3138" s="3"/>
      <c r="O3138" s="3"/>
      <c r="P3138" s="125"/>
      <c r="Q3138" s="125"/>
      <c r="R3138" s="127"/>
      <c r="S3138" s="123"/>
      <c r="T3138" s="3"/>
      <c r="W3138" s="86"/>
      <c r="Y3138" s="75"/>
    </row>
    <row r="3139" spans="1:25" x14ac:dyDescent="0.25">
      <c r="A3139" s="75"/>
      <c r="C3139" s="81"/>
      <c r="D3139" s="81"/>
      <c r="I3139" s="81"/>
      <c r="K3139" s="82"/>
      <c r="L3139" s="123"/>
      <c r="M3139" s="3"/>
      <c r="N3139" s="3"/>
      <c r="O3139" s="3"/>
      <c r="P3139" s="125"/>
      <c r="Q3139" s="125"/>
      <c r="R3139" s="127"/>
      <c r="S3139" s="123"/>
      <c r="T3139" s="3"/>
      <c r="W3139" s="86"/>
      <c r="Y3139" s="75"/>
    </row>
    <row r="3140" spans="1:25" x14ac:dyDescent="0.25">
      <c r="A3140" s="75"/>
      <c r="C3140" s="81"/>
      <c r="D3140" s="81"/>
      <c r="I3140" s="81"/>
      <c r="K3140" s="82"/>
      <c r="L3140" s="123"/>
      <c r="M3140" s="3"/>
      <c r="N3140" s="3"/>
      <c r="O3140" s="3"/>
      <c r="P3140" s="125"/>
      <c r="Q3140" s="125"/>
      <c r="R3140" s="127"/>
      <c r="S3140" s="123"/>
      <c r="T3140" s="3"/>
      <c r="W3140" s="86"/>
      <c r="Y3140" s="75"/>
    </row>
    <row r="3141" spans="1:25" x14ac:dyDescent="0.25">
      <c r="A3141" s="75"/>
      <c r="C3141" s="81"/>
      <c r="D3141" s="81"/>
      <c r="I3141" s="81"/>
      <c r="K3141" s="82"/>
      <c r="L3141" s="123"/>
      <c r="M3141" s="3"/>
      <c r="N3141" s="3"/>
      <c r="O3141" s="3"/>
      <c r="P3141" s="125"/>
      <c r="Q3141" s="125"/>
      <c r="R3141" s="127"/>
      <c r="S3141" s="123"/>
      <c r="T3141" s="3"/>
      <c r="W3141" s="86"/>
      <c r="Y3141" s="75"/>
    </row>
    <row r="3142" spans="1:25" x14ac:dyDescent="0.25">
      <c r="A3142" s="75"/>
      <c r="C3142" s="81"/>
      <c r="D3142" s="81"/>
      <c r="I3142" s="81"/>
      <c r="K3142" s="82"/>
      <c r="L3142" s="123"/>
      <c r="M3142" s="3"/>
      <c r="N3142" s="3"/>
      <c r="O3142" s="3"/>
      <c r="P3142" s="125"/>
      <c r="Q3142" s="125"/>
      <c r="R3142" s="127"/>
      <c r="S3142" s="123"/>
      <c r="T3142" s="3"/>
      <c r="W3142" s="86"/>
      <c r="Y3142" s="75"/>
    </row>
    <row r="3143" spans="1:25" x14ac:dyDescent="0.25">
      <c r="A3143" s="75"/>
      <c r="C3143" s="81"/>
      <c r="D3143" s="81"/>
      <c r="I3143" s="81"/>
      <c r="K3143" s="82"/>
      <c r="L3143" s="123"/>
      <c r="M3143" s="3"/>
      <c r="N3143" s="3"/>
      <c r="O3143" s="3"/>
      <c r="P3143" s="125"/>
      <c r="Q3143" s="125"/>
      <c r="R3143" s="127"/>
      <c r="S3143" s="123"/>
      <c r="T3143" s="3"/>
      <c r="W3143" s="86"/>
      <c r="Y3143" s="75"/>
    </row>
    <row r="3144" spans="1:25" x14ac:dyDescent="0.25">
      <c r="A3144" s="75"/>
      <c r="C3144" s="81"/>
      <c r="D3144" s="81"/>
      <c r="I3144" s="81"/>
      <c r="K3144" s="82"/>
      <c r="L3144" s="123"/>
      <c r="M3144" s="3"/>
      <c r="N3144" s="3"/>
      <c r="O3144" s="3"/>
      <c r="P3144" s="125"/>
      <c r="Q3144" s="125"/>
      <c r="R3144" s="127"/>
      <c r="S3144" s="123"/>
      <c r="T3144" s="3"/>
      <c r="W3144" s="86"/>
      <c r="Y3144" s="75"/>
    </row>
    <row r="3145" spans="1:25" x14ac:dyDescent="0.25">
      <c r="A3145" s="75"/>
      <c r="C3145" s="81"/>
      <c r="D3145" s="81"/>
      <c r="I3145" s="81"/>
      <c r="K3145" s="82"/>
      <c r="L3145" s="123"/>
      <c r="M3145" s="3"/>
      <c r="N3145" s="3"/>
      <c r="O3145" s="3"/>
      <c r="P3145" s="125"/>
      <c r="Q3145" s="125"/>
      <c r="R3145" s="127"/>
      <c r="S3145" s="123"/>
      <c r="T3145" s="3"/>
      <c r="W3145" s="86"/>
      <c r="Y3145" s="75"/>
    </row>
    <row r="3146" spans="1:25" x14ac:dyDescent="0.25">
      <c r="A3146" s="75"/>
      <c r="C3146" s="81"/>
      <c r="D3146" s="81"/>
      <c r="I3146" s="81"/>
      <c r="K3146" s="82"/>
      <c r="L3146" s="123"/>
      <c r="M3146" s="3"/>
      <c r="N3146" s="3"/>
      <c r="O3146" s="3"/>
      <c r="P3146" s="125"/>
      <c r="Q3146" s="125"/>
      <c r="R3146" s="127"/>
      <c r="S3146" s="123"/>
      <c r="T3146" s="3"/>
      <c r="W3146" s="86"/>
      <c r="Y3146" s="75"/>
    </row>
    <row r="3147" spans="1:25" x14ac:dyDescent="0.25">
      <c r="A3147" s="75"/>
      <c r="C3147" s="81"/>
      <c r="D3147" s="81"/>
      <c r="I3147" s="81"/>
      <c r="K3147" s="82"/>
      <c r="L3147" s="123"/>
      <c r="M3147" s="3"/>
      <c r="N3147" s="3"/>
      <c r="O3147" s="3"/>
      <c r="P3147" s="125"/>
      <c r="Q3147" s="125"/>
      <c r="R3147" s="127"/>
      <c r="S3147" s="123"/>
      <c r="T3147" s="3"/>
      <c r="W3147" s="86"/>
      <c r="Y3147" s="75"/>
    </row>
    <row r="3148" spans="1:25" x14ac:dyDescent="0.25">
      <c r="A3148" s="75"/>
      <c r="C3148" s="81"/>
      <c r="D3148" s="81"/>
      <c r="I3148" s="81"/>
      <c r="K3148" s="82"/>
      <c r="L3148" s="123"/>
      <c r="M3148" s="3"/>
      <c r="N3148" s="3"/>
      <c r="O3148" s="3"/>
      <c r="P3148" s="125"/>
      <c r="Q3148" s="125"/>
      <c r="R3148" s="127"/>
      <c r="S3148" s="123"/>
      <c r="T3148" s="3"/>
      <c r="W3148" s="86"/>
      <c r="Y3148" s="75"/>
    </row>
    <row r="3149" spans="1:25" x14ac:dyDescent="0.25">
      <c r="A3149" s="75"/>
      <c r="C3149" s="81"/>
      <c r="D3149" s="81"/>
      <c r="I3149" s="81"/>
      <c r="K3149" s="82"/>
      <c r="L3149" s="123"/>
      <c r="M3149" s="3"/>
      <c r="N3149" s="3"/>
      <c r="O3149" s="3"/>
      <c r="P3149" s="125"/>
      <c r="Q3149" s="125"/>
      <c r="R3149" s="127"/>
      <c r="S3149" s="123"/>
      <c r="T3149" s="3"/>
      <c r="W3149" s="86"/>
      <c r="Y3149" s="75"/>
    </row>
    <row r="3150" spans="1:25" x14ac:dyDescent="0.25">
      <c r="A3150" s="75"/>
      <c r="C3150" s="81"/>
      <c r="D3150" s="81"/>
      <c r="I3150" s="81"/>
      <c r="K3150" s="82"/>
      <c r="L3150" s="123"/>
      <c r="M3150" s="3"/>
      <c r="N3150" s="3"/>
      <c r="O3150" s="3"/>
      <c r="P3150" s="125"/>
      <c r="Q3150" s="125"/>
      <c r="R3150" s="127"/>
      <c r="S3150" s="123"/>
      <c r="T3150" s="3"/>
      <c r="W3150" s="86"/>
      <c r="Y3150" s="75"/>
    </row>
    <row r="3151" spans="1:25" x14ac:dyDescent="0.25">
      <c r="A3151" s="75"/>
      <c r="C3151" s="81"/>
      <c r="D3151" s="81"/>
      <c r="I3151" s="81"/>
      <c r="K3151" s="82"/>
      <c r="L3151" s="123"/>
      <c r="M3151" s="3"/>
      <c r="N3151" s="3"/>
      <c r="O3151" s="3"/>
      <c r="P3151" s="125"/>
      <c r="Q3151" s="125"/>
      <c r="R3151" s="127"/>
      <c r="S3151" s="123"/>
      <c r="T3151" s="3"/>
      <c r="W3151" s="86"/>
      <c r="Y3151" s="75"/>
    </row>
    <row r="3152" spans="1:25" x14ac:dyDescent="0.25">
      <c r="A3152" s="75"/>
      <c r="C3152" s="81"/>
      <c r="D3152" s="81"/>
      <c r="I3152" s="81"/>
      <c r="K3152" s="82"/>
      <c r="L3152" s="123"/>
      <c r="M3152" s="3"/>
      <c r="N3152" s="3"/>
      <c r="O3152" s="3"/>
      <c r="P3152" s="125"/>
      <c r="Q3152" s="125"/>
      <c r="R3152" s="127"/>
      <c r="S3152" s="123"/>
      <c r="T3152" s="3"/>
      <c r="W3152" s="86"/>
      <c r="Y3152" s="75"/>
    </row>
    <row r="3153" spans="1:25" x14ac:dyDescent="0.25">
      <c r="A3153" s="75"/>
      <c r="C3153" s="81"/>
      <c r="D3153" s="81"/>
      <c r="I3153" s="81"/>
      <c r="K3153" s="82"/>
      <c r="L3153" s="123"/>
      <c r="M3153" s="3"/>
      <c r="N3153" s="3"/>
      <c r="O3153" s="3"/>
      <c r="P3153" s="125"/>
      <c r="Q3153" s="125"/>
      <c r="R3153" s="127"/>
      <c r="S3153" s="123"/>
      <c r="T3153" s="3"/>
      <c r="W3153" s="86"/>
      <c r="Y3153" s="75"/>
    </row>
    <row r="3154" spans="1:25" x14ac:dyDescent="0.25">
      <c r="A3154" s="75"/>
      <c r="C3154" s="81"/>
      <c r="D3154" s="81"/>
      <c r="I3154" s="81"/>
      <c r="K3154" s="82"/>
      <c r="L3154" s="123"/>
      <c r="M3154" s="3"/>
      <c r="N3154" s="3"/>
      <c r="O3154" s="3"/>
      <c r="P3154" s="125"/>
      <c r="Q3154" s="125"/>
      <c r="R3154" s="127"/>
      <c r="S3154" s="123"/>
      <c r="T3154" s="3"/>
      <c r="W3154" s="86"/>
      <c r="Y3154" s="75"/>
    </row>
    <row r="3155" spans="1:25" x14ac:dyDescent="0.25">
      <c r="A3155" s="75"/>
      <c r="C3155" s="81"/>
      <c r="D3155" s="81"/>
      <c r="I3155" s="81"/>
      <c r="K3155" s="82"/>
      <c r="L3155" s="123"/>
      <c r="M3155" s="3"/>
      <c r="N3155" s="3"/>
      <c r="O3155" s="3"/>
      <c r="P3155" s="125"/>
      <c r="Q3155" s="125"/>
      <c r="R3155" s="127"/>
      <c r="S3155" s="123"/>
      <c r="T3155" s="3"/>
      <c r="W3155" s="86"/>
      <c r="Y3155" s="75"/>
    </row>
    <row r="3156" spans="1:25" x14ac:dyDescent="0.25">
      <c r="A3156" s="75"/>
      <c r="C3156" s="81"/>
      <c r="D3156" s="81"/>
      <c r="I3156" s="81"/>
      <c r="K3156" s="82"/>
      <c r="L3156" s="123"/>
      <c r="M3156" s="3"/>
      <c r="N3156" s="3"/>
      <c r="O3156" s="3"/>
      <c r="P3156" s="125"/>
      <c r="Q3156" s="125"/>
      <c r="R3156" s="127"/>
      <c r="S3156" s="123"/>
      <c r="T3156" s="3"/>
      <c r="W3156" s="86"/>
      <c r="Y3156" s="75"/>
    </row>
    <row r="3157" spans="1:25" x14ac:dyDescent="0.25">
      <c r="A3157" s="75"/>
      <c r="C3157" s="81"/>
      <c r="D3157" s="81"/>
      <c r="I3157" s="81"/>
      <c r="K3157" s="82"/>
      <c r="L3157" s="123"/>
      <c r="M3157" s="3"/>
      <c r="N3157" s="3"/>
      <c r="O3157" s="3"/>
      <c r="P3157" s="125"/>
      <c r="Q3157" s="125"/>
      <c r="R3157" s="127"/>
      <c r="S3157" s="123"/>
      <c r="T3157" s="3"/>
      <c r="W3157" s="86"/>
      <c r="Y3157" s="75"/>
    </row>
    <row r="3158" spans="1:25" x14ac:dyDescent="0.25">
      <c r="A3158" s="75"/>
      <c r="C3158" s="81"/>
      <c r="D3158" s="81"/>
      <c r="I3158" s="81"/>
      <c r="K3158" s="82"/>
      <c r="L3158" s="123"/>
      <c r="M3158" s="3"/>
      <c r="N3158" s="3"/>
      <c r="O3158" s="3"/>
      <c r="P3158" s="125"/>
      <c r="Q3158" s="125"/>
      <c r="R3158" s="127"/>
      <c r="S3158" s="123"/>
      <c r="T3158" s="3"/>
      <c r="W3158" s="86"/>
      <c r="Y3158" s="75"/>
    </row>
    <row r="3159" spans="1:25" x14ac:dyDescent="0.25">
      <c r="A3159" s="75"/>
      <c r="C3159" s="81"/>
      <c r="D3159" s="81"/>
      <c r="I3159" s="81"/>
      <c r="K3159" s="82"/>
      <c r="L3159" s="123"/>
      <c r="M3159" s="3"/>
      <c r="N3159" s="3"/>
      <c r="O3159" s="3"/>
      <c r="P3159" s="125"/>
      <c r="Q3159" s="125"/>
      <c r="R3159" s="127"/>
      <c r="S3159" s="123"/>
      <c r="T3159" s="3"/>
      <c r="W3159" s="86"/>
      <c r="Y3159" s="75"/>
    </row>
    <row r="3160" spans="1:25" x14ac:dyDescent="0.25">
      <c r="A3160" s="75"/>
      <c r="C3160" s="81"/>
      <c r="D3160" s="81"/>
      <c r="I3160" s="81"/>
      <c r="K3160" s="82"/>
      <c r="L3160" s="123"/>
      <c r="M3160" s="3"/>
      <c r="N3160" s="3"/>
      <c r="O3160" s="3"/>
      <c r="P3160" s="125"/>
      <c r="Q3160" s="125"/>
      <c r="R3160" s="127"/>
      <c r="S3160" s="123"/>
      <c r="T3160" s="3"/>
      <c r="W3160" s="86"/>
      <c r="Y3160" s="75"/>
    </row>
    <row r="3161" spans="1:25" x14ac:dyDescent="0.25">
      <c r="A3161" s="75"/>
      <c r="C3161" s="81"/>
      <c r="D3161" s="81"/>
      <c r="I3161" s="81"/>
      <c r="K3161" s="82"/>
      <c r="L3161" s="123"/>
      <c r="M3161" s="3"/>
      <c r="N3161" s="3"/>
      <c r="O3161" s="3"/>
      <c r="P3161" s="125"/>
      <c r="Q3161" s="125"/>
      <c r="R3161" s="127"/>
      <c r="S3161" s="123"/>
      <c r="T3161" s="3"/>
      <c r="W3161" s="86"/>
      <c r="Y3161" s="75"/>
    </row>
    <row r="3162" spans="1:25" x14ac:dyDescent="0.25">
      <c r="A3162" s="75"/>
      <c r="C3162" s="81"/>
      <c r="D3162" s="81"/>
      <c r="I3162" s="81"/>
      <c r="K3162" s="82"/>
      <c r="L3162" s="123"/>
      <c r="M3162" s="3"/>
      <c r="N3162" s="3"/>
      <c r="O3162" s="3"/>
      <c r="P3162" s="125"/>
      <c r="Q3162" s="125"/>
      <c r="R3162" s="127"/>
      <c r="S3162" s="123"/>
      <c r="T3162" s="3"/>
      <c r="W3162" s="86"/>
      <c r="Y3162" s="75"/>
    </row>
    <row r="3163" spans="1:25" x14ac:dyDescent="0.25">
      <c r="A3163" s="75"/>
      <c r="C3163" s="81"/>
      <c r="D3163" s="81"/>
      <c r="I3163" s="81"/>
      <c r="K3163" s="82"/>
      <c r="L3163" s="123"/>
      <c r="M3163" s="3"/>
      <c r="N3163" s="3"/>
      <c r="O3163" s="3"/>
      <c r="P3163" s="125"/>
      <c r="Q3163" s="125"/>
      <c r="R3163" s="127"/>
      <c r="S3163" s="123"/>
      <c r="T3163" s="3"/>
      <c r="W3163" s="86"/>
      <c r="Y3163" s="75"/>
    </row>
    <row r="3164" spans="1:25" x14ac:dyDescent="0.25">
      <c r="A3164" s="75"/>
      <c r="C3164" s="81"/>
      <c r="D3164" s="81"/>
      <c r="I3164" s="81"/>
      <c r="K3164" s="82"/>
      <c r="L3164" s="123"/>
      <c r="M3164" s="3"/>
      <c r="N3164" s="3"/>
      <c r="O3164" s="3"/>
      <c r="P3164" s="125"/>
      <c r="Q3164" s="125"/>
      <c r="R3164" s="127"/>
      <c r="S3164" s="123"/>
      <c r="T3164" s="3"/>
      <c r="W3164" s="86"/>
      <c r="Y3164" s="75"/>
    </row>
    <row r="3165" spans="1:25" x14ac:dyDescent="0.25">
      <c r="A3165" s="75"/>
      <c r="C3165" s="81"/>
      <c r="D3165" s="81"/>
      <c r="I3165" s="81"/>
      <c r="K3165" s="82"/>
      <c r="L3165" s="123"/>
      <c r="M3165" s="3"/>
      <c r="N3165" s="3"/>
      <c r="O3165" s="3"/>
      <c r="P3165" s="125"/>
      <c r="Q3165" s="125"/>
      <c r="R3165" s="127"/>
      <c r="S3165" s="123"/>
      <c r="T3165" s="3"/>
      <c r="W3165" s="86"/>
      <c r="Y3165" s="75"/>
    </row>
    <row r="3166" spans="1:25" x14ac:dyDescent="0.25">
      <c r="A3166" s="75"/>
      <c r="C3166" s="81"/>
      <c r="D3166" s="81"/>
      <c r="I3166" s="81"/>
      <c r="K3166" s="82"/>
      <c r="L3166" s="123"/>
      <c r="M3166" s="3"/>
      <c r="N3166" s="3"/>
      <c r="O3166" s="3"/>
      <c r="P3166" s="125"/>
      <c r="Q3166" s="125"/>
      <c r="R3166" s="127"/>
      <c r="S3166" s="123"/>
      <c r="T3166" s="3"/>
      <c r="W3166" s="86"/>
      <c r="Y3166" s="75"/>
    </row>
    <row r="3167" spans="1:25" x14ac:dyDescent="0.25">
      <c r="A3167" s="75"/>
      <c r="C3167" s="81"/>
      <c r="D3167" s="81"/>
      <c r="I3167" s="81"/>
      <c r="K3167" s="82"/>
      <c r="L3167" s="123"/>
      <c r="M3167" s="3"/>
      <c r="N3167" s="3"/>
      <c r="O3167" s="3"/>
      <c r="P3167" s="125"/>
      <c r="Q3167" s="125"/>
      <c r="R3167" s="127"/>
      <c r="S3167" s="123"/>
      <c r="T3167" s="3"/>
      <c r="W3167" s="86"/>
      <c r="Y3167" s="75"/>
    </row>
    <row r="3168" spans="1:25" x14ac:dyDescent="0.25">
      <c r="A3168" s="75"/>
      <c r="C3168" s="81"/>
      <c r="D3168" s="81"/>
      <c r="I3168" s="81"/>
      <c r="K3168" s="82"/>
      <c r="L3168" s="123"/>
      <c r="M3168" s="3"/>
      <c r="N3168" s="3"/>
      <c r="O3168" s="3"/>
      <c r="P3168" s="125"/>
      <c r="Q3168" s="125"/>
      <c r="R3168" s="127"/>
      <c r="S3168" s="123"/>
      <c r="T3168" s="3"/>
      <c r="W3168" s="86"/>
      <c r="Y3168" s="75"/>
    </row>
    <row r="3169" spans="1:25" x14ac:dyDescent="0.25">
      <c r="A3169" s="75"/>
      <c r="C3169" s="81"/>
      <c r="D3169" s="81"/>
      <c r="I3169" s="81"/>
      <c r="K3169" s="82"/>
      <c r="L3169" s="123"/>
      <c r="M3169" s="3"/>
      <c r="N3169" s="3"/>
      <c r="O3169" s="3"/>
      <c r="P3169" s="125"/>
      <c r="Q3169" s="125"/>
      <c r="R3169" s="127"/>
      <c r="S3169" s="123"/>
      <c r="T3169" s="3"/>
      <c r="W3169" s="86"/>
      <c r="Y3169" s="75"/>
    </row>
    <row r="3170" spans="1:25" x14ac:dyDescent="0.25">
      <c r="A3170" s="75"/>
      <c r="C3170" s="81"/>
      <c r="D3170" s="81"/>
      <c r="I3170" s="81"/>
      <c r="K3170" s="82"/>
      <c r="L3170" s="123"/>
      <c r="M3170" s="3"/>
      <c r="N3170" s="3"/>
      <c r="O3170" s="3"/>
      <c r="P3170" s="125"/>
      <c r="Q3170" s="125"/>
      <c r="R3170" s="127"/>
      <c r="S3170" s="123"/>
      <c r="T3170" s="3"/>
      <c r="W3170" s="86"/>
      <c r="Y3170" s="75"/>
    </row>
    <row r="3171" spans="1:25" x14ac:dyDescent="0.25">
      <c r="A3171" s="75"/>
      <c r="C3171" s="81"/>
      <c r="D3171" s="81"/>
      <c r="I3171" s="81"/>
      <c r="K3171" s="82"/>
      <c r="L3171" s="123"/>
      <c r="M3171" s="3"/>
      <c r="N3171" s="3"/>
      <c r="O3171" s="3"/>
      <c r="P3171" s="125"/>
      <c r="Q3171" s="125"/>
      <c r="R3171" s="127"/>
      <c r="S3171" s="123"/>
      <c r="T3171" s="3"/>
      <c r="W3171" s="86"/>
      <c r="Y3171" s="75"/>
    </row>
    <row r="3172" spans="1:25" x14ac:dyDescent="0.25">
      <c r="A3172" s="75"/>
      <c r="C3172" s="81"/>
      <c r="D3172" s="81"/>
      <c r="I3172" s="81"/>
      <c r="K3172" s="82"/>
      <c r="L3172" s="123"/>
      <c r="M3172" s="3"/>
      <c r="N3172" s="3"/>
      <c r="O3172" s="3"/>
      <c r="P3172" s="125"/>
      <c r="Q3172" s="125"/>
      <c r="R3172" s="127"/>
      <c r="S3172" s="123"/>
      <c r="T3172" s="3"/>
      <c r="W3172" s="86"/>
      <c r="Y3172" s="75"/>
    </row>
    <row r="3173" spans="1:25" x14ac:dyDescent="0.25">
      <c r="A3173" s="75"/>
      <c r="C3173" s="81"/>
      <c r="D3173" s="81"/>
      <c r="I3173" s="81"/>
      <c r="K3173" s="82"/>
      <c r="L3173" s="123"/>
      <c r="M3173" s="3"/>
      <c r="N3173" s="3"/>
      <c r="O3173" s="3"/>
      <c r="P3173" s="125"/>
      <c r="Q3173" s="125"/>
      <c r="R3173" s="127"/>
      <c r="S3173" s="123"/>
      <c r="T3173" s="3"/>
      <c r="W3173" s="86"/>
      <c r="Y3173" s="75"/>
    </row>
    <row r="3174" spans="1:25" x14ac:dyDescent="0.25">
      <c r="A3174" s="75"/>
      <c r="C3174" s="81"/>
      <c r="D3174" s="81"/>
      <c r="I3174" s="81"/>
      <c r="K3174" s="82"/>
      <c r="L3174" s="123"/>
      <c r="M3174" s="3"/>
      <c r="N3174" s="3"/>
      <c r="O3174" s="3"/>
      <c r="P3174" s="125"/>
      <c r="Q3174" s="125"/>
      <c r="R3174" s="127"/>
      <c r="S3174" s="123"/>
      <c r="T3174" s="3"/>
      <c r="W3174" s="86"/>
      <c r="Y3174" s="75"/>
    </row>
    <row r="3175" spans="1:25" x14ac:dyDescent="0.25">
      <c r="A3175" s="75"/>
      <c r="C3175" s="81"/>
      <c r="D3175" s="81"/>
      <c r="I3175" s="81"/>
      <c r="K3175" s="82"/>
      <c r="L3175" s="123"/>
      <c r="M3175" s="3"/>
      <c r="N3175" s="3"/>
      <c r="O3175" s="3"/>
      <c r="P3175" s="125"/>
      <c r="Q3175" s="125"/>
      <c r="R3175" s="127"/>
      <c r="S3175" s="123"/>
      <c r="T3175" s="3"/>
      <c r="W3175" s="86"/>
      <c r="Y3175" s="75"/>
    </row>
    <row r="3176" spans="1:25" x14ac:dyDescent="0.25">
      <c r="A3176" s="75"/>
      <c r="C3176" s="81"/>
      <c r="D3176" s="81"/>
      <c r="I3176" s="81"/>
      <c r="K3176" s="82"/>
      <c r="L3176" s="123"/>
      <c r="M3176" s="3"/>
      <c r="N3176" s="3"/>
      <c r="O3176" s="3"/>
      <c r="P3176" s="125"/>
      <c r="Q3176" s="125"/>
      <c r="R3176" s="127"/>
      <c r="S3176" s="123"/>
      <c r="T3176" s="3"/>
      <c r="W3176" s="86"/>
      <c r="Y3176" s="75"/>
    </row>
    <row r="3177" spans="1:25" x14ac:dyDescent="0.25">
      <c r="A3177" s="75"/>
      <c r="C3177" s="81"/>
      <c r="D3177" s="81"/>
      <c r="I3177" s="81"/>
      <c r="K3177" s="82"/>
      <c r="L3177" s="123"/>
      <c r="M3177" s="3"/>
      <c r="N3177" s="3"/>
      <c r="O3177" s="3"/>
      <c r="P3177" s="125"/>
      <c r="Q3177" s="125"/>
      <c r="R3177" s="127"/>
      <c r="S3177" s="123"/>
      <c r="T3177" s="3"/>
      <c r="W3177" s="86"/>
      <c r="Y3177" s="75"/>
    </row>
    <row r="3178" spans="1:25" x14ac:dyDescent="0.25">
      <c r="A3178" s="75"/>
      <c r="C3178" s="81"/>
      <c r="D3178" s="81"/>
      <c r="I3178" s="81"/>
      <c r="K3178" s="82"/>
      <c r="L3178" s="123"/>
      <c r="M3178" s="3"/>
      <c r="N3178" s="3"/>
      <c r="O3178" s="3"/>
      <c r="P3178" s="125"/>
      <c r="Q3178" s="125"/>
      <c r="R3178" s="127"/>
      <c r="S3178" s="123"/>
      <c r="T3178" s="3"/>
      <c r="W3178" s="86"/>
      <c r="Y3178" s="75"/>
    </row>
    <row r="3179" spans="1:25" x14ac:dyDescent="0.25">
      <c r="A3179" s="75"/>
      <c r="C3179" s="81"/>
      <c r="D3179" s="81"/>
      <c r="I3179" s="81"/>
      <c r="K3179" s="82"/>
      <c r="L3179" s="123"/>
      <c r="M3179" s="3"/>
      <c r="N3179" s="3"/>
      <c r="O3179" s="3"/>
      <c r="P3179" s="125"/>
      <c r="Q3179" s="125"/>
      <c r="R3179" s="127"/>
      <c r="S3179" s="123"/>
      <c r="T3179" s="3"/>
      <c r="W3179" s="86"/>
      <c r="Y3179" s="75"/>
    </row>
    <row r="3180" spans="1:25" x14ac:dyDescent="0.25">
      <c r="A3180" s="75"/>
      <c r="C3180" s="81"/>
      <c r="D3180" s="81"/>
      <c r="I3180" s="81"/>
      <c r="K3180" s="82"/>
      <c r="L3180" s="123"/>
      <c r="M3180" s="3"/>
      <c r="N3180" s="3"/>
      <c r="O3180" s="3"/>
      <c r="P3180" s="125"/>
      <c r="Q3180" s="125"/>
      <c r="R3180" s="127"/>
      <c r="S3180" s="123"/>
      <c r="T3180" s="3"/>
      <c r="W3180" s="86"/>
      <c r="Y3180" s="75"/>
    </row>
    <row r="3181" spans="1:25" x14ac:dyDescent="0.25">
      <c r="A3181" s="75"/>
      <c r="C3181" s="81"/>
      <c r="D3181" s="81"/>
      <c r="I3181" s="81"/>
      <c r="K3181" s="82"/>
      <c r="L3181" s="123"/>
      <c r="M3181" s="3"/>
      <c r="N3181" s="3"/>
      <c r="O3181" s="3"/>
      <c r="P3181" s="125"/>
      <c r="Q3181" s="125"/>
      <c r="R3181" s="127"/>
      <c r="S3181" s="123"/>
      <c r="T3181" s="3"/>
      <c r="W3181" s="86"/>
      <c r="Y3181" s="75"/>
    </row>
    <row r="3182" spans="1:25" x14ac:dyDescent="0.25">
      <c r="A3182" s="75"/>
      <c r="C3182" s="81"/>
      <c r="D3182" s="81"/>
      <c r="I3182" s="81"/>
      <c r="K3182" s="82"/>
      <c r="L3182" s="123"/>
      <c r="M3182" s="3"/>
      <c r="N3182" s="3"/>
      <c r="O3182" s="3"/>
      <c r="P3182" s="125"/>
      <c r="Q3182" s="125"/>
      <c r="R3182" s="127"/>
      <c r="S3182" s="123"/>
      <c r="T3182" s="3"/>
      <c r="W3182" s="86"/>
      <c r="Y3182" s="75"/>
    </row>
    <row r="3183" spans="1:25" x14ac:dyDescent="0.25">
      <c r="A3183" s="75"/>
      <c r="C3183" s="81"/>
      <c r="D3183" s="81"/>
      <c r="I3183" s="81"/>
      <c r="K3183" s="82"/>
      <c r="L3183" s="123"/>
      <c r="M3183" s="3"/>
      <c r="N3183" s="3"/>
      <c r="O3183" s="3"/>
      <c r="P3183" s="125"/>
      <c r="Q3183" s="125"/>
      <c r="R3183" s="127"/>
      <c r="S3183" s="123"/>
      <c r="T3183" s="3"/>
      <c r="W3183" s="86"/>
      <c r="Y3183" s="75"/>
    </row>
    <row r="3184" spans="1:25" x14ac:dyDescent="0.25">
      <c r="A3184" s="75"/>
      <c r="C3184" s="81"/>
      <c r="D3184" s="81"/>
      <c r="I3184" s="81"/>
      <c r="K3184" s="82"/>
      <c r="L3184" s="123"/>
      <c r="M3184" s="3"/>
      <c r="N3184" s="3"/>
      <c r="O3184" s="3"/>
      <c r="P3184" s="125"/>
      <c r="Q3184" s="125"/>
      <c r="R3184" s="127"/>
      <c r="S3184" s="123"/>
      <c r="T3184" s="3"/>
      <c r="W3184" s="86"/>
      <c r="Y3184" s="75"/>
    </row>
    <row r="3185" spans="1:25" x14ac:dyDescent="0.25">
      <c r="A3185" s="75"/>
      <c r="C3185" s="81"/>
      <c r="D3185" s="81"/>
      <c r="I3185" s="81"/>
      <c r="K3185" s="82"/>
      <c r="L3185" s="123"/>
      <c r="M3185" s="3"/>
      <c r="N3185" s="3"/>
      <c r="O3185" s="3"/>
      <c r="P3185" s="125"/>
      <c r="Q3185" s="125"/>
      <c r="R3185" s="127"/>
      <c r="S3185" s="123"/>
      <c r="T3185" s="3"/>
      <c r="W3185" s="86"/>
      <c r="Y3185" s="75"/>
    </row>
    <row r="3186" spans="1:25" x14ac:dyDescent="0.25">
      <c r="A3186" s="75"/>
      <c r="C3186" s="81"/>
      <c r="D3186" s="81"/>
      <c r="I3186" s="81"/>
      <c r="K3186" s="82"/>
      <c r="L3186" s="123"/>
      <c r="M3186" s="3"/>
      <c r="N3186" s="3"/>
      <c r="O3186" s="3"/>
      <c r="P3186" s="125"/>
      <c r="Q3186" s="125"/>
      <c r="R3186" s="127"/>
      <c r="S3186" s="123"/>
      <c r="T3186" s="3"/>
      <c r="W3186" s="86"/>
      <c r="Y3186" s="75"/>
    </row>
    <row r="3187" spans="1:25" x14ac:dyDescent="0.25">
      <c r="A3187" s="75"/>
      <c r="C3187" s="81"/>
      <c r="D3187" s="81"/>
      <c r="I3187" s="81"/>
      <c r="K3187" s="82"/>
      <c r="L3187" s="123"/>
      <c r="M3187" s="3"/>
      <c r="N3187" s="3"/>
      <c r="O3187" s="3"/>
      <c r="P3187" s="125"/>
      <c r="Q3187" s="125"/>
      <c r="R3187" s="127"/>
      <c r="S3187" s="123"/>
      <c r="T3187" s="3"/>
      <c r="W3187" s="86"/>
      <c r="Y3187" s="75"/>
    </row>
    <row r="3188" spans="1:25" x14ac:dyDescent="0.25">
      <c r="A3188" s="75"/>
      <c r="C3188" s="81"/>
      <c r="D3188" s="81"/>
      <c r="I3188" s="81"/>
      <c r="K3188" s="82"/>
      <c r="L3188" s="123"/>
      <c r="M3188" s="3"/>
      <c r="N3188" s="3"/>
      <c r="O3188" s="3"/>
      <c r="P3188" s="125"/>
      <c r="Q3188" s="125"/>
      <c r="R3188" s="127"/>
      <c r="S3188" s="123"/>
      <c r="T3188" s="3"/>
      <c r="W3188" s="86"/>
      <c r="Y3188" s="75"/>
    </row>
    <row r="3189" spans="1:25" x14ac:dyDescent="0.25">
      <c r="A3189" s="75"/>
      <c r="C3189" s="81"/>
      <c r="D3189" s="81"/>
      <c r="I3189" s="81"/>
      <c r="K3189" s="82"/>
      <c r="L3189" s="123"/>
      <c r="M3189" s="3"/>
      <c r="N3189" s="3"/>
      <c r="O3189" s="3"/>
      <c r="P3189" s="125"/>
      <c r="Q3189" s="125"/>
      <c r="R3189" s="127"/>
      <c r="S3189" s="123"/>
      <c r="T3189" s="3"/>
      <c r="W3189" s="86"/>
      <c r="Y3189" s="75"/>
    </row>
    <row r="3190" spans="1:25" x14ac:dyDescent="0.25">
      <c r="A3190" s="75"/>
      <c r="C3190" s="81"/>
      <c r="D3190" s="81"/>
      <c r="I3190" s="81"/>
      <c r="K3190" s="82"/>
      <c r="L3190" s="123"/>
      <c r="M3190" s="3"/>
      <c r="N3190" s="3"/>
      <c r="O3190" s="3"/>
      <c r="P3190" s="125"/>
      <c r="Q3190" s="125"/>
      <c r="R3190" s="127"/>
      <c r="S3190" s="123"/>
      <c r="T3190" s="3"/>
      <c r="W3190" s="86"/>
      <c r="Y3190" s="75"/>
    </row>
    <row r="3191" spans="1:25" x14ac:dyDescent="0.25">
      <c r="A3191" s="75"/>
      <c r="C3191" s="81"/>
      <c r="D3191" s="81"/>
      <c r="I3191" s="81"/>
      <c r="K3191" s="82"/>
      <c r="L3191" s="123"/>
      <c r="M3191" s="3"/>
      <c r="N3191" s="3"/>
      <c r="O3191" s="3"/>
      <c r="P3191" s="125"/>
      <c r="Q3191" s="125"/>
      <c r="R3191" s="127"/>
      <c r="S3191" s="123"/>
      <c r="T3191" s="3"/>
      <c r="W3191" s="86"/>
      <c r="Y3191" s="75"/>
    </row>
    <row r="3192" spans="1:25" x14ac:dyDescent="0.25">
      <c r="A3192" s="75"/>
      <c r="C3192" s="81"/>
      <c r="D3192" s="81"/>
      <c r="I3192" s="81"/>
      <c r="K3192" s="82"/>
      <c r="L3192" s="123"/>
      <c r="M3192" s="3"/>
      <c r="N3192" s="3"/>
      <c r="O3192" s="3"/>
      <c r="P3192" s="125"/>
      <c r="Q3192" s="125"/>
      <c r="R3192" s="127"/>
      <c r="S3192" s="123"/>
      <c r="T3192" s="3"/>
      <c r="W3192" s="86"/>
      <c r="Y3192" s="75"/>
    </row>
    <row r="3193" spans="1:25" x14ac:dyDescent="0.25">
      <c r="A3193" s="75"/>
      <c r="C3193" s="81"/>
      <c r="D3193" s="81"/>
      <c r="I3193" s="81"/>
      <c r="K3193" s="82"/>
      <c r="L3193" s="123"/>
      <c r="M3193" s="3"/>
      <c r="N3193" s="3"/>
      <c r="O3193" s="3"/>
      <c r="P3193" s="125"/>
      <c r="Q3193" s="125"/>
      <c r="R3193" s="127"/>
      <c r="S3193" s="123"/>
      <c r="T3193" s="3"/>
      <c r="W3193" s="86"/>
      <c r="Y3193" s="75"/>
    </row>
    <row r="3194" spans="1:25" x14ac:dyDescent="0.25">
      <c r="A3194" s="75"/>
      <c r="C3194" s="81"/>
      <c r="D3194" s="81"/>
      <c r="I3194" s="81"/>
      <c r="K3194" s="82"/>
      <c r="L3194" s="123"/>
      <c r="M3194" s="3"/>
      <c r="N3194" s="3"/>
      <c r="O3194" s="3"/>
      <c r="P3194" s="125"/>
      <c r="Q3194" s="125"/>
      <c r="R3194" s="127"/>
      <c r="S3194" s="123"/>
      <c r="T3194" s="3"/>
      <c r="W3194" s="86"/>
      <c r="Y3194" s="75"/>
    </row>
    <row r="3195" spans="1:25" x14ac:dyDescent="0.25">
      <c r="A3195" s="75"/>
      <c r="C3195" s="81"/>
      <c r="D3195" s="81"/>
      <c r="I3195" s="81"/>
      <c r="K3195" s="82"/>
      <c r="L3195" s="123"/>
      <c r="M3195" s="3"/>
      <c r="N3195" s="3"/>
      <c r="O3195" s="3"/>
      <c r="P3195" s="125"/>
      <c r="Q3195" s="125"/>
      <c r="R3195" s="127"/>
      <c r="S3195" s="123"/>
      <c r="T3195" s="3"/>
      <c r="W3195" s="86"/>
      <c r="Y3195" s="75"/>
    </row>
    <row r="3196" spans="1:25" x14ac:dyDescent="0.25">
      <c r="A3196" s="75"/>
      <c r="C3196" s="81"/>
      <c r="D3196" s="81"/>
      <c r="I3196" s="81"/>
      <c r="K3196" s="82"/>
      <c r="L3196" s="123"/>
      <c r="M3196" s="3"/>
      <c r="N3196" s="3"/>
      <c r="O3196" s="3"/>
      <c r="P3196" s="125"/>
      <c r="Q3196" s="125"/>
      <c r="R3196" s="127"/>
      <c r="S3196" s="123"/>
      <c r="T3196" s="3"/>
      <c r="W3196" s="86"/>
      <c r="Y3196" s="75"/>
    </row>
    <row r="3197" spans="1:25" x14ac:dyDescent="0.25">
      <c r="A3197" s="75"/>
      <c r="C3197" s="81"/>
      <c r="D3197" s="81"/>
      <c r="I3197" s="81"/>
      <c r="K3197" s="82"/>
      <c r="L3197" s="123"/>
      <c r="M3197" s="3"/>
      <c r="N3197" s="3"/>
      <c r="O3197" s="3"/>
      <c r="P3197" s="125"/>
      <c r="Q3197" s="125"/>
      <c r="R3197" s="127"/>
      <c r="S3197" s="123"/>
      <c r="T3197" s="3"/>
      <c r="W3197" s="86"/>
      <c r="Y3197" s="75"/>
    </row>
    <row r="3198" spans="1:25" x14ac:dyDescent="0.25">
      <c r="A3198" s="75"/>
      <c r="C3198" s="81"/>
      <c r="D3198" s="81"/>
      <c r="I3198" s="81"/>
      <c r="K3198" s="82"/>
      <c r="L3198" s="123"/>
      <c r="M3198" s="3"/>
      <c r="N3198" s="3"/>
      <c r="O3198" s="3"/>
      <c r="P3198" s="125"/>
      <c r="Q3198" s="125"/>
      <c r="R3198" s="127"/>
      <c r="S3198" s="123"/>
      <c r="T3198" s="3"/>
      <c r="W3198" s="86"/>
      <c r="Y3198" s="75"/>
    </row>
    <row r="3199" spans="1:25" x14ac:dyDescent="0.25">
      <c r="A3199" s="75"/>
      <c r="C3199" s="81"/>
      <c r="D3199" s="81"/>
      <c r="I3199" s="81"/>
      <c r="K3199" s="82"/>
      <c r="L3199" s="123"/>
      <c r="M3199" s="3"/>
      <c r="N3199" s="3"/>
      <c r="O3199" s="3"/>
      <c r="P3199" s="125"/>
      <c r="Q3199" s="125"/>
      <c r="R3199" s="127"/>
      <c r="S3199" s="123"/>
      <c r="T3199" s="3"/>
      <c r="W3199" s="86"/>
      <c r="Y3199" s="75"/>
    </row>
    <row r="3200" spans="1:25" x14ac:dyDescent="0.25">
      <c r="A3200" s="75"/>
      <c r="C3200" s="81"/>
      <c r="D3200" s="81"/>
      <c r="I3200" s="81"/>
      <c r="K3200" s="82"/>
      <c r="L3200" s="123"/>
      <c r="M3200" s="3"/>
      <c r="N3200" s="3"/>
      <c r="O3200" s="3"/>
      <c r="P3200" s="125"/>
      <c r="Q3200" s="125"/>
      <c r="R3200" s="127"/>
      <c r="S3200" s="123"/>
      <c r="T3200" s="3"/>
      <c r="W3200" s="86"/>
      <c r="Y3200" s="75"/>
    </row>
    <row r="3201" spans="1:25" x14ac:dyDescent="0.25">
      <c r="A3201" s="75"/>
      <c r="C3201" s="81"/>
      <c r="D3201" s="81"/>
      <c r="I3201" s="81"/>
      <c r="K3201" s="82"/>
      <c r="L3201" s="123"/>
      <c r="M3201" s="3"/>
      <c r="N3201" s="3"/>
      <c r="O3201" s="3"/>
      <c r="P3201" s="125"/>
      <c r="Q3201" s="125"/>
      <c r="R3201" s="127"/>
      <c r="S3201" s="123"/>
      <c r="T3201" s="3"/>
      <c r="W3201" s="86"/>
      <c r="Y3201" s="75"/>
    </row>
    <row r="3202" spans="1:25" x14ac:dyDescent="0.25">
      <c r="A3202" s="75"/>
      <c r="C3202" s="81"/>
      <c r="D3202" s="81"/>
      <c r="I3202" s="81"/>
      <c r="K3202" s="82"/>
      <c r="L3202" s="123"/>
      <c r="M3202" s="3"/>
      <c r="N3202" s="3"/>
      <c r="O3202" s="3"/>
      <c r="P3202" s="125"/>
      <c r="Q3202" s="125"/>
      <c r="R3202" s="127"/>
      <c r="S3202" s="123"/>
      <c r="T3202" s="3"/>
      <c r="W3202" s="86"/>
      <c r="Y3202" s="75"/>
    </row>
    <row r="3203" spans="1:25" x14ac:dyDescent="0.25">
      <c r="A3203" s="75"/>
      <c r="C3203" s="81"/>
      <c r="D3203" s="81"/>
      <c r="I3203" s="81"/>
      <c r="K3203" s="82"/>
      <c r="L3203" s="123"/>
      <c r="M3203" s="3"/>
      <c r="N3203" s="3"/>
      <c r="O3203" s="3"/>
      <c r="P3203" s="125"/>
      <c r="Q3203" s="125"/>
      <c r="R3203" s="127"/>
      <c r="S3203" s="123"/>
      <c r="T3203" s="3"/>
      <c r="W3203" s="86"/>
      <c r="Y3203" s="75"/>
    </row>
    <row r="3204" spans="1:25" x14ac:dyDescent="0.25">
      <c r="A3204" s="75"/>
      <c r="C3204" s="81"/>
      <c r="D3204" s="81"/>
      <c r="I3204" s="81"/>
      <c r="K3204" s="82"/>
      <c r="L3204" s="123"/>
      <c r="M3204" s="3"/>
      <c r="N3204" s="3"/>
      <c r="O3204" s="3"/>
      <c r="P3204" s="125"/>
      <c r="Q3204" s="125"/>
      <c r="R3204" s="127"/>
      <c r="S3204" s="123"/>
      <c r="T3204" s="3"/>
      <c r="W3204" s="86"/>
      <c r="Y3204" s="75"/>
    </row>
    <row r="3205" spans="1:25" x14ac:dyDescent="0.25">
      <c r="A3205" s="75"/>
      <c r="C3205" s="81"/>
      <c r="D3205" s="81"/>
      <c r="I3205" s="81"/>
      <c r="K3205" s="82"/>
      <c r="L3205" s="123"/>
      <c r="M3205" s="3"/>
      <c r="N3205" s="3"/>
      <c r="O3205" s="3"/>
      <c r="P3205" s="125"/>
      <c r="Q3205" s="125"/>
      <c r="R3205" s="127"/>
      <c r="S3205" s="123"/>
      <c r="T3205" s="3"/>
      <c r="W3205" s="86"/>
      <c r="Y3205" s="75"/>
    </row>
    <row r="3206" spans="1:25" x14ac:dyDescent="0.25">
      <c r="A3206" s="75"/>
      <c r="C3206" s="81"/>
      <c r="D3206" s="81"/>
      <c r="I3206" s="81"/>
      <c r="K3206" s="82"/>
      <c r="L3206" s="123"/>
      <c r="M3206" s="3"/>
      <c r="N3206" s="3"/>
      <c r="O3206" s="3"/>
      <c r="P3206" s="125"/>
      <c r="Q3206" s="125"/>
      <c r="R3206" s="127"/>
      <c r="S3206" s="123"/>
      <c r="T3206" s="3"/>
      <c r="W3206" s="86"/>
      <c r="Y3206" s="75"/>
    </row>
    <row r="3207" spans="1:25" x14ac:dyDescent="0.25">
      <c r="A3207" s="75"/>
      <c r="C3207" s="81"/>
      <c r="D3207" s="81"/>
      <c r="I3207" s="81"/>
      <c r="K3207" s="82"/>
      <c r="L3207" s="123"/>
      <c r="M3207" s="3"/>
      <c r="N3207" s="3"/>
      <c r="O3207" s="3"/>
      <c r="P3207" s="125"/>
      <c r="Q3207" s="125"/>
      <c r="R3207" s="127"/>
      <c r="S3207" s="123"/>
      <c r="T3207" s="3"/>
      <c r="W3207" s="86"/>
      <c r="Y3207" s="75"/>
    </row>
    <row r="3208" spans="1:25" x14ac:dyDescent="0.25">
      <c r="A3208" s="75"/>
      <c r="C3208" s="81"/>
      <c r="D3208" s="81"/>
      <c r="I3208" s="81"/>
      <c r="K3208" s="82"/>
      <c r="L3208" s="123"/>
      <c r="M3208" s="3"/>
      <c r="N3208" s="3"/>
      <c r="O3208" s="3"/>
      <c r="P3208" s="125"/>
      <c r="Q3208" s="125"/>
      <c r="R3208" s="127"/>
      <c r="S3208" s="123"/>
      <c r="T3208" s="3"/>
      <c r="W3208" s="86"/>
      <c r="Y3208" s="75"/>
    </row>
    <row r="3209" spans="1:25" x14ac:dyDescent="0.25">
      <c r="A3209" s="75"/>
      <c r="C3209" s="81"/>
      <c r="D3209" s="81"/>
      <c r="I3209" s="81"/>
      <c r="K3209" s="82"/>
      <c r="L3209" s="123"/>
      <c r="M3209" s="3"/>
      <c r="N3209" s="3"/>
      <c r="O3209" s="3"/>
      <c r="P3209" s="125"/>
      <c r="Q3209" s="125"/>
      <c r="R3209" s="127"/>
      <c r="S3209" s="123"/>
      <c r="T3209" s="3"/>
      <c r="W3209" s="86"/>
      <c r="Y3209" s="75"/>
    </row>
    <row r="3210" spans="1:25" x14ac:dyDescent="0.25">
      <c r="A3210" s="75"/>
      <c r="C3210" s="81"/>
      <c r="D3210" s="81"/>
      <c r="I3210" s="81"/>
      <c r="K3210" s="82"/>
      <c r="L3210" s="123"/>
      <c r="M3210" s="3"/>
      <c r="N3210" s="3"/>
      <c r="O3210" s="3"/>
      <c r="P3210" s="125"/>
      <c r="Q3210" s="125"/>
      <c r="R3210" s="127"/>
      <c r="S3210" s="123"/>
      <c r="T3210" s="3"/>
      <c r="W3210" s="86"/>
      <c r="Y3210" s="75"/>
    </row>
    <row r="3211" spans="1:25" x14ac:dyDescent="0.25">
      <c r="A3211" s="75"/>
      <c r="C3211" s="81"/>
      <c r="D3211" s="81"/>
      <c r="I3211" s="81"/>
      <c r="K3211" s="82"/>
      <c r="L3211" s="123"/>
      <c r="M3211" s="3"/>
      <c r="N3211" s="3"/>
      <c r="O3211" s="3"/>
      <c r="P3211" s="125"/>
      <c r="Q3211" s="125"/>
      <c r="R3211" s="127"/>
      <c r="S3211" s="123"/>
      <c r="T3211" s="3"/>
      <c r="W3211" s="86"/>
      <c r="Y3211" s="75"/>
    </row>
    <row r="3212" spans="1:25" x14ac:dyDescent="0.25">
      <c r="A3212" s="75"/>
      <c r="C3212" s="81"/>
      <c r="D3212" s="81"/>
      <c r="I3212" s="81"/>
      <c r="K3212" s="82"/>
      <c r="L3212" s="123"/>
      <c r="M3212" s="3"/>
      <c r="N3212" s="3"/>
      <c r="O3212" s="3"/>
      <c r="P3212" s="125"/>
      <c r="Q3212" s="125"/>
      <c r="R3212" s="127"/>
      <c r="S3212" s="123"/>
      <c r="T3212" s="3"/>
      <c r="W3212" s="86"/>
      <c r="Y3212" s="75"/>
    </row>
    <row r="3213" spans="1:25" x14ac:dyDescent="0.25">
      <c r="A3213" s="75"/>
      <c r="C3213" s="81"/>
      <c r="D3213" s="81"/>
      <c r="I3213" s="81"/>
      <c r="K3213" s="82"/>
      <c r="L3213" s="123"/>
      <c r="M3213" s="3"/>
      <c r="N3213" s="3"/>
      <c r="O3213" s="3"/>
      <c r="P3213" s="125"/>
      <c r="Q3213" s="125"/>
      <c r="R3213" s="127"/>
      <c r="S3213" s="123"/>
      <c r="T3213" s="3"/>
      <c r="W3213" s="86"/>
      <c r="Y3213" s="75"/>
    </row>
    <row r="3214" spans="1:25" x14ac:dyDescent="0.25">
      <c r="A3214" s="75"/>
      <c r="C3214" s="81"/>
      <c r="D3214" s="81"/>
      <c r="I3214" s="81"/>
      <c r="K3214" s="82"/>
      <c r="L3214" s="123"/>
      <c r="M3214" s="3"/>
      <c r="N3214" s="3"/>
      <c r="O3214" s="3"/>
      <c r="P3214" s="125"/>
      <c r="Q3214" s="125"/>
      <c r="R3214" s="127"/>
      <c r="S3214" s="123"/>
      <c r="T3214" s="3"/>
      <c r="W3214" s="86"/>
      <c r="Y3214" s="75"/>
    </row>
    <row r="3215" spans="1:25" x14ac:dyDescent="0.25">
      <c r="A3215" s="75"/>
      <c r="C3215" s="81"/>
      <c r="D3215" s="81"/>
      <c r="I3215" s="81"/>
      <c r="K3215" s="82"/>
      <c r="L3215" s="123"/>
      <c r="M3215" s="3"/>
      <c r="N3215" s="3"/>
      <c r="O3215" s="3"/>
      <c r="P3215" s="125"/>
      <c r="Q3215" s="125"/>
      <c r="R3215" s="127"/>
      <c r="S3215" s="123"/>
      <c r="T3215" s="3"/>
      <c r="W3215" s="86"/>
      <c r="Y3215" s="75"/>
    </row>
    <row r="3216" spans="1:25" x14ac:dyDescent="0.25">
      <c r="A3216" s="75"/>
      <c r="C3216" s="81"/>
      <c r="D3216" s="81"/>
      <c r="I3216" s="81"/>
      <c r="K3216" s="82"/>
      <c r="L3216" s="123"/>
      <c r="M3216" s="3"/>
      <c r="N3216" s="3"/>
      <c r="O3216" s="3"/>
      <c r="P3216" s="125"/>
      <c r="Q3216" s="125"/>
      <c r="R3216" s="127"/>
      <c r="S3216" s="123"/>
      <c r="T3216" s="3"/>
      <c r="W3216" s="86"/>
      <c r="Y3216" s="75"/>
    </row>
    <row r="3217" spans="1:25" x14ac:dyDescent="0.25">
      <c r="A3217" s="75"/>
      <c r="C3217" s="81"/>
      <c r="D3217" s="81"/>
      <c r="I3217" s="81"/>
      <c r="K3217" s="82"/>
      <c r="L3217" s="123"/>
      <c r="M3217" s="3"/>
      <c r="N3217" s="3"/>
      <c r="O3217" s="3"/>
      <c r="P3217" s="125"/>
      <c r="Q3217" s="125"/>
      <c r="R3217" s="127"/>
      <c r="S3217" s="123"/>
      <c r="T3217" s="3"/>
      <c r="W3217" s="86"/>
      <c r="Y3217" s="75"/>
    </row>
    <row r="3218" spans="1:25" x14ac:dyDescent="0.25">
      <c r="A3218" s="75"/>
      <c r="C3218" s="81"/>
      <c r="D3218" s="81"/>
      <c r="I3218" s="81"/>
      <c r="K3218" s="82"/>
      <c r="L3218" s="123"/>
      <c r="M3218" s="3"/>
      <c r="N3218" s="3"/>
      <c r="O3218" s="3"/>
      <c r="P3218" s="125"/>
      <c r="Q3218" s="125"/>
      <c r="R3218" s="127"/>
      <c r="S3218" s="123"/>
      <c r="T3218" s="3"/>
      <c r="W3218" s="86"/>
      <c r="Y3218" s="75"/>
    </row>
    <row r="3219" spans="1:25" x14ac:dyDescent="0.25">
      <c r="A3219" s="75"/>
      <c r="C3219" s="81"/>
      <c r="D3219" s="81"/>
      <c r="I3219" s="81"/>
      <c r="K3219" s="82"/>
      <c r="L3219" s="123"/>
      <c r="M3219" s="3"/>
      <c r="N3219" s="3"/>
      <c r="O3219" s="3"/>
      <c r="P3219" s="125"/>
      <c r="Q3219" s="125"/>
      <c r="R3219" s="127"/>
      <c r="S3219" s="123"/>
      <c r="T3219" s="3"/>
      <c r="W3219" s="86"/>
      <c r="Y3219" s="75"/>
    </row>
    <row r="3220" spans="1:25" x14ac:dyDescent="0.25">
      <c r="A3220" s="75"/>
      <c r="C3220" s="81"/>
      <c r="D3220" s="81"/>
      <c r="I3220" s="81"/>
      <c r="K3220" s="82"/>
      <c r="L3220" s="123"/>
      <c r="M3220" s="3"/>
      <c r="N3220" s="3"/>
      <c r="O3220" s="3"/>
      <c r="P3220" s="125"/>
      <c r="Q3220" s="125"/>
      <c r="R3220" s="127"/>
      <c r="S3220" s="123"/>
      <c r="T3220" s="3"/>
      <c r="W3220" s="86"/>
      <c r="Y3220" s="75"/>
    </row>
    <row r="3221" spans="1:25" x14ac:dyDescent="0.25">
      <c r="A3221" s="75"/>
      <c r="C3221" s="81"/>
      <c r="D3221" s="81"/>
      <c r="I3221" s="81"/>
      <c r="K3221" s="82"/>
      <c r="L3221" s="123"/>
      <c r="M3221" s="3"/>
      <c r="N3221" s="3"/>
      <c r="O3221" s="3"/>
      <c r="P3221" s="125"/>
      <c r="Q3221" s="125"/>
      <c r="R3221" s="127"/>
      <c r="S3221" s="123"/>
      <c r="T3221" s="3"/>
      <c r="W3221" s="86"/>
      <c r="Y3221" s="75"/>
    </row>
    <row r="3222" spans="1:25" x14ac:dyDescent="0.25">
      <c r="A3222" s="75"/>
      <c r="C3222" s="81"/>
      <c r="D3222" s="81"/>
      <c r="I3222" s="81"/>
      <c r="K3222" s="82"/>
      <c r="L3222" s="123"/>
      <c r="M3222" s="3"/>
      <c r="N3222" s="3"/>
      <c r="O3222" s="3"/>
      <c r="P3222" s="125"/>
      <c r="Q3222" s="125"/>
      <c r="R3222" s="127"/>
      <c r="S3222" s="123"/>
      <c r="T3222" s="3"/>
      <c r="W3222" s="86"/>
      <c r="Y3222" s="75"/>
    </row>
    <row r="3223" spans="1:25" x14ac:dyDescent="0.25">
      <c r="A3223" s="75"/>
      <c r="C3223" s="81"/>
      <c r="D3223" s="81"/>
      <c r="I3223" s="81"/>
      <c r="K3223" s="82"/>
      <c r="L3223" s="123"/>
      <c r="M3223" s="3"/>
      <c r="N3223" s="3"/>
      <c r="O3223" s="3"/>
      <c r="P3223" s="125"/>
      <c r="Q3223" s="125"/>
      <c r="R3223" s="127"/>
      <c r="S3223" s="123"/>
      <c r="T3223" s="3"/>
      <c r="W3223" s="86"/>
      <c r="Y3223" s="75"/>
    </row>
    <row r="3224" spans="1:25" x14ac:dyDescent="0.25">
      <c r="A3224" s="75"/>
      <c r="C3224" s="81"/>
      <c r="D3224" s="81"/>
      <c r="I3224" s="81"/>
      <c r="K3224" s="82"/>
      <c r="L3224" s="123"/>
      <c r="M3224" s="3"/>
      <c r="N3224" s="3"/>
      <c r="O3224" s="3"/>
      <c r="P3224" s="125"/>
      <c r="Q3224" s="125"/>
      <c r="R3224" s="127"/>
      <c r="S3224" s="123"/>
      <c r="T3224" s="3"/>
      <c r="W3224" s="86"/>
      <c r="Y3224" s="75"/>
    </row>
    <row r="3225" spans="1:25" x14ac:dyDescent="0.25">
      <c r="A3225" s="75"/>
      <c r="C3225" s="81"/>
      <c r="D3225" s="81"/>
      <c r="I3225" s="81"/>
      <c r="K3225" s="82"/>
      <c r="L3225" s="123"/>
      <c r="M3225" s="3"/>
      <c r="N3225" s="3"/>
      <c r="O3225" s="3"/>
      <c r="P3225" s="125"/>
      <c r="Q3225" s="125"/>
      <c r="R3225" s="127"/>
      <c r="S3225" s="123"/>
      <c r="T3225" s="3"/>
      <c r="W3225" s="86"/>
      <c r="Y3225" s="75"/>
    </row>
    <row r="3226" spans="1:25" x14ac:dyDescent="0.25">
      <c r="A3226" s="75"/>
      <c r="C3226" s="81"/>
      <c r="D3226" s="81"/>
      <c r="I3226" s="81"/>
      <c r="K3226" s="82"/>
      <c r="L3226" s="123"/>
      <c r="M3226" s="3"/>
      <c r="N3226" s="3"/>
      <c r="O3226" s="3"/>
      <c r="P3226" s="125"/>
      <c r="Q3226" s="125"/>
      <c r="R3226" s="127"/>
      <c r="S3226" s="123"/>
      <c r="T3226" s="3"/>
      <c r="W3226" s="86"/>
      <c r="Y3226" s="75"/>
    </row>
    <row r="3227" spans="1:25" x14ac:dyDescent="0.25">
      <c r="A3227" s="75"/>
      <c r="C3227" s="81"/>
      <c r="D3227" s="81"/>
      <c r="I3227" s="81"/>
      <c r="K3227" s="82"/>
      <c r="L3227" s="123"/>
      <c r="M3227" s="3"/>
      <c r="N3227" s="3"/>
      <c r="O3227" s="3"/>
      <c r="P3227" s="125"/>
      <c r="Q3227" s="125"/>
      <c r="R3227" s="127"/>
      <c r="S3227" s="123"/>
      <c r="T3227" s="3"/>
      <c r="W3227" s="86"/>
      <c r="Y3227" s="75"/>
    </row>
    <row r="3228" spans="1:25" x14ac:dyDescent="0.25">
      <c r="A3228" s="75"/>
      <c r="C3228" s="81"/>
      <c r="D3228" s="81"/>
      <c r="I3228" s="81"/>
      <c r="K3228" s="82"/>
      <c r="L3228" s="123"/>
      <c r="M3228" s="3"/>
      <c r="N3228" s="3"/>
      <c r="O3228" s="3"/>
      <c r="P3228" s="125"/>
      <c r="Q3228" s="125"/>
      <c r="R3228" s="127"/>
      <c r="S3228" s="123"/>
      <c r="T3228" s="3"/>
      <c r="W3228" s="86"/>
      <c r="Y3228" s="75"/>
    </row>
    <row r="3229" spans="1:25" x14ac:dyDescent="0.25">
      <c r="A3229" s="75"/>
      <c r="C3229" s="81"/>
      <c r="D3229" s="81"/>
      <c r="I3229" s="81"/>
      <c r="K3229" s="82"/>
      <c r="L3229" s="123"/>
      <c r="M3229" s="3"/>
      <c r="N3229" s="3"/>
      <c r="O3229" s="3"/>
      <c r="P3229" s="125"/>
      <c r="Q3229" s="125"/>
      <c r="R3229" s="127"/>
      <c r="S3229" s="123"/>
      <c r="T3229" s="3"/>
      <c r="W3229" s="86"/>
      <c r="Y3229" s="75"/>
    </row>
    <row r="3230" spans="1:25" x14ac:dyDescent="0.25">
      <c r="A3230" s="75"/>
      <c r="C3230" s="81"/>
      <c r="D3230" s="81"/>
      <c r="I3230" s="81"/>
      <c r="K3230" s="82"/>
      <c r="L3230" s="123"/>
      <c r="M3230" s="3"/>
      <c r="N3230" s="3"/>
      <c r="O3230" s="3"/>
      <c r="P3230" s="125"/>
      <c r="Q3230" s="125"/>
      <c r="R3230" s="127"/>
      <c r="S3230" s="123"/>
      <c r="T3230" s="3"/>
      <c r="W3230" s="86"/>
      <c r="Y3230" s="75"/>
    </row>
    <row r="3231" spans="1:25" x14ac:dyDescent="0.25">
      <c r="A3231" s="75"/>
      <c r="C3231" s="81"/>
      <c r="D3231" s="81"/>
      <c r="I3231" s="81"/>
      <c r="K3231" s="82"/>
      <c r="L3231" s="123"/>
      <c r="M3231" s="3"/>
      <c r="N3231" s="3"/>
      <c r="O3231" s="3"/>
      <c r="P3231" s="125"/>
      <c r="Q3231" s="125"/>
      <c r="R3231" s="127"/>
      <c r="S3231" s="123"/>
      <c r="T3231" s="3"/>
      <c r="W3231" s="86"/>
      <c r="Y3231" s="75"/>
    </row>
    <row r="3232" spans="1:25" x14ac:dyDescent="0.25">
      <c r="A3232" s="75"/>
      <c r="C3232" s="81"/>
      <c r="D3232" s="81"/>
      <c r="I3232" s="81"/>
      <c r="K3232" s="82"/>
      <c r="L3232" s="123"/>
      <c r="M3232" s="3"/>
      <c r="N3232" s="3"/>
      <c r="O3232" s="3"/>
      <c r="P3232" s="125"/>
      <c r="Q3232" s="125"/>
      <c r="R3232" s="127"/>
      <c r="S3232" s="123"/>
      <c r="T3232" s="3"/>
      <c r="W3232" s="86"/>
      <c r="Y3232" s="75"/>
    </row>
    <row r="3233" spans="1:25" x14ac:dyDescent="0.25">
      <c r="A3233" s="75"/>
      <c r="C3233" s="81"/>
      <c r="D3233" s="81"/>
      <c r="I3233" s="81"/>
      <c r="K3233" s="82"/>
      <c r="L3233" s="123"/>
      <c r="M3233" s="3"/>
      <c r="N3233" s="3"/>
      <c r="O3233" s="3"/>
      <c r="P3233" s="125"/>
      <c r="Q3233" s="125"/>
      <c r="R3233" s="127"/>
      <c r="S3233" s="123"/>
      <c r="T3233" s="3"/>
      <c r="W3233" s="86"/>
      <c r="Y3233" s="75"/>
    </row>
    <row r="3234" spans="1:25" x14ac:dyDescent="0.25">
      <c r="A3234" s="75"/>
      <c r="C3234" s="81"/>
      <c r="D3234" s="81"/>
      <c r="I3234" s="81"/>
      <c r="K3234" s="82"/>
      <c r="L3234" s="123"/>
      <c r="M3234" s="3"/>
      <c r="N3234" s="3"/>
      <c r="O3234" s="3"/>
      <c r="P3234" s="125"/>
      <c r="Q3234" s="125"/>
      <c r="R3234" s="127"/>
      <c r="S3234" s="123"/>
      <c r="T3234" s="3"/>
      <c r="W3234" s="86"/>
      <c r="Y3234" s="75"/>
    </row>
    <row r="3235" spans="1:25" x14ac:dyDescent="0.25">
      <c r="A3235" s="75"/>
      <c r="C3235" s="81"/>
      <c r="D3235" s="81"/>
      <c r="I3235" s="81"/>
      <c r="K3235" s="82"/>
      <c r="L3235" s="123"/>
      <c r="M3235" s="3"/>
      <c r="N3235" s="3"/>
      <c r="O3235" s="3"/>
      <c r="P3235" s="125"/>
      <c r="Q3235" s="125"/>
      <c r="R3235" s="127"/>
      <c r="S3235" s="123"/>
      <c r="T3235" s="3"/>
      <c r="W3235" s="86"/>
      <c r="Y3235" s="75"/>
    </row>
    <row r="3236" spans="1:25" x14ac:dyDescent="0.25">
      <c r="A3236" s="75"/>
      <c r="C3236" s="81"/>
      <c r="D3236" s="81"/>
      <c r="I3236" s="81"/>
      <c r="K3236" s="82"/>
      <c r="L3236" s="123"/>
      <c r="M3236" s="3"/>
      <c r="N3236" s="3"/>
      <c r="O3236" s="3"/>
      <c r="P3236" s="125"/>
      <c r="Q3236" s="125"/>
      <c r="R3236" s="127"/>
      <c r="S3236" s="123"/>
      <c r="T3236" s="3"/>
      <c r="W3236" s="86"/>
      <c r="Y3236" s="75"/>
    </row>
    <row r="3237" spans="1:25" x14ac:dyDescent="0.25">
      <c r="A3237" s="75"/>
      <c r="C3237" s="81"/>
      <c r="D3237" s="81"/>
      <c r="I3237" s="81"/>
      <c r="K3237" s="82"/>
      <c r="L3237" s="123"/>
      <c r="M3237" s="3"/>
      <c r="N3237" s="3"/>
      <c r="O3237" s="3"/>
      <c r="P3237" s="125"/>
      <c r="Q3237" s="125"/>
      <c r="R3237" s="127"/>
      <c r="S3237" s="123"/>
      <c r="T3237" s="3"/>
      <c r="W3237" s="86"/>
      <c r="Y3237" s="75"/>
    </row>
    <row r="3238" spans="1:25" x14ac:dyDescent="0.25">
      <c r="A3238" s="75"/>
      <c r="C3238" s="81"/>
      <c r="D3238" s="81"/>
      <c r="I3238" s="81"/>
      <c r="K3238" s="82"/>
      <c r="L3238" s="123"/>
      <c r="M3238" s="3"/>
      <c r="N3238" s="3"/>
      <c r="O3238" s="3"/>
      <c r="P3238" s="125"/>
      <c r="Q3238" s="125"/>
      <c r="R3238" s="127"/>
      <c r="S3238" s="123"/>
      <c r="T3238" s="3"/>
      <c r="W3238" s="86"/>
      <c r="Y3238" s="75"/>
    </row>
    <row r="3239" spans="1:25" x14ac:dyDescent="0.25">
      <c r="A3239" s="75"/>
      <c r="C3239" s="81"/>
      <c r="D3239" s="81"/>
      <c r="I3239" s="81"/>
      <c r="K3239" s="82"/>
      <c r="L3239" s="123"/>
      <c r="M3239" s="3"/>
      <c r="N3239" s="3"/>
      <c r="O3239" s="3"/>
      <c r="P3239" s="125"/>
      <c r="Q3239" s="125"/>
      <c r="R3239" s="127"/>
      <c r="S3239" s="123"/>
      <c r="T3239" s="3"/>
      <c r="W3239" s="86"/>
      <c r="Y3239" s="75"/>
    </row>
    <row r="3240" spans="1:25" x14ac:dyDescent="0.25">
      <c r="A3240" s="75"/>
      <c r="C3240" s="81"/>
      <c r="D3240" s="81"/>
      <c r="I3240" s="81"/>
      <c r="K3240" s="82"/>
      <c r="L3240" s="123"/>
      <c r="M3240" s="3"/>
      <c r="N3240" s="3"/>
      <c r="O3240" s="3"/>
      <c r="P3240" s="125"/>
      <c r="Q3240" s="125"/>
      <c r="R3240" s="127"/>
      <c r="S3240" s="123"/>
      <c r="T3240" s="3"/>
      <c r="W3240" s="86"/>
      <c r="Y3240" s="75"/>
    </row>
    <row r="3241" spans="1:25" x14ac:dyDescent="0.25">
      <c r="A3241" s="75"/>
      <c r="C3241" s="81"/>
      <c r="D3241" s="81"/>
      <c r="I3241" s="81"/>
      <c r="K3241" s="82"/>
      <c r="L3241" s="123"/>
      <c r="M3241" s="3"/>
      <c r="N3241" s="3"/>
      <c r="O3241" s="3"/>
      <c r="P3241" s="125"/>
      <c r="Q3241" s="125"/>
      <c r="R3241" s="127"/>
      <c r="S3241" s="123"/>
      <c r="T3241" s="3"/>
      <c r="W3241" s="86"/>
      <c r="Y3241" s="75"/>
    </row>
    <row r="3242" spans="1:25" x14ac:dyDescent="0.25">
      <c r="A3242" s="75"/>
      <c r="C3242" s="81"/>
      <c r="D3242" s="81"/>
      <c r="I3242" s="81"/>
      <c r="K3242" s="82"/>
      <c r="L3242" s="123"/>
      <c r="M3242" s="3"/>
      <c r="N3242" s="3"/>
      <c r="O3242" s="3"/>
      <c r="P3242" s="125"/>
      <c r="Q3242" s="125"/>
      <c r="R3242" s="127"/>
      <c r="S3242" s="123"/>
      <c r="T3242" s="3"/>
      <c r="W3242" s="86"/>
      <c r="Y3242" s="75"/>
    </row>
    <row r="3243" spans="1:25" x14ac:dyDescent="0.25">
      <c r="A3243" s="75"/>
      <c r="C3243" s="81"/>
      <c r="D3243" s="81"/>
      <c r="I3243" s="81"/>
      <c r="K3243" s="82"/>
      <c r="L3243" s="123"/>
      <c r="M3243" s="3"/>
      <c r="N3243" s="3"/>
      <c r="O3243" s="3"/>
      <c r="P3243" s="125"/>
      <c r="Q3243" s="125"/>
      <c r="R3243" s="127"/>
      <c r="S3243" s="123"/>
      <c r="T3243" s="3"/>
      <c r="W3243" s="86"/>
      <c r="Y3243" s="75"/>
    </row>
    <row r="3244" spans="1:25" x14ac:dyDescent="0.25">
      <c r="A3244" s="75"/>
      <c r="C3244" s="81"/>
      <c r="D3244" s="81"/>
      <c r="I3244" s="81"/>
      <c r="K3244" s="82"/>
      <c r="L3244" s="123"/>
      <c r="M3244" s="3"/>
      <c r="N3244" s="3"/>
      <c r="O3244" s="3"/>
      <c r="P3244" s="125"/>
      <c r="Q3244" s="125"/>
      <c r="R3244" s="127"/>
      <c r="S3244" s="123"/>
      <c r="T3244" s="3"/>
      <c r="W3244" s="86"/>
      <c r="Y3244" s="75"/>
    </row>
    <row r="3245" spans="1:25" x14ac:dyDescent="0.25">
      <c r="A3245" s="75"/>
      <c r="C3245" s="81"/>
      <c r="D3245" s="81"/>
      <c r="I3245" s="81"/>
      <c r="K3245" s="82"/>
      <c r="L3245" s="123"/>
      <c r="M3245" s="3"/>
      <c r="N3245" s="3"/>
      <c r="O3245" s="3"/>
      <c r="P3245" s="125"/>
      <c r="Q3245" s="125"/>
      <c r="R3245" s="127"/>
      <c r="S3245" s="123"/>
      <c r="T3245" s="3"/>
      <c r="W3245" s="86"/>
      <c r="Y3245" s="75"/>
    </row>
    <row r="3246" spans="1:25" x14ac:dyDescent="0.25">
      <c r="A3246" s="75"/>
      <c r="C3246" s="81"/>
      <c r="D3246" s="81"/>
      <c r="I3246" s="81"/>
      <c r="K3246" s="82"/>
      <c r="L3246" s="123"/>
      <c r="M3246" s="3"/>
      <c r="N3246" s="3"/>
      <c r="O3246" s="3"/>
      <c r="P3246" s="125"/>
      <c r="Q3246" s="125"/>
      <c r="R3246" s="127"/>
      <c r="S3246" s="123"/>
      <c r="T3246" s="3"/>
      <c r="W3246" s="86"/>
      <c r="Y3246" s="75"/>
    </row>
    <row r="3247" spans="1:25" x14ac:dyDescent="0.25">
      <c r="A3247" s="75"/>
      <c r="C3247" s="81"/>
      <c r="D3247" s="81"/>
      <c r="I3247" s="81"/>
      <c r="K3247" s="82"/>
      <c r="L3247" s="123"/>
      <c r="M3247" s="3"/>
      <c r="N3247" s="3"/>
      <c r="O3247" s="3"/>
      <c r="P3247" s="125"/>
      <c r="Q3247" s="125"/>
      <c r="R3247" s="127"/>
      <c r="S3247" s="123"/>
      <c r="T3247" s="3"/>
      <c r="W3247" s="86"/>
      <c r="Y3247" s="75"/>
    </row>
    <row r="3248" spans="1:25" x14ac:dyDescent="0.25">
      <c r="A3248" s="75"/>
      <c r="C3248" s="81"/>
      <c r="D3248" s="81"/>
      <c r="I3248" s="81"/>
      <c r="K3248" s="82"/>
      <c r="L3248" s="123"/>
      <c r="M3248" s="3"/>
      <c r="N3248" s="3"/>
      <c r="O3248" s="3"/>
      <c r="P3248" s="125"/>
      <c r="Q3248" s="125"/>
      <c r="R3248" s="127"/>
      <c r="S3248" s="123"/>
      <c r="T3248" s="3"/>
      <c r="W3248" s="86"/>
      <c r="Y3248" s="75"/>
    </row>
    <row r="3249" spans="1:25" x14ac:dyDescent="0.25">
      <c r="A3249" s="75"/>
      <c r="C3249" s="81"/>
      <c r="D3249" s="81"/>
      <c r="I3249" s="81"/>
      <c r="K3249" s="82"/>
      <c r="L3249" s="123"/>
      <c r="M3249" s="3"/>
      <c r="N3249" s="3"/>
      <c r="O3249" s="3"/>
      <c r="P3249" s="125"/>
      <c r="Q3249" s="125"/>
      <c r="R3249" s="127"/>
      <c r="S3249" s="123"/>
      <c r="T3249" s="3"/>
      <c r="W3249" s="86"/>
      <c r="Y3249" s="75"/>
    </row>
    <row r="3250" spans="1:25" x14ac:dyDescent="0.25">
      <c r="A3250" s="75"/>
      <c r="C3250" s="81"/>
      <c r="D3250" s="81"/>
      <c r="I3250" s="81"/>
      <c r="K3250" s="82"/>
      <c r="L3250" s="123"/>
      <c r="M3250" s="3"/>
      <c r="N3250" s="3"/>
      <c r="O3250" s="3"/>
      <c r="P3250" s="125"/>
      <c r="Q3250" s="125"/>
      <c r="R3250" s="127"/>
      <c r="S3250" s="123"/>
      <c r="T3250" s="3"/>
      <c r="W3250" s="86"/>
      <c r="Y3250" s="75"/>
    </row>
    <row r="3251" spans="1:25" x14ac:dyDescent="0.25">
      <c r="A3251" s="75"/>
      <c r="C3251" s="81"/>
      <c r="D3251" s="81"/>
      <c r="I3251" s="81"/>
      <c r="K3251" s="82"/>
      <c r="L3251" s="123"/>
      <c r="M3251" s="3"/>
      <c r="N3251" s="3"/>
      <c r="O3251" s="3"/>
      <c r="P3251" s="125"/>
      <c r="Q3251" s="125"/>
      <c r="R3251" s="127"/>
      <c r="S3251" s="123"/>
      <c r="T3251" s="3"/>
      <c r="W3251" s="86"/>
      <c r="Y3251" s="75"/>
    </row>
    <row r="3252" spans="1:25" x14ac:dyDescent="0.25">
      <c r="A3252" s="75"/>
      <c r="C3252" s="81"/>
      <c r="D3252" s="81"/>
      <c r="I3252" s="81"/>
      <c r="K3252" s="82"/>
      <c r="L3252" s="123"/>
      <c r="M3252" s="3"/>
      <c r="N3252" s="3"/>
      <c r="O3252" s="3"/>
      <c r="P3252" s="125"/>
      <c r="Q3252" s="125"/>
      <c r="R3252" s="127"/>
      <c r="S3252" s="123"/>
      <c r="T3252" s="3"/>
      <c r="W3252" s="86"/>
      <c r="Y3252" s="75"/>
    </row>
    <row r="3253" spans="1:25" x14ac:dyDescent="0.25">
      <c r="A3253" s="75"/>
      <c r="C3253" s="81"/>
      <c r="D3253" s="81"/>
      <c r="I3253" s="81"/>
      <c r="K3253" s="82"/>
      <c r="L3253" s="123"/>
      <c r="M3253" s="3"/>
      <c r="N3253" s="3"/>
      <c r="O3253" s="3"/>
      <c r="P3253" s="125"/>
      <c r="Q3253" s="125"/>
      <c r="R3253" s="127"/>
      <c r="S3253" s="123"/>
      <c r="T3253" s="3"/>
      <c r="W3253" s="86"/>
      <c r="Y3253" s="75"/>
    </row>
    <row r="3254" spans="1:25" x14ac:dyDescent="0.25">
      <c r="A3254" s="75"/>
      <c r="C3254" s="81"/>
      <c r="D3254" s="81"/>
      <c r="I3254" s="81"/>
      <c r="K3254" s="82"/>
      <c r="L3254" s="123"/>
      <c r="M3254" s="3"/>
      <c r="N3254" s="3"/>
      <c r="O3254" s="3"/>
      <c r="P3254" s="125"/>
      <c r="Q3254" s="125"/>
      <c r="R3254" s="127"/>
      <c r="S3254" s="123"/>
      <c r="T3254" s="3"/>
      <c r="W3254" s="86"/>
      <c r="Y3254" s="75"/>
    </row>
    <row r="3255" spans="1:25" x14ac:dyDescent="0.25">
      <c r="A3255" s="75"/>
      <c r="C3255" s="81"/>
      <c r="D3255" s="81"/>
      <c r="I3255" s="81"/>
      <c r="K3255" s="82"/>
      <c r="L3255" s="123"/>
      <c r="M3255" s="3"/>
      <c r="N3255" s="3"/>
      <c r="O3255" s="3"/>
      <c r="P3255" s="125"/>
      <c r="Q3255" s="125"/>
      <c r="R3255" s="127"/>
      <c r="S3255" s="123"/>
      <c r="T3255" s="3"/>
      <c r="W3255" s="86"/>
      <c r="Y3255" s="75"/>
    </row>
    <row r="3256" spans="1:25" x14ac:dyDescent="0.25">
      <c r="A3256" s="75"/>
      <c r="C3256" s="81"/>
      <c r="D3256" s="81"/>
      <c r="I3256" s="81"/>
      <c r="K3256" s="82"/>
      <c r="L3256" s="123"/>
      <c r="M3256" s="3"/>
      <c r="N3256" s="3"/>
      <c r="O3256" s="3"/>
      <c r="P3256" s="125"/>
      <c r="Q3256" s="125"/>
      <c r="R3256" s="127"/>
      <c r="S3256" s="123"/>
      <c r="T3256" s="3"/>
      <c r="W3256" s="86"/>
      <c r="Y3256" s="75"/>
    </row>
    <row r="3257" spans="1:25" x14ac:dyDescent="0.25">
      <c r="A3257" s="75"/>
      <c r="C3257" s="81"/>
      <c r="D3257" s="81"/>
      <c r="I3257" s="81"/>
      <c r="K3257" s="82"/>
      <c r="L3257" s="123"/>
      <c r="M3257" s="3"/>
      <c r="N3257" s="3"/>
      <c r="O3257" s="3"/>
      <c r="P3257" s="125"/>
      <c r="Q3257" s="125"/>
      <c r="R3257" s="127"/>
      <c r="S3257" s="123"/>
      <c r="T3257" s="3"/>
      <c r="W3257" s="86"/>
      <c r="Y3257" s="75"/>
    </row>
    <row r="3258" spans="1:25" x14ac:dyDescent="0.25">
      <c r="A3258" s="75"/>
      <c r="C3258" s="81"/>
      <c r="D3258" s="81"/>
      <c r="I3258" s="81"/>
      <c r="K3258" s="82"/>
      <c r="L3258" s="123"/>
      <c r="M3258" s="3"/>
      <c r="N3258" s="3"/>
      <c r="O3258" s="3"/>
      <c r="P3258" s="125"/>
      <c r="Q3258" s="125"/>
      <c r="R3258" s="127"/>
      <c r="S3258" s="123"/>
      <c r="T3258" s="3"/>
      <c r="W3258" s="86"/>
      <c r="Y3258" s="75"/>
    </row>
    <row r="3259" spans="1:25" x14ac:dyDescent="0.25">
      <c r="A3259" s="75"/>
      <c r="C3259" s="81"/>
      <c r="D3259" s="81"/>
      <c r="I3259" s="81"/>
      <c r="K3259" s="82"/>
      <c r="L3259" s="123"/>
      <c r="M3259" s="3"/>
      <c r="N3259" s="3"/>
      <c r="O3259" s="3"/>
      <c r="P3259" s="125"/>
      <c r="Q3259" s="125"/>
      <c r="R3259" s="127"/>
      <c r="S3259" s="123"/>
      <c r="T3259" s="3"/>
      <c r="W3259" s="86"/>
      <c r="Y3259" s="75"/>
    </row>
    <row r="3260" spans="1:25" x14ac:dyDescent="0.25">
      <c r="A3260" s="75"/>
      <c r="C3260" s="81"/>
      <c r="D3260" s="81"/>
      <c r="I3260" s="81"/>
      <c r="K3260" s="82"/>
      <c r="L3260" s="123"/>
      <c r="M3260" s="3"/>
      <c r="N3260" s="3"/>
      <c r="O3260" s="3"/>
      <c r="P3260" s="125"/>
      <c r="Q3260" s="125"/>
      <c r="R3260" s="127"/>
      <c r="S3260" s="123"/>
      <c r="T3260" s="3"/>
      <c r="W3260" s="86"/>
      <c r="Y3260" s="75"/>
    </row>
    <row r="3261" spans="1:25" x14ac:dyDescent="0.25">
      <c r="A3261" s="75"/>
      <c r="C3261" s="81"/>
      <c r="D3261" s="81"/>
      <c r="I3261" s="81"/>
      <c r="K3261" s="82"/>
      <c r="L3261" s="123"/>
      <c r="M3261" s="3"/>
      <c r="N3261" s="3"/>
      <c r="O3261" s="3"/>
      <c r="P3261" s="125"/>
      <c r="Q3261" s="125"/>
      <c r="R3261" s="127"/>
      <c r="S3261" s="123"/>
      <c r="T3261" s="3"/>
      <c r="W3261" s="86"/>
      <c r="Y3261" s="75"/>
    </row>
    <row r="3262" spans="1:25" x14ac:dyDescent="0.25">
      <c r="A3262" s="75"/>
      <c r="C3262" s="81"/>
      <c r="D3262" s="81"/>
      <c r="I3262" s="81"/>
      <c r="K3262" s="82"/>
      <c r="L3262" s="123"/>
      <c r="M3262" s="3"/>
      <c r="N3262" s="3"/>
      <c r="O3262" s="3"/>
      <c r="P3262" s="125"/>
      <c r="Q3262" s="125"/>
      <c r="R3262" s="127"/>
      <c r="S3262" s="123"/>
      <c r="T3262" s="3"/>
      <c r="W3262" s="86"/>
      <c r="Y3262" s="75"/>
    </row>
    <row r="3263" spans="1:25" x14ac:dyDescent="0.25">
      <c r="A3263" s="75"/>
      <c r="C3263" s="81"/>
      <c r="D3263" s="81"/>
      <c r="I3263" s="81"/>
      <c r="K3263" s="82"/>
      <c r="L3263" s="123"/>
      <c r="M3263" s="3"/>
      <c r="N3263" s="3"/>
      <c r="O3263" s="3"/>
      <c r="P3263" s="125"/>
      <c r="Q3263" s="125"/>
      <c r="R3263" s="127"/>
      <c r="S3263" s="123"/>
      <c r="T3263" s="3"/>
      <c r="W3263" s="86"/>
      <c r="Y3263" s="75"/>
    </row>
    <row r="3264" spans="1:25" x14ac:dyDescent="0.25">
      <c r="A3264" s="75"/>
      <c r="C3264" s="81"/>
      <c r="D3264" s="81"/>
      <c r="I3264" s="81"/>
      <c r="K3264" s="82"/>
      <c r="L3264" s="123"/>
      <c r="M3264" s="3"/>
      <c r="N3264" s="3"/>
      <c r="O3264" s="3"/>
      <c r="P3264" s="125"/>
      <c r="Q3264" s="125"/>
      <c r="R3264" s="127"/>
      <c r="S3264" s="123"/>
      <c r="T3264" s="3"/>
      <c r="W3264" s="86"/>
      <c r="Y3264" s="75"/>
    </row>
    <row r="3265" spans="1:25" x14ac:dyDescent="0.25">
      <c r="A3265" s="75"/>
      <c r="C3265" s="81"/>
      <c r="D3265" s="81"/>
      <c r="I3265" s="81"/>
      <c r="K3265" s="82"/>
      <c r="L3265" s="123"/>
      <c r="M3265" s="3"/>
      <c r="N3265" s="3"/>
      <c r="O3265" s="3"/>
      <c r="P3265" s="125"/>
      <c r="Q3265" s="125"/>
      <c r="R3265" s="127"/>
      <c r="S3265" s="123"/>
      <c r="T3265" s="3"/>
      <c r="W3265" s="86"/>
      <c r="Y3265" s="75"/>
    </row>
    <row r="3266" spans="1:25" x14ac:dyDescent="0.25">
      <c r="A3266" s="75"/>
      <c r="C3266" s="81"/>
      <c r="D3266" s="81"/>
      <c r="I3266" s="81"/>
      <c r="K3266" s="82"/>
      <c r="L3266" s="123"/>
      <c r="M3266" s="3"/>
      <c r="N3266" s="3"/>
      <c r="O3266" s="3"/>
      <c r="P3266" s="125"/>
      <c r="Q3266" s="125"/>
      <c r="R3266" s="127"/>
      <c r="S3266" s="123"/>
      <c r="T3266" s="3"/>
      <c r="W3266" s="86"/>
      <c r="Y3266" s="75"/>
    </row>
    <row r="3267" spans="1:25" x14ac:dyDescent="0.25">
      <c r="A3267" s="75"/>
      <c r="C3267" s="81"/>
      <c r="D3267" s="81"/>
      <c r="I3267" s="81"/>
      <c r="K3267" s="82"/>
      <c r="L3267" s="123"/>
      <c r="M3267" s="3"/>
      <c r="N3267" s="3"/>
      <c r="O3267" s="3"/>
      <c r="P3267" s="125"/>
      <c r="Q3267" s="125"/>
      <c r="R3267" s="127"/>
      <c r="S3267" s="123"/>
      <c r="T3267" s="3"/>
      <c r="W3267" s="86"/>
      <c r="Y3267" s="75"/>
    </row>
    <row r="3268" spans="1:25" x14ac:dyDescent="0.25">
      <c r="A3268" s="75"/>
      <c r="C3268" s="81"/>
      <c r="D3268" s="81"/>
      <c r="I3268" s="81"/>
      <c r="K3268" s="82"/>
      <c r="L3268" s="123"/>
      <c r="M3268" s="3"/>
      <c r="N3268" s="3"/>
      <c r="O3268" s="3"/>
      <c r="P3268" s="125"/>
      <c r="Q3268" s="125"/>
      <c r="R3268" s="127"/>
      <c r="S3268" s="123"/>
      <c r="T3268" s="3"/>
      <c r="W3268" s="86"/>
      <c r="Y3268" s="75"/>
    </row>
    <row r="3269" spans="1:25" x14ac:dyDescent="0.25">
      <c r="A3269" s="75"/>
      <c r="C3269" s="81"/>
      <c r="D3269" s="81"/>
      <c r="I3269" s="81"/>
      <c r="K3269" s="82"/>
      <c r="L3269" s="123"/>
      <c r="M3269" s="3"/>
      <c r="N3269" s="3"/>
      <c r="O3269" s="3"/>
      <c r="P3269" s="125"/>
      <c r="Q3269" s="125"/>
      <c r="R3269" s="127"/>
      <c r="S3269" s="123"/>
      <c r="T3269" s="3"/>
      <c r="W3269" s="86"/>
      <c r="Y3269" s="75"/>
    </row>
    <row r="3270" spans="1:25" x14ac:dyDescent="0.25">
      <c r="A3270" s="75"/>
      <c r="C3270" s="81"/>
      <c r="D3270" s="81"/>
      <c r="I3270" s="81"/>
      <c r="K3270" s="82"/>
      <c r="L3270" s="123"/>
      <c r="M3270" s="3"/>
      <c r="N3270" s="3"/>
      <c r="O3270" s="3"/>
      <c r="P3270" s="125"/>
      <c r="Q3270" s="125"/>
      <c r="R3270" s="127"/>
      <c r="S3270" s="123"/>
      <c r="T3270" s="3"/>
      <c r="W3270" s="86"/>
      <c r="Y3270" s="75"/>
    </row>
    <row r="3271" spans="1:25" x14ac:dyDescent="0.25">
      <c r="A3271" s="75"/>
      <c r="C3271" s="81"/>
      <c r="D3271" s="81"/>
      <c r="I3271" s="81"/>
      <c r="K3271" s="82"/>
      <c r="L3271" s="123"/>
      <c r="M3271" s="3"/>
      <c r="N3271" s="3"/>
      <c r="O3271" s="3"/>
      <c r="P3271" s="125"/>
      <c r="Q3271" s="125"/>
      <c r="R3271" s="127"/>
      <c r="S3271" s="123"/>
      <c r="T3271" s="3"/>
      <c r="W3271" s="86"/>
      <c r="Y3271" s="75"/>
    </row>
    <row r="3272" spans="1:25" x14ac:dyDescent="0.25">
      <c r="A3272" s="75"/>
      <c r="C3272" s="81"/>
      <c r="D3272" s="81"/>
      <c r="I3272" s="81"/>
      <c r="K3272" s="82"/>
      <c r="L3272" s="123"/>
      <c r="M3272" s="3"/>
      <c r="N3272" s="3"/>
      <c r="O3272" s="3"/>
      <c r="P3272" s="125"/>
      <c r="Q3272" s="125"/>
      <c r="R3272" s="127"/>
      <c r="S3272" s="123"/>
      <c r="T3272" s="3"/>
      <c r="W3272" s="86"/>
      <c r="Y3272" s="75"/>
    </row>
    <row r="3273" spans="1:25" x14ac:dyDescent="0.25">
      <c r="A3273" s="75"/>
      <c r="C3273" s="81"/>
      <c r="D3273" s="81"/>
      <c r="I3273" s="81"/>
      <c r="K3273" s="82"/>
      <c r="L3273" s="123"/>
      <c r="M3273" s="3"/>
      <c r="N3273" s="3"/>
      <c r="O3273" s="3"/>
      <c r="P3273" s="125"/>
      <c r="Q3273" s="125"/>
      <c r="R3273" s="127"/>
      <c r="S3273" s="123"/>
      <c r="T3273" s="3"/>
      <c r="W3273" s="86"/>
      <c r="Y3273" s="75"/>
    </row>
    <row r="3274" spans="1:25" x14ac:dyDescent="0.25">
      <c r="A3274" s="75"/>
      <c r="C3274" s="81"/>
      <c r="D3274" s="81"/>
      <c r="I3274" s="81"/>
      <c r="K3274" s="82"/>
      <c r="L3274" s="123"/>
      <c r="M3274" s="3"/>
      <c r="N3274" s="3"/>
      <c r="O3274" s="3"/>
      <c r="P3274" s="125"/>
      <c r="Q3274" s="125"/>
      <c r="R3274" s="127"/>
      <c r="S3274" s="123"/>
      <c r="T3274" s="3"/>
      <c r="W3274" s="86"/>
      <c r="Y3274" s="75"/>
    </row>
    <row r="3275" spans="1:25" x14ac:dyDescent="0.25">
      <c r="A3275" s="75"/>
      <c r="C3275" s="81"/>
      <c r="D3275" s="81"/>
      <c r="I3275" s="81"/>
      <c r="K3275" s="82"/>
      <c r="L3275" s="123"/>
      <c r="M3275" s="3"/>
      <c r="N3275" s="3"/>
      <c r="O3275" s="3"/>
      <c r="P3275" s="125"/>
      <c r="Q3275" s="125"/>
      <c r="R3275" s="127"/>
      <c r="S3275" s="123"/>
      <c r="T3275" s="3"/>
      <c r="W3275" s="86"/>
      <c r="Y3275" s="75"/>
    </row>
    <row r="3276" spans="1:25" x14ac:dyDescent="0.25">
      <c r="A3276" s="75"/>
      <c r="C3276" s="81"/>
      <c r="D3276" s="81"/>
      <c r="I3276" s="81"/>
      <c r="K3276" s="82"/>
      <c r="L3276" s="123"/>
      <c r="M3276" s="3"/>
      <c r="N3276" s="3"/>
      <c r="O3276" s="3"/>
      <c r="P3276" s="125"/>
      <c r="Q3276" s="125"/>
      <c r="R3276" s="127"/>
      <c r="S3276" s="123"/>
      <c r="T3276" s="3"/>
      <c r="W3276" s="86"/>
      <c r="Y3276" s="75"/>
    </row>
    <row r="3277" spans="1:25" x14ac:dyDescent="0.25">
      <c r="A3277" s="75"/>
      <c r="C3277" s="81"/>
      <c r="D3277" s="81"/>
      <c r="I3277" s="81"/>
      <c r="K3277" s="82"/>
      <c r="L3277" s="123"/>
      <c r="M3277" s="3"/>
      <c r="N3277" s="3"/>
      <c r="O3277" s="3"/>
      <c r="P3277" s="125"/>
      <c r="Q3277" s="125"/>
      <c r="R3277" s="127"/>
      <c r="S3277" s="123"/>
      <c r="T3277" s="3"/>
      <c r="W3277" s="86"/>
      <c r="Y3277" s="75"/>
    </row>
    <row r="3278" spans="1:25" x14ac:dyDescent="0.25">
      <c r="A3278" s="75"/>
      <c r="C3278" s="81"/>
      <c r="D3278" s="81"/>
      <c r="I3278" s="81"/>
      <c r="K3278" s="82"/>
      <c r="L3278" s="123"/>
      <c r="M3278" s="3"/>
      <c r="N3278" s="3"/>
      <c r="O3278" s="3"/>
      <c r="P3278" s="125"/>
      <c r="Q3278" s="125"/>
      <c r="R3278" s="127"/>
      <c r="S3278" s="123"/>
      <c r="T3278" s="3"/>
      <c r="W3278" s="86"/>
      <c r="Y3278" s="75"/>
    </row>
    <row r="3279" spans="1:25" x14ac:dyDescent="0.25">
      <c r="A3279" s="75"/>
      <c r="C3279" s="81"/>
      <c r="D3279" s="81"/>
      <c r="I3279" s="81"/>
      <c r="K3279" s="82"/>
      <c r="L3279" s="123"/>
      <c r="M3279" s="3"/>
      <c r="N3279" s="3"/>
      <c r="O3279" s="3"/>
      <c r="P3279" s="125"/>
      <c r="Q3279" s="125"/>
      <c r="R3279" s="127"/>
      <c r="S3279" s="123"/>
      <c r="T3279" s="3"/>
      <c r="W3279" s="86"/>
      <c r="Y3279" s="75"/>
    </row>
    <row r="3280" spans="1:25" x14ac:dyDescent="0.25">
      <c r="A3280" s="75"/>
      <c r="C3280" s="81"/>
      <c r="D3280" s="81"/>
      <c r="I3280" s="81"/>
      <c r="K3280" s="82"/>
      <c r="L3280" s="123"/>
      <c r="M3280" s="3"/>
      <c r="N3280" s="3"/>
      <c r="O3280" s="3"/>
      <c r="P3280" s="125"/>
      <c r="Q3280" s="125"/>
      <c r="R3280" s="127"/>
      <c r="S3280" s="123"/>
      <c r="T3280" s="3"/>
      <c r="W3280" s="86"/>
      <c r="Y3280" s="75"/>
    </row>
    <row r="3281" spans="1:25" x14ac:dyDescent="0.25">
      <c r="A3281" s="75"/>
      <c r="C3281" s="81"/>
      <c r="D3281" s="81"/>
      <c r="I3281" s="81"/>
      <c r="K3281" s="82"/>
      <c r="L3281" s="123"/>
      <c r="M3281" s="3"/>
      <c r="N3281" s="3"/>
      <c r="O3281" s="3"/>
      <c r="P3281" s="125"/>
      <c r="Q3281" s="125"/>
      <c r="R3281" s="127"/>
      <c r="S3281" s="123"/>
      <c r="T3281" s="3"/>
      <c r="W3281" s="86"/>
      <c r="Y3281" s="75"/>
    </row>
    <row r="3282" spans="1:25" x14ac:dyDescent="0.25">
      <c r="A3282" s="75"/>
      <c r="C3282" s="81"/>
      <c r="D3282" s="81"/>
      <c r="I3282" s="81"/>
      <c r="K3282" s="82"/>
      <c r="L3282" s="123"/>
      <c r="M3282" s="3"/>
      <c r="N3282" s="3"/>
      <c r="O3282" s="3"/>
      <c r="P3282" s="125"/>
      <c r="Q3282" s="125"/>
      <c r="R3282" s="127"/>
      <c r="S3282" s="123"/>
      <c r="T3282" s="3"/>
      <c r="W3282" s="86"/>
      <c r="Y3282" s="75"/>
    </row>
    <row r="3283" spans="1:25" x14ac:dyDescent="0.25">
      <c r="A3283" s="75"/>
      <c r="C3283" s="81"/>
      <c r="D3283" s="81"/>
      <c r="I3283" s="81"/>
      <c r="K3283" s="82"/>
      <c r="L3283" s="123"/>
      <c r="M3283" s="3"/>
      <c r="N3283" s="3"/>
      <c r="O3283" s="3"/>
      <c r="P3283" s="125"/>
      <c r="Q3283" s="125"/>
      <c r="R3283" s="127"/>
      <c r="S3283" s="123"/>
      <c r="T3283" s="3"/>
      <c r="W3283" s="86"/>
      <c r="Y3283" s="75"/>
    </row>
    <row r="3284" spans="1:25" x14ac:dyDescent="0.25">
      <c r="A3284" s="75"/>
      <c r="C3284" s="81"/>
      <c r="D3284" s="81"/>
      <c r="I3284" s="81"/>
      <c r="K3284" s="82"/>
      <c r="L3284" s="123"/>
      <c r="M3284" s="3"/>
      <c r="N3284" s="3"/>
      <c r="O3284" s="3"/>
      <c r="P3284" s="125"/>
      <c r="Q3284" s="125"/>
      <c r="R3284" s="127"/>
      <c r="S3284" s="123"/>
      <c r="T3284" s="3"/>
      <c r="W3284" s="86"/>
      <c r="Y3284" s="75"/>
    </row>
    <row r="3285" spans="1:25" x14ac:dyDescent="0.25">
      <c r="A3285" s="75"/>
      <c r="C3285" s="81"/>
      <c r="D3285" s="81"/>
      <c r="I3285" s="81"/>
      <c r="K3285" s="82"/>
      <c r="L3285" s="123"/>
      <c r="M3285" s="3"/>
      <c r="N3285" s="3"/>
      <c r="O3285" s="3"/>
      <c r="P3285" s="125"/>
      <c r="Q3285" s="125"/>
      <c r="R3285" s="127"/>
      <c r="S3285" s="123"/>
      <c r="T3285" s="3"/>
      <c r="W3285" s="86"/>
      <c r="Y3285" s="75"/>
    </row>
    <row r="3286" spans="1:25" x14ac:dyDescent="0.25">
      <c r="A3286" s="75"/>
      <c r="C3286" s="81"/>
      <c r="D3286" s="81"/>
      <c r="I3286" s="81"/>
      <c r="K3286" s="82"/>
      <c r="L3286" s="123"/>
      <c r="M3286" s="3"/>
      <c r="N3286" s="3"/>
      <c r="O3286" s="3"/>
      <c r="P3286" s="125"/>
      <c r="Q3286" s="125"/>
      <c r="R3286" s="127"/>
      <c r="S3286" s="123"/>
      <c r="T3286" s="3"/>
      <c r="W3286" s="86"/>
      <c r="Y3286" s="75"/>
    </row>
    <row r="3287" spans="1:25" x14ac:dyDescent="0.25">
      <c r="A3287" s="75"/>
      <c r="C3287" s="81"/>
      <c r="D3287" s="81"/>
      <c r="I3287" s="81"/>
      <c r="K3287" s="82"/>
      <c r="L3287" s="123"/>
      <c r="M3287" s="3"/>
      <c r="N3287" s="3"/>
      <c r="O3287" s="3"/>
      <c r="P3287" s="125"/>
      <c r="Q3287" s="125"/>
      <c r="R3287" s="127"/>
      <c r="S3287" s="123"/>
      <c r="T3287" s="3"/>
      <c r="W3287" s="86"/>
      <c r="Y3287" s="75"/>
    </row>
    <row r="3288" spans="1:25" x14ac:dyDescent="0.25">
      <c r="A3288" s="75"/>
      <c r="C3288" s="81"/>
      <c r="D3288" s="81"/>
      <c r="I3288" s="81"/>
      <c r="K3288" s="82"/>
      <c r="L3288" s="123"/>
      <c r="M3288" s="3"/>
      <c r="N3288" s="3"/>
      <c r="O3288" s="3"/>
      <c r="P3288" s="125"/>
      <c r="Q3288" s="125"/>
      <c r="R3288" s="127"/>
      <c r="S3288" s="123"/>
      <c r="T3288" s="3"/>
      <c r="W3288" s="86"/>
      <c r="Y3288" s="75"/>
    </row>
    <row r="3289" spans="1:25" x14ac:dyDescent="0.25">
      <c r="A3289" s="75"/>
      <c r="C3289" s="81"/>
      <c r="D3289" s="81"/>
      <c r="I3289" s="81"/>
      <c r="K3289" s="82"/>
      <c r="L3289" s="123"/>
      <c r="M3289" s="3"/>
      <c r="N3289" s="3"/>
      <c r="O3289" s="3"/>
      <c r="P3289" s="125"/>
      <c r="Q3289" s="125"/>
      <c r="R3289" s="127"/>
      <c r="S3289" s="123"/>
      <c r="T3289" s="3"/>
      <c r="W3289" s="86"/>
      <c r="Y3289" s="75"/>
    </row>
    <row r="3290" spans="1:25" x14ac:dyDescent="0.25">
      <c r="A3290" s="75"/>
      <c r="C3290" s="81"/>
      <c r="D3290" s="81"/>
      <c r="I3290" s="81"/>
      <c r="K3290" s="82"/>
      <c r="L3290" s="123"/>
      <c r="M3290" s="3"/>
      <c r="N3290" s="3"/>
      <c r="O3290" s="3"/>
      <c r="P3290" s="125"/>
      <c r="Q3290" s="125"/>
      <c r="R3290" s="127"/>
      <c r="S3290" s="123"/>
      <c r="T3290" s="3"/>
      <c r="W3290" s="86"/>
      <c r="Y3290" s="75"/>
    </row>
    <row r="3291" spans="1:25" x14ac:dyDescent="0.25">
      <c r="A3291" s="75"/>
      <c r="C3291" s="81"/>
      <c r="D3291" s="81"/>
      <c r="I3291" s="81"/>
      <c r="K3291" s="82"/>
      <c r="L3291" s="123"/>
      <c r="M3291" s="3"/>
      <c r="N3291" s="3"/>
      <c r="O3291" s="3"/>
      <c r="P3291" s="125"/>
      <c r="Q3291" s="125"/>
      <c r="R3291" s="127"/>
      <c r="S3291" s="123"/>
      <c r="T3291" s="3"/>
      <c r="W3291" s="86"/>
      <c r="Y3291" s="75"/>
    </row>
    <row r="3292" spans="1:25" x14ac:dyDescent="0.25">
      <c r="A3292" s="75"/>
      <c r="C3292" s="81"/>
      <c r="D3292" s="81"/>
      <c r="I3292" s="81"/>
      <c r="K3292" s="82"/>
      <c r="L3292" s="123"/>
      <c r="M3292" s="3"/>
      <c r="N3292" s="3"/>
      <c r="O3292" s="3"/>
      <c r="P3292" s="125"/>
      <c r="Q3292" s="125"/>
      <c r="R3292" s="127"/>
      <c r="S3292" s="123"/>
      <c r="T3292" s="3"/>
      <c r="W3292" s="86"/>
      <c r="Y3292" s="75"/>
    </row>
    <row r="3293" spans="1:25" x14ac:dyDescent="0.25">
      <c r="A3293" s="75"/>
      <c r="C3293" s="81"/>
      <c r="D3293" s="81"/>
      <c r="I3293" s="81"/>
      <c r="K3293" s="82"/>
      <c r="L3293" s="123"/>
      <c r="M3293" s="3"/>
      <c r="N3293" s="3"/>
      <c r="O3293" s="3"/>
      <c r="P3293" s="125"/>
      <c r="Q3293" s="125"/>
      <c r="R3293" s="127"/>
      <c r="S3293" s="123"/>
      <c r="T3293" s="3"/>
      <c r="W3293" s="86"/>
      <c r="Y3293" s="75"/>
    </row>
    <row r="3294" spans="1:25" x14ac:dyDescent="0.25">
      <c r="A3294" s="75"/>
      <c r="C3294" s="81"/>
      <c r="D3294" s="81"/>
      <c r="I3294" s="81"/>
      <c r="K3294" s="82"/>
      <c r="L3294" s="123"/>
      <c r="M3294" s="3"/>
      <c r="N3294" s="3"/>
      <c r="O3294" s="3"/>
      <c r="P3294" s="125"/>
      <c r="Q3294" s="125"/>
      <c r="R3294" s="127"/>
      <c r="S3294" s="123"/>
      <c r="T3294" s="3"/>
      <c r="W3294" s="86"/>
      <c r="Y3294" s="75"/>
    </row>
    <row r="3295" spans="1:25" x14ac:dyDescent="0.25">
      <c r="A3295" s="75"/>
      <c r="C3295" s="81"/>
      <c r="D3295" s="81"/>
      <c r="I3295" s="81"/>
      <c r="K3295" s="82"/>
      <c r="L3295" s="123"/>
      <c r="M3295" s="3"/>
      <c r="N3295" s="3"/>
      <c r="O3295" s="3"/>
      <c r="P3295" s="125"/>
      <c r="Q3295" s="125"/>
      <c r="R3295" s="127"/>
      <c r="S3295" s="123"/>
      <c r="T3295" s="3"/>
      <c r="W3295" s="86"/>
      <c r="Y3295" s="75"/>
    </row>
    <row r="3296" spans="1:25" x14ac:dyDescent="0.25">
      <c r="A3296" s="75"/>
      <c r="C3296" s="81"/>
      <c r="D3296" s="81"/>
      <c r="I3296" s="81"/>
      <c r="K3296" s="82"/>
      <c r="L3296" s="123"/>
      <c r="M3296" s="3"/>
      <c r="N3296" s="3"/>
      <c r="O3296" s="3"/>
      <c r="P3296" s="125"/>
      <c r="Q3296" s="125"/>
      <c r="R3296" s="127"/>
      <c r="S3296" s="123"/>
      <c r="T3296" s="3"/>
      <c r="W3296" s="86"/>
      <c r="Y3296" s="75"/>
    </row>
    <row r="3297" spans="1:25" x14ac:dyDescent="0.25">
      <c r="A3297" s="75"/>
      <c r="C3297" s="81"/>
      <c r="D3297" s="81"/>
      <c r="I3297" s="81"/>
      <c r="K3297" s="82"/>
      <c r="L3297" s="123"/>
      <c r="M3297" s="3"/>
      <c r="N3297" s="3"/>
      <c r="O3297" s="3"/>
      <c r="P3297" s="125"/>
      <c r="Q3297" s="125"/>
      <c r="R3297" s="127"/>
      <c r="S3297" s="123"/>
      <c r="T3297" s="3"/>
      <c r="W3297" s="86"/>
      <c r="Y3297" s="75"/>
    </row>
    <row r="3298" spans="1:25" x14ac:dyDescent="0.25">
      <c r="A3298" s="75"/>
      <c r="C3298" s="81"/>
      <c r="D3298" s="81"/>
      <c r="I3298" s="81"/>
      <c r="K3298" s="82"/>
      <c r="L3298" s="123"/>
      <c r="M3298" s="3"/>
      <c r="N3298" s="3"/>
      <c r="O3298" s="3"/>
      <c r="P3298" s="125"/>
      <c r="Q3298" s="125"/>
      <c r="R3298" s="127"/>
      <c r="S3298" s="123"/>
      <c r="T3298" s="3"/>
      <c r="W3298" s="86"/>
      <c r="Y3298" s="75"/>
    </row>
    <row r="3299" spans="1:25" x14ac:dyDescent="0.25">
      <c r="A3299" s="75"/>
      <c r="C3299" s="81"/>
      <c r="D3299" s="81"/>
      <c r="I3299" s="81"/>
      <c r="K3299" s="82"/>
      <c r="L3299" s="123"/>
      <c r="M3299" s="3"/>
      <c r="N3299" s="3"/>
      <c r="O3299" s="3"/>
      <c r="P3299" s="125"/>
      <c r="Q3299" s="125"/>
      <c r="R3299" s="127"/>
      <c r="S3299" s="123"/>
      <c r="T3299" s="3"/>
      <c r="W3299" s="86"/>
      <c r="Y3299" s="75"/>
    </row>
    <row r="3300" spans="1:25" x14ac:dyDescent="0.25">
      <c r="A3300" s="75"/>
      <c r="C3300" s="81"/>
      <c r="D3300" s="81"/>
      <c r="I3300" s="81"/>
      <c r="K3300" s="82"/>
      <c r="L3300" s="123"/>
      <c r="M3300" s="3"/>
      <c r="N3300" s="3"/>
      <c r="O3300" s="3"/>
      <c r="P3300" s="125"/>
      <c r="Q3300" s="125"/>
      <c r="R3300" s="127"/>
      <c r="S3300" s="123"/>
      <c r="T3300" s="3"/>
      <c r="W3300" s="86"/>
      <c r="Y3300" s="75"/>
    </row>
    <row r="3301" spans="1:25" x14ac:dyDescent="0.25">
      <c r="A3301" s="75"/>
      <c r="C3301" s="81"/>
      <c r="D3301" s="81"/>
      <c r="I3301" s="81"/>
      <c r="K3301" s="82"/>
      <c r="L3301" s="123"/>
      <c r="M3301" s="3"/>
      <c r="N3301" s="3"/>
      <c r="O3301" s="3"/>
      <c r="P3301" s="125"/>
      <c r="Q3301" s="125"/>
      <c r="R3301" s="127"/>
      <c r="S3301" s="123"/>
      <c r="T3301" s="3"/>
      <c r="W3301" s="86"/>
      <c r="Y3301" s="75"/>
    </row>
    <row r="3302" spans="1:25" x14ac:dyDescent="0.25">
      <c r="A3302" s="75"/>
      <c r="C3302" s="81"/>
      <c r="D3302" s="81"/>
      <c r="I3302" s="81"/>
      <c r="K3302" s="82"/>
      <c r="L3302" s="123"/>
      <c r="M3302" s="3"/>
      <c r="N3302" s="3"/>
      <c r="O3302" s="3"/>
      <c r="P3302" s="125"/>
      <c r="Q3302" s="125"/>
      <c r="R3302" s="127"/>
      <c r="S3302" s="123"/>
      <c r="T3302" s="3"/>
      <c r="W3302" s="86"/>
      <c r="Y3302" s="75"/>
    </row>
    <row r="3303" spans="1:25" x14ac:dyDescent="0.25">
      <c r="A3303" s="75"/>
      <c r="C3303" s="81"/>
      <c r="D3303" s="81"/>
      <c r="I3303" s="81"/>
      <c r="K3303" s="82"/>
      <c r="L3303" s="123"/>
      <c r="M3303" s="3"/>
      <c r="N3303" s="3"/>
      <c r="O3303" s="3"/>
      <c r="P3303" s="125"/>
      <c r="Q3303" s="125"/>
      <c r="R3303" s="127"/>
      <c r="S3303" s="123"/>
      <c r="T3303" s="3"/>
      <c r="W3303" s="86"/>
      <c r="Y3303" s="75"/>
    </row>
    <row r="3304" spans="1:25" x14ac:dyDescent="0.25">
      <c r="A3304" s="75"/>
      <c r="C3304" s="81"/>
      <c r="D3304" s="81"/>
      <c r="I3304" s="81"/>
      <c r="K3304" s="82"/>
      <c r="L3304" s="123"/>
      <c r="M3304" s="3"/>
      <c r="N3304" s="3"/>
      <c r="O3304" s="3"/>
      <c r="P3304" s="125"/>
      <c r="Q3304" s="125"/>
      <c r="R3304" s="127"/>
      <c r="S3304" s="123"/>
      <c r="T3304" s="3"/>
      <c r="W3304" s="86"/>
      <c r="Y3304" s="75"/>
    </row>
    <row r="3305" spans="1:25" x14ac:dyDescent="0.25">
      <c r="A3305" s="75"/>
      <c r="C3305" s="81"/>
      <c r="D3305" s="81"/>
      <c r="I3305" s="81"/>
      <c r="K3305" s="82"/>
      <c r="L3305" s="123"/>
      <c r="M3305" s="3"/>
      <c r="N3305" s="3"/>
      <c r="O3305" s="3"/>
      <c r="P3305" s="125"/>
      <c r="Q3305" s="125"/>
      <c r="R3305" s="127"/>
      <c r="S3305" s="123"/>
      <c r="T3305" s="3"/>
      <c r="W3305" s="86"/>
      <c r="Y3305" s="75"/>
    </row>
    <row r="3306" spans="1:25" x14ac:dyDescent="0.25">
      <c r="A3306" s="75"/>
      <c r="C3306" s="81"/>
      <c r="D3306" s="81"/>
      <c r="I3306" s="81"/>
      <c r="K3306" s="82"/>
      <c r="L3306" s="123"/>
      <c r="M3306" s="3"/>
      <c r="N3306" s="3"/>
      <c r="O3306" s="3"/>
      <c r="P3306" s="125"/>
      <c r="Q3306" s="125"/>
      <c r="R3306" s="127"/>
      <c r="S3306" s="123"/>
      <c r="T3306" s="3"/>
      <c r="W3306" s="86"/>
      <c r="Y3306" s="75"/>
    </row>
    <row r="3307" spans="1:25" x14ac:dyDescent="0.25">
      <c r="A3307" s="75"/>
      <c r="C3307" s="81"/>
      <c r="D3307" s="81"/>
      <c r="I3307" s="81"/>
      <c r="K3307" s="82"/>
      <c r="L3307" s="123"/>
      <c r="M3307" s="3"/>
      <c r="N3307" s="3"/>
      <c r="O3307" s="3"/>
      <c r="P3307" s="125"/>
      <c r="Q3307" s="125"/>
      <c r="R3307" s="127"/>
      <c r="S3307" s="123"/>
      <c r="T3307" s="3"/>
      <c r="W3307" s="86"/>
      <c r="Y3307" s="75"/>
    </row>
    <row r="3308" spans="1:25" x14ac:dyDescent="0.25">
      <c r="A3308" s="75"/>
      <c r="C3308" s="81"/>
      <c r="D3308" s="81"/>
      <c r="I3308" s="81"/>
      <c r="K3308" s="82"/>
      <c r="L3308" s="123"/>
      <c r="M3308" s="3"/>
      <c r="N3308" s="3"/>
      <c r="O3308" s="3"/>
      <c r="P3308" s="125"/>
      <c r="Q3308" s="125"/>
      <c r="R3308" s="127"/>
      <c r="S3308" s="123"/>
      <c r="T3308" s="3"/>
      <c r="W3308" s="86"/>
      <c r="Y3308" s="75"/>
    </row>
    <row r="3309" spans="1:25" x14ac:dyDescent="0.25">
      <c r="A3309" s="75"/>
      <c r="C3309" s="81"/>
      <c r="D3309" s="81"/>
      <c r="I3309" s="81"/>
      <c r="K3309" s="82"/>
      <c r="L3309" s="123"/>
      <c r="M3309" s="3"/>
      <c r="N3309" s="3"/>
      <c r="O3309" s="3"/>
      <c r="P3309" s="125"/>
      <c r="Q3309" s="125"/>
      <c r="R3309" s="127"/>
      <c r="S3309" s="123"/>
      <c r="T3309" s="3"/>
      <c r="W3309" s="86"/>
      <c r="Y3309" s="75"/>
    </row>
    <row r="3310" spans="1:25" x14ac:dyDescent="0.25">
      <c r="A3310" s="75"/>
      <c r="C3310" s="81"/>
      <c r="D3310" s="81"/>
      <c r="I3310" s="81"/>
      <c r="K3310" s="82"/>
      <c r="L3310" s="123"/>
      <c r="M3310" s="3"/>
      <c r="N3310" s="3"/>
      <c r="O3310" s="3"/>
      <c r="P3310" s="125"/>
      <c r="Q3310" s="125"/>
      <c r="R3310" s="127"/>
      <c r="S3310" s="123"/>
      <c r="T3310" s="3"/>
      <c r="W3310" s="86"/>
      <c r="Y3310" s="75"/>
    </row>
    <row r="3311" spans="1:25" x14ac:dyDescent="0.25">
      <c r="A3311" s="75"/>
      <c r="C3311" s="81"/>
      <c r="D3311" s="81"/>
      <c r="I3311" s="81"/>
      <c r="K3311" s="82"/>
      <c r="L3311" s="123"/>
      <c r="M3311" s="3"/>
      <c r="N3311" s="3"/>
      <c r="O3311" s="3"/>
      <c r="P3311" s="125"/>
      <c r="Q3311" s="125"/>
      <c r="R3311" s="127"/>
      <c r="S3311" s="123"/>
      <c r="T3311" s="3"/>
      <c r="W3311" s="86"/>
      <c r="Y3311" s="75"/>
    </row>
    <row r="3312" spans="1:25" x14ac:dyDescent="0.25">
      <c r="A3312" s="75"/>
      <c r="C3312" s="81"/>
      <c r="D3312" s="81"/>
      <c r="I3312" s="81"/>
      <c r="K3312" s="82"/>
      <c r="L3312" s="123"/>
      <c r="M3312" s="3"/>
      <c r="N3312" s="3"/>
      <c r="O3312" s="3"/>
      <c r="P3312" s="125"/>
      <c r="Q3312" s="125"/>
      <c r="R3312" s="127"/>
      <c r="S3312" s="123"/>
      <c r="T3312" s="3"/>
      <c r="W3312" s="86"/>
      <c r="Y3312" s="75"/>
    </row>
    <row r="3313" spans="1:25" x14ac:dyDescent="0.25">
      <c r="A3313" s="75"/>
      <c r="C3313" s="81"/>
      <c r="D3313" s="81"/>
      <c r="I3313" s="81"/>
      <c r="K3313" s="82"/>
      <c r="L3313" s="123"/>
      <c r="M3313" s="3"/>
      <c r="N3313" s="3"/>
      <c r="O3313" s="3"/>
      <c r="P3313" s="125"/>
      <c r="Q3313" s="125"/>
      <c r="R3313" s="127"/>
      <c r="S3313" s="123"/>
      <c r="T3313" s="3"/>
      <c r="W3313" s="86"/>
      <c r="Y3313" s="75"/>
    </row>
    <row r="3314" spans="1:25" x14ac:dyDescent="0.25">
      <c r="A3314" s="75"/>
      <c r="C3314" s="81"/>
      <c r="D3314" s="81"/>
      <c r="I3314" s="81"/>
      <c r="K3314" s="82"/>
      <c r="L3314" s="123"/>
      <c r="M3314" s="3"/>
      <c r="N3314" s="3"/>
      <c r="O3314" s="3"/>
      <c r="P3314" s="125"/>
      <c r="Q3314" s="125"/>
      <c r="R3314" s="127"/>
      <c r="S3314" s="123"/>
      <c r="T3314" s="3"/>
      <c r="W3314" s="86"/>
      <c r="Y3314" s="75"/>
    </row>
    <row r="3315" spans="1:25" x14ac:dyDescent="0.25">
      <c r="A3315" s="75"/>
      <c r="C3315" s="81"/>
      <c r="D3315" s="81"/>
      <c r="I3315" s="81"/>
      <c r="K3315" s="82"/>
      <c r="L3315" s="123"/>
      <c r="M3315" s="3"/>
      <c r="N3315" s="3"/>
      <c r="O3315" s="3"/>
      <c r="P3315" s="125"/>
      <c r="Q3315" s="125"/>
      <c r="R3315" s="127"/>
      <c r="S3315" s="123"/>
      <c r="T3315" s="3"/>
      <c r="W3315" s="86"/>
      <c r="Y3315" s="75"/>
    </row>
    <row r="3316" spans="1:25" x14ac:dyDescent="0.25">
      <c r="A3316" s="75"/>
      <c r="C3316" s="81"/>
      <c r="D3316" s="81"/>
      <c r="I3316" s="81"/>
      <c r="K3316" s="82"/>
      <c r="L3316" s="123"/>
      <c r="M3316" s="3"/>
      <c r="N3316" s="3"/>
      <c r="O3316" s="3"/>
      <c r="P3316" s="125"/>
      <c r="Q3316" s="125"/>
      <c r="R3316" s="127"/>
      <c r="S3316" s="123"/>
      <c r="T3316" s="3"/>
      <c r="W3316" s="86"/>
      <c r="Y3316" s="75"/>
    </row>
    <row r="3317" spans="1:25" x14ac:dyDescent="0.25">
      <c r="A3317" s="75"/>
      <c r="C3317" s="81"/>
      <c r="D3317" s="81"/>
      <c r="I3317" s="81"/>
      <c r="K3317" s="82"/>
      <c r="L3317" s="123"/>
      <c r="M3317" s="3"/>
      <c r="N3317" s="3"/>
      <c r="O3317" s="3"/>
      <c r="P3317" s="125"/>
      <c r="Q3317" s="125"/>
      <c r="R3317" s="127"/>
      <c r="S3317" s="123"/>
      <c r="T3317" s="3"/>
      <c r="W3317" s="86"/>
      <c r="Y3317" s="75"/>
    </row>
    <row r="3318" spans="1:25" x14ac:dyDescent="0.25">
      <c r="A3318" s="75"/>
      <c r="C3318" s="81"/>
      <c r="D3318" s="81"/>
      <c r="I3318" s="81"/>
      <c r="K3318" s="82"/>
      <c r="L3318" s="123"/>
      <c r="M3318" s="3"/>
      <c r="N3318" s="3"/>
      <c r="O3318" s="3"/>
      <c r="P3318" s="125"/>
      <c r="Q3318" s="125"/>
      <c r="R3318" s="127"/>
      <c r="S3318" s="123"/>
      <c r="T3318" s="3"/>
      <c r="W3318" s="86"/>
      <c r="Y3318" s="75"/>
    </row>
    <row r="3319" spans="1:25" x14ac:dyDescent="0.25">
      <c r="A3319" s="75"/>
      <c r="C3319" s="81"/>
      <c r="D3319" s="81"/>
      <c r="I3319" s="81"/>
      <c r="K3319" s="82"/>
      <c r="L3319" s="123"/>
      <c r="M3319" s="3"/>
      <c r="N3319" s="3"/>
      <c r="O3319" s="3"/>
      <c r="P3319" s="125"/>
      <c r="Q3319" s="125"/>
      <c r="R3319" s="127"/>
      <c r="S3319" s="123"/>
      <c r="T3319" s="3"/>
      <c r="W3319" s="86"/>
      <c r="Y3319" s="75"/>
    </row>
    <row r="3320" spans="1:25" x14ac:dyDescent="0.25">
      <c r="A3320" s="75"/>
      <c r="C3320" s="81"/>
      <c r="D3320" s="81"/>
      <c r="I3320" s="81"/>
      <c r="K3320" s="82"/>
      <c r="L3320" s="123"/>
      <c r="M3320" s="3"/>
      <c r="N3320" s="3"/>
      <c r="O3320" s="3"/>
      <c r="P3320" s="125"/>
      <c r="Q3320" s="125"/>
      <c r="R3320" s="127"/>
      <c r="S3320" s="123"/>
      <c r="T3320" s="3"/>
      <c r="W3320" s="86"/>
      <c r="Y3320" s="75"/>
    </row>
    <row r="3321" spans="1:25" x14ac:dyDescent="0.25">
      <c r="A3321" s="75"/>
      <c r="C3321" s="81"/>
      <c r="D3321" s="81"/>
      <c r="I3321" s="81"/>
      <c r="K3321" s="82"/>
      <c r="L3321" s="123"/>
      <c r="M3321" s="3"/>
      <c r="N3321" s="3"/>
      <c r="O3321" s="3"/>
      <c r="P3321" s="125"/>
      <c r="Q3321" s="125"/>
      <c r="R3321" s="127"/>
      <c r="S3321" s="123"/>
      <c r="T3321" s="3"/>
      <c r="W3321" s="86"/>
      <c r="Y3321" s="75"/>
    </row>
    <row r="3322" spans="1:25" x14ac:dyDescent="0.25">
      <c r="A3322" s="75"/>
      <c r="C3322" s="81"/>
      <c r="D3322" s="81"/>
      <c r="I3322" s="81"/>
      <c r="K3322" s="82"/>
      <c r="L3322" s="123"/>
      <c r="M3322" s="3"/>
      <c r="N3322" s="3"/>
      <c r="O3322" s="3"/>
      <c r="P3322" s="125"/>
      <c r="Q3322" s="125"/>
      <c r="R3322" s="127"/>
      <c r="S3322" s="123"/>
      <c r="T3322" s="3"/>
      <c r="W3322" s="86"/>
      <c r="Y3322" s="75"/>
    </row>
    <row r="3323" spans="1:25" x14ac:dyDescent="0.25">
      <c r="A3323" s="75"/>
      <c r="C3323" s="81"/>
      <c r="D3323" s="81"/>
      <c r="I3323" s="81"/>
      <c r="K3323" s="82"/>
      <c r="L3323" s="123"/>
      <c r="M3323" s="3"/>
      <c r="N3323" s="3"/>
      <c r="O3323" s="3"/>
      <c r="P3323" s="125"/>
      <c r="Q3323" s="125"/>
      <c r="R3323" s="127"/>
      <c r="S3323" s="123"/>
      <c r="T3323" s="3"/>
      <c r="W3323" s="86"/>
      <c r="Y3323" s="75"/>
    </row>
    <row r="3324" spans="1:25" x14ac:dyDescent="0.25">
      <c r="A3324" s="75"/>
      <c r="C3324" s="81"/>
      <c r="D3324" s="81"/>
      <c r="I3324" s="81"/>
      <c r="K3324" s="82"/>
      <c r="L3324" s="123"/>
      <c r="M3324" s="3"/>
      <c r="N3324" s="3"/>
      <c r="O3324" s="3"/>
      <c r="P3324" s="125"/>
      <c r="Q3324" s="125"/>
      <c r="R3324" s="127"/>
      <c r="S3324" s="123"/>
      <c r="T3324" s="3"/>
      <c r="W3324" s="86"/>
      <c r="Y3324" s="75"/>
    </row>
    <row r="3325" spans="1:25" x14ac:dyDescent="0.25">
      <c r="A3325" s="75"/>
      <c r="C3325" s="81"/>
      <c r="D3325" s="81"/>
      <c r="I3325" s="81"/>
      <c r="K3325" s="82"/>
      <c r="L3325" s="123"/>
      <c r="M3325" s="3"/>
      <c r="N3325" s="3"/>
      <c r="O3325" s="3"/>
      <c r="P3325" s="125"/>
      <c r="Q3325" s="125"/>
      <c r="R3325" s="127"/>
      <c r="S3325" s="123"/>
      <c r="T3325" s="3"/>
      <c r="W3325" s="86"/>
      <c r="Y3325" s="75"/>
    </row>
    <row r="3326" spans="1:25" x14ac:dyDescent="0.25">
      <c r="A3326" s="75"/>
      <c r="C3326" s="81"/>
      <c r="D3326" s="81"/>
      <c r="I3326" s="81"/>
      <c r="K3326" s="82"/>
      <c r="L3326" s="123"/>
      <c r="M3326" s="3"/>
      <c r="N3326" s="3"/>
      <c r="O3326" s="3"/>
      <c r="P3326" s="125"/>
      <c r="Q3326" s="125"/>
      <c r="R3326" s="127"/>
      <c r="S3326" s="123"/>
      <c r="T3326" s="3"/>
      <c r="W3326" s="86"/>
      <c r="Y3326" s="75"/>
    </row>
    <row r="3327" spans="1:25" x14ac:dyDescent="0.25">
      <c r="A3327" s="75"/>
      <c r="C3327" s="81"/>
      <c r="D3327" s="81"/>
      <c r="I3327" s="81"/>
      <c r="K3327" s="82"/>
      <c r="L3327" s="123"/>
      <c r="M3327" s="3"/>
      <c r="N3327" s="3"/>
      <c r="O3327" s="3"/>
      <c r="P3327" s="125"/>
      <c r="Q3327" s="125"/>
      <c r="R3327" s="127"/>
      <c r="S3327" s="123"/>
      <c r="T3327" s="3"/>
      <c r="W3327" s="86"/>
      <c r="Y3327" s="75"/>
    </row>
    <row r="3328" spans="1:25" x14ac:dyDescent="0.25">
      <c r="A3328" s="75"/>
      <c r="C3328" s="81"/>
      <c r="D3328" s="81"/>
      <c r="I3328" s="81"/>
      <c r="K3328" s="82"/>
      <c r="L3328" s="123"/>
      <c r="M3328" s="3"/>
      <c r="N3328" s="3"/>
      <c r="O3328" s="3"/>
      <c r="P3328" s="125"/>
      <c r="Q3328" s="125"/>
      <c r="R3328" s="127"/>
      <c r="S3328" s="123"/>
      <c r="T3328" s="3"/>
      <c r="W3328" s="86"/>
      <c r="Y3328" s="75"/>
    </row>
    <row r="3329" spans="1:25" x14ac:dyDescent="0.25">
      <c r="A3329" s="75"/>
      <c r="C3329" s="81"/>
      <c r="D3329" s="81"/>
      <c r="I3329" s="81"/>
      <c r="K3329" s="82"/>
      <c r="L3329" s="123"/>
      <c r="M3329" s="3"/>
      <c r="N3329" s="3"/>
      <c r="O3329" s="3"/>
      <c r="P3329" s="125"/>
      <c r="Q3329" s="125"/>
      <c r="R3329" s="127"/>
      <c r="S3329" s="123"/>
      <c r="T3329" s="3"/>
      <c r="W3329" s="86"/>
      <c r="Y3329" s="75"/>
    </row>
    <row r="3330" spans="1:25" x14ac:dyDescent="0.25">
      <c r="A3330" s="75"/>
      <c r="C3330" s="81"/>
      <c r="D3330" s="81"/>
      <c r="I3330" s="81"/>
      <c r="K3330" s="82"/>
      <c r="L3330" s="123"/>
      <c r="M3330" s="3"/>
      <c r="N3330" s="3"/>
      <c r="O3330" s="3"/>
      <c r="P3330" s="125"/>
      <c r="Q3330" s="125"/>
      <c r="R3330" s="127"/>
      <c r="S3330" s="123"/>
      <c r="T3330" s="3"/>
      <c r="W3330" s="86"/>
      <c r="Y3330" s="75"/>
    </row>
    <row r="3331" spans="1:25" x14ac:dyDescent="0.25">
      <c r="A3331" s="75"/>
      <c r="C3331" s="81"/>
      <c r="D3331" s="81"/>
      <c r="I3331" s="81"/>
      <c r="K3331" s="82"/>
      <c r="L3331" s="123"/>
      <c r="M3331" s="3"/>
      <c r="N3331" s="3"/>
      <c r="O3331" s="3"/>
      <c r="P3331" s="125"/>
      <c r="Q3331" s="125"/>
      <c r="R3331" s="127"/>
      <c r="S3331" s="123"/>
      <c r="T3331" s="3"/>
      <c r="W3331" s="86"/>
      <c r="Y3331" s="75"/>
    </row>
    <row r="3332" spans="1:25" x14ac:dyDescent="0.25">
      <c r="A3332" s="75"/>
      <c r="C3332" s="81"/>
      <c r="D3332" s="81"/>
      <c r="I3332" s="81"/>
      <c r="K3332" s="82"/>
      <c r="L3332" s="123"/>
      <c r="M3332" s="3"/>
      <c r="N3332" s="3"/>
      <c r="O3332" s="3"/>
      <c r="P3332" s="125"/>
      <c r="Q3332" s="125"/>
      <c r="R3332" s="127"/>
      <c r="S3332" s="123"/>
      <c r="T3332" s="3"/>
      <c r="W3332" s="86"/>
      <c r="Y3332" s="75"/>
    </row>
    <row r="3333" spans="1:25" x14ac:dyDescent="0.25">
      <c r="A3333" s="75"/>
      <c r="C3333" s="81"/>
      <c r="D3333" s="81"/>
      <c r="I3333" s="81"/>
      <c r="K3333" s="82"/>
      <c r="L3333" s="123"/>
      <c r="M3333" s="3"/>
      <c r="N3333" s="3"/>
      <c r="O3333" s="3"/>
      <c r="P3333" s="125"/>
      <c r="Q3333" s="125"/>
      <c r="R3333" s="127"/>
      <c r="S3333" s="123"/>
      <c r="T3333" s="3"/>
      <c r="W3333" s="86"/>
      <c r="Y3333" s="75"/>
    </row>
    <row r="3334" spans="1:25" x14ac:dyDescent="0.25">
      <c r="A3334" s="75"/>
      <c r="C3334" s="81"/>
      <c r="D3334" s="81"/>
      <c r="I3334" s="81"/>
      <c r="K3334" s="82"/>
      <c r="L3334" s="123"/>
      <c r="M3334" s="3"/>
      <c r="N3334" s="3"/>
      <c r="O3334" s="3"/>
      <c r="P3334" s="125"/>
      <c r="Q3334" s="125"/>
      <c r="R3334" s="127"/>
      <c r="S3334" s="123"/>
      <c r="T3334" s="3"/>
      <c r="W3334" s="86"/>
      <c r="Y3334" s="75"/>
    </row>
    <row r="3335" spans="1:25" x14ac:dyDescent="0.25">
      <c r="A3335" s="75"/>
      <c r="C3335" s="81"/>
      <c r="D3335" s="81"/>
      <c r="I3335" s="81"/>
      <c r="K3335" s="82"/>
      <c r="L3335" s="123"/>
      <c r="M3335" s="3"/>
      <c r="N3335" s="3"/>
      <c r="O3335" s="3"/>
      <c r="P3335" s="125"/>
      <c r="Q3335" s="125"/>
      <c r="R3335" s="127"/>
      <c r="S3335" s="123"/>
      <c r="T3335" s="3"/>
      <c r="W3335" s="86"/>
      <c r="Y3335" s="75"/>
    </row>
    <row r="3336" spans="1:25" x14ac:dyDescent="0.25">
      <c r="A3336" s="75"/>
      <c r="C3336" s="81"/>
      <c r="D3336" s="81"/>
      <c r="I3336" s="81"/>
      <c r="K3336" s="82"/>
      <c r="L3336" s="123"/>
      <c r="M3336" s="3"/>
      <c r="N3336" s="3"/>
      <c r="O3336" s="3"/>
      <c r="P3336" s="125"/>
      <c r="Q3336" s="125"/>
      <c r="R3336" s="127"/>
      <c r="S3336" s="123"/>
      <c r="T3336" s="3"/>
      <c r="W3336" s="86"/>
      <c r="Y3336" s="75"/>
    </row>
    <row r="3337" spans="1:25" x14ac:dyDescent="0.25">
      <c r="A3337" s="75"/>
      <c r="C3337" s="81"/>
      <c r="D3337" s="81"/>
      <c r="I3337" s="81"/>
      <c r="K3337" s="82"/>
      <c r="L3337" s="123"/>
      <c r="M3337" s="3"/>
      <c r="N3337" s="3"/>
      <c r="O3337" s="3"/>
      <c r="P3337" s="125"/>
      <c r="Q3337" s="125"/>
      <c r="R3337" s="127"/>
      <c r="S3337" s="123"/>
      <c r="T3337" s="3"/>
      <c r="W3337" s="86"/>
      <c r="Y3337" s="75"/>
    </row>
    <row r="3338" spans="1:25" x14ac:dyDescent="0.25">
      <c r="A3338" s="75"/>
      <c r="C3338" s="81"/>
      <c r="D3338" s="81"/>
      <c r="I3338" s="81"/>
      <c r="K3338" s="82"/>
      <c r="L3338" s="123"/>
      <c r="M3338" s="3"/>
      <c r="N3338" s="3"/>
      <c r="O3338" s="3"/>
      <c r="P3338" s="125"/>
      <c r="Q3338" s="125"/>
      <c r="R3338" s="127"/>
      <c r="S3338" s="123"/>
      <c r="T3338" s="3"/>
      <c r="W3338" s="86"/>
      <c r="Y3338" s="75"/>
    </row>
    <row r="3339" spans="1:25" x14ac:dyDescent="0.25">
      <c r="A3339" s="75"/>
      <c r="C3339" s="81"/>
      <c r="D3339" s="81"/>
      <c r="I3339" s="81"/>
      <c r="K3339" s="82"/>
      <c r="L3339" s="123"/>
      <c r="M3339" s="3"/>
      <c r="N3339" s="3"/>
      <c r="O3339" s="3"/>
      <c r="P3339" s="125"/>
      <c r="Q3339" s="125"/>
      <c r="R3339" s="127"/>
      <c r="S3339" s="123"/>
      <c r="T3339" s="3"/>
      <c r="W3339" s="86"/>
      <c r="Y3339" s="75"/>
    </row>
    <row r="3340" spans="1:25" x14ac:dyDescent="0.25">
      <c r="A3340" s="75"/>
      <c r="C3340" s="81"/>
      <c r="D3340" s="81"/>
      <c r="I3340" s="81"/>
      <c r="K3340" s="82"/>
      <c r="L3340" s="123"/>
      <c r="M3340" s="3"/>
      <c r="N3340" s="3"/>
      <c r="O3340" s="3"/>
      <c r="P3340" s="125"/>
      <c r="Q3340" s="125"/>
      <c r="R3340" s="127"/>
      <c r="S3340" s="123"/>
      <c r="T3340" s="3"/>
      <c r="W3340" s="86"/>
      <c r="Y3340" s="75"/>
    </row>
    <row r="3341" spans="1:25" x14ac:dyDescent="0.25">
      <c r="A3341" s="75"/>
      <c r="C3341" s="81"/>
      <c r="D3341" s="81"/>
      <c r="I3341" s="81"/>
      <c r="K3341" s="82"/>
      <c r="L3341" s="123"/>
      <c r="M3341" s="3"/>
      <c r="N3341" s="3"/>
      <c r="O3341" s="3"/>
      <c r="P3341" s="125"/>
      <c r="Q3341" s="125"/>
      <c r="R3341" s="127"/>
      <c r="S3341" s="123"/>
      <c r="T3341" s="3"/>
      <c r="W3341" s="86"/>
      <c r="Y3341" s="75"/>
    </row>
    <row r="3342" spans="1:25" x14ac:dyDescent="0.25">
      <c r="A3342" s="75"/>
      <c r="C3342" s="81"/>
      <c r="D3342" s="81"/>
      <c r="I3342" s="81"/>
      <c r="K3342" s="82"/>
      <c r="L3342" s="123"/>
      <c r="M3342" s="3"/>
      <c r="N3342" s="3"/>
      <c r="O3342" s="3"/>
      <c r="P3342" s="125"/>
      <c r="Q3342" s="125"/>
      <c r="R3342" s="127"/>
      <c r="S3342" s="123"/>
      <c r="T3342" s="3"/>
      <c r="W3342" s="86"/>
      <c r="Y3342" s="75"/>
    </row>
    <row r="3343" spans="1:25" x14ac:dyDescent="0.25">
      <c r="A3343" s="75"/>
      <c r="C3343" s="81"/>
      <c r="D3343" s="81"/>
      <c r="I3343" s="81"/>
      <c r="K3343" s="82"/>
      <c r="L3343" s="123"/>
      <c r="M3343" s="3"/>
      <c r="N3343" s="3"/>
      <c r="O3343" s="3"/>
      <c r="P3343" s="125"/>
      <c r="Q3343" s="125"/>
      <c r="R3343" s="127"/>
      <c r="S3343" s="123"/>
      <c r="T3343" s="3"/>
      <c r="W3343" s="86"/>
      <c r="Y3343" s="75"/>
    </row>
    <row r="3344" spans="1:25" x14ac:dyDescent="0.25">
      <c r="A3344" s="75"/>
      <c r="C3344" s="81"/>
      <c r="D3344" s="81"/>
      <c r="I3344" s="81"/>
      <c r="K3344" s="82"/>
      <c r="L3344" s="123"/>
      <c r="M3344" s="3"/>
      <c r="N3344" s="3"/>
      <c r="O3344" s="3"/>
      <c r="P3344" s="125"/>
      <c r="Q3344" s="125"/>
      <c r="R3344" s="127"/>
      <c r="S3344" s="123"/>
      <c r="T3344" s="3"/>
      <c r="W3344" s="86"/>
      <c r="Y3344" s="75"/>
    </row>
    <row r="3345" spans="1:25" x14ac:dyDescent="0.25">
      <c r="A3345" s="75"/>
      <c r="C3345" s="81"/>
      <c r="D3345" s="81"/>
      <c r="I3345" s="81"/>
      <c r="K3345" s="82"/>
      <c r="L3345" s="123"/>
      <c r="M3345" s="3"/>
      <c r="N3345" s="3"/>
      <c r="O3345" s="3"/>
      <c r="P3345" s="125"/>
      <c r="Q3345" s="125"/>
      <c r="R3345" s="127"/>
      <c r="S3345" s="123"/>
      <c r="T3345" s="3"/>
      <c r="W3345" s="86"/>
      <c r="Y3345" s="75"/>
    </row>
    <row r="3346" spans="1:25" x14ac:dyDescent="0.25">
      <c r="A3346" s="75"/>
      <c r="C3346" s="81"/>
      <c r="D3346" s="81"/>
      <c r="I3346" s="81"/>
      <c r="K3346" s="82"/>
      <c r="L3346" s="123"/>
      <c r="M3346" s="3"/>
      <c r="N3346" s="3"/>
      <c r="O3346" s="3"/>
      <c r="P3346" s="125"/>
      <c r="Q3346" s="125"/>
      <c r="R3346" s="127"/>
      <c r="S3346" s="123"/>
      <c r="T3346" s="3"/>
      <c r="W3346" s="86"/>
      <c r="Y3346" s="75"/>
    </row>
    <row r="3347" spans="1:25" x14ac:dyDescent="0.25">
      <c r="A3347" s="75"/>
      <c r="C3347" s="81"/>
      <c r="D3347" s="81"/>
      <c r="I3347" s="81"/>
      <c r="K3347" s="82"/>
      <c r="L3347" s="123"/>
      <c r="M3347" s="3"/>
      <c r="N3347" s="3"/>
      <c r="O3347" s="3"/>
      <c r="P3347" s="125"/>
      <c r="Q3347" s="125"/>
      <c r="R3347" s="127"/>
      <c r="S3347" s="123"/>
      <c r="T3347" s="3"/>
      <c r="W3347" s="86"/>
      <c r="Y3347" s="75"/>
    </row>
    <row r="3348" spans="1:25" x14ac:dyDescent="0.25">
      <c r="A3348" s="75"/>
      <c r="C3348" s="81"/>
      <c r="D3348" s="81"/>
      <c r="I3348" s="81"/>
      <c r="K3348" s="82"/>
      <c r="L3348" s="123"/>
      <c r="M3348" s="3"/>
      <c r="N3348" s="3"/>
      <c r="O3348" s="3"/>
      <c r="P3348" s="125"/>
      <c r="Q3348" s="125"/>
      <c r="R3348" s="127"/>
      <c r="S3348" s="123"/>
      <c r="T3348" s="3"/>
      <c r="W3348" s="86"/>
      <c r="Y3348" s="75"/>
    </row>
    <row r="3349" spans="1:25" x14ac:dyDescent="0.25">
      <c r="A3349" s="75"/>
      <c r="C3349" s="81"/>
      <c r="D3349" s="81"/>
      <c r="I3349" s="81"/>
      <c r="K3349" s="82"/>
      <c r="L3349" s="123"/>
      <c r="M3349" s="3"/>
      <c r="N3349" s="3"/>
      <c r="O3349" s="3"/>
      <c r="P3349" s="125"/>
      <c r="Q3349" s="125"/>
      <c r="R3349" s="127"/>
      <c r="S3349" s="123"/>
      <c r="T3349" s="3"/>
      <c r="W3349" s="86"/>
      <c r="Y3349" s="75"/>
    </row>
    <row r="3350" spans="1:25" x14ac:dyDescent="0.25">
      <c r="A3350" s="75"/>
      <c r="C3350" s="81"/>
      <c r="D3350" s="81"/>
      <c r="I3350" s="81"/>
      <c r="K3350" s="82"/>
      <c r="L3350" s="123"/>
      <c r="M3350" s="3"/>
      <c r="N3350" s="3"/>
      <c r="O3350" s="3"/>
      <c r="P3350" s="125"/>
      <c r="Q3350" s="125"/>
      <c r="R3350" s="127"/>
      <c r="S3350" s="123"/>
      <c r="T3350" s="3"/>
      <c r="W3350" s="86"/>
      <c r="Y3350" s="75"/>
    </row>
    <row r="3351" spans="1:25" x14ac:dyDescent="0.25">
      <c r="A3351" s="75"/>
      <c r="C3351" s="81"/>
      <c r="D3351" s="81"/>
      <c r="I3351" s="81"/>
      <c r="K3351" s="82"/>
      <c r="L3351" s="123"/>
      <c r="M3351" s="3"/>
      <c r="N3351" s="3"/>
      <c r="O3351" s="3"/>
      <c r="P3351" s="125"/>
      <c r="Q3351" s="125"/>
      <c r="R3351" s="127"/>
      <c r="S3351" s="123"/>
      <c r="T3351" s="3"/>
      <c r="W3351" s="86"/>
      <c r="Y3351" s="75"/>
    </row>
    <row r="3352" spans="1:25" x14ac:dyDescent="0.25">
      <c r="A3352" s="75"/>
      <c r="C3352" s="81"/>
      <c r="D3352" s="81"/>
      <c r="I3352" s="81"/>
      <c r="K3352" s="82"/>
      <c r="L3352" s="123"/>
      <c r="M3352" s="3"/>
      <c r="N3352" s="3"/>
      <c r="O3352" s="3"/>
      <c r="P3352" s="125"/>
      <c r="Q3352" s="125"/>
      <c r="R3352" s="127"/>
      <c r="S3352" s="123"/>
      <c r="T3352" s="3"/>
      <c r="W3352" s="86"/>
      <c r="Y3352" s="75"/>
    </row>
    <row r="3353" spans="1:25" x14ac:dyDescent="0.25">
      <c r="A3353" s="75"/>
      <c r="C3353" s="81"/>
      <c r="D3353" s="81"/>
      <c r="I3353" s="81"/>
      <c r="K3353" s="82"/>
      <c r="L3353" s="123"/>
      <c r="M3353" s="3"/>
      <c r="N3353" s="3"/>
      <c r="O3353" s="3"/>
      <c r="P3353" s="125"/>
      <c r="Q3353" s="125"/>
      <c r="R3353" s="127"/>
      <c r="S3353" s="123"/>
      <c r="T3353" s="3"/>
      <c r="W3353" s="86"/>
      <c r="Y3353" s="75"/>
    </row>
    <row r="3354" spans="1:25" x14ac:dyDescent="0.25">
      <c r="A3354" s="75"/>
      <c r="C3354" s="81"/>
      <c r="D3354" s="81"/>
      <c r="I3354" s="81"/>
      <c r="K3354" s="82"/>
      <c r="L3354" s="123"/>
      <c r="M3354" s="3"/>
      <c r="N3354" s="3"/>
      <c r="O3354" s="3"/>
      <c r="P3354" s="125"/>
      <c r="Q3354" s="125"/>
      <c r="R3354" s="127"/>
      <c r="S3354" s="123"/>
      <c r="T3354" s="3"/>
      <c r="W3354" s="86"/>
      <c r="Y3354" s="75"/>
    </row>
    <row r="3355" spans="1:25" x14ac:dyDescent="0.25">
      <c r="A3355" s="75"/>
      <c r="C3355" s="81"/>
      <c r="D3355" s="81"/>
      <c r="I3355" s="81"/>
      <c r="K3355" s="82"/>
      <c r="L3355" s="123"/>
      <c r="M3355" s="3"/>
      <c r="N3355" s="3"/>
      <c r="O3355" s="3"/>
      <c r="P3355" s="125"/>
      <c r="Q3355" s="125"/>
      <c r="R3355" s="127"/>
      <c r="S3355" s="123"/>
      <c r="T3355" s="3"/>
      <c r="W3355" s="86"/>
      <c r="Y3355" s="75"/>
    </row>
    <row r="3356" spans="1:25" x14ac:dyDescent="0.25">
      <c r="A3356" s="75"/>
      <c r="C3356" s="81"/>
      <c r="D3356" s="81"/>
      <c r="I3356" s="81"/>
      <c r="K3356" s="82"/>
      <c r="L3356" s="123"/>
      <c r="M3356" s="3"/>
      <c r="N3356" s="3"/>
      <c r="O3356" s="3"/>
      <c r="P3356" s="125"/>
      <c r="Q3356" s="125"/>
      <c r="R3356" s="127"/>
      <c r="S3356" s="123"/>
      <c r="T3356" s="3"/>
      <c r="W3356" s="86"/>
      <c r="Y3356" s="75"/>
    </row>
    <row r="3357" spans="1:25" x14ac:dyDescent="0.25">
      <c r="A3357" s="75"/>
      <c r="C3357" s="81"/>
      <c r="D3357" s="81"/>
      <c r="I3357" s="81"/>
      <c r="K3357" s="82"/>
      <c r="L3357" s="123"/>
      <c r="M3357" s="3"/>
      <c r="N3357" s="3"/>
      <c r="O3357" s="3"/>
      <c r="P3357" s="125"/>
      <c r="Q3357" s="125"/>
      <c r="R3357" s="127"/>
      <c r="S3357" s="123"/>
      <c r="T3357" s="3"/>
      <c r="W3357" s="86"/>
      <c r="Y3357" s="75"/>
    </row>
    <row r="3358" spans="1:25" x14ac:dyDescent="0.25">
      <c r="A3358" s="75"/>
      <c r="C3358" s="81"/>
      <c r="D3358" s="81"/>
      <c r="I3358" s="81"/>
      <c r="K3358" s="82"/>
      <c r="L3358" s="123"/>
      <c r="M3358" s="3"/>
      <c r="N3358" s="3"/>
      <c r="O3358" s="3"/>
      <c r="P3358" s="125"/>
      <c r="Q3358" s="125"/>
      <c r="R3358" s="127"/>
      <c r="S3358" s="123"/>
      <c r="T3358" s="3"/>
      <c r="W3358" s="86"/>
      <c r="Y3358" s="75"/>
    </row>
    <row r="3359" spans="1:25" x14ac:dyDescent="0.25">
      <c r="A3359" s="75"/>
      <c r="C3359" s="81"/>
      <c r="D3359" s="81"/>
      <c r="I3359" s="81"/>
      <c r="K3359" s="82"/>
      <c r="L3359" s="123"/>
      <c r="M3359" s="3"/>
      <c r="N3359" s="3"/>
      <c r="O3359" s="3"/>
      <c r="P3359" s="125"/>
      <c r="Q3359" s="125"/>
      <c r="R3359" s="127"/>
      <c r="S3359" s="123"/>
      <c r="T3359" s="3"/>
      <c r="W3359" s="86"/>
      <c r="Y3359" s="75"/>
    </row>
    <row r="3360" spans="1:25" x14ac:dyDescent="0.25">
      <c r="A3360" s="75"/>
      <c r="C3360" s="81"/>
      <c r="D3360" s="81"/>
      <c r="I3360" s="81"/>
      <c r="K3360" s="82"/>
      <c r="L3360" s="123"/>
      <c r="M3360" s="3"/>
      <c r="N3360" s="3"/>
      <c r="O3360" s="3"/>
      <c r="P3360" s="125"/>
      <c r="Q3360" s="125"/>
      <c r="R3360" s="127"/>
      <c r="S3360" s="123"/>
      <c r="T3360" s="3"/>
      <c r="W3360" s="86"/>
      <c r="Y3360" s="75"/>
    </row>
    <row r="3361" spans="1:25" x14ac:dyDescent="0.25">
      <c r="A3361" s="75"/>
      <c r="C3361" s="81"/>
      <c r="D3361" s="81"/>
      <c r="I3361" s="81"/>
      <c r="K3361" s="82"/>
      <c r="L3361" s="123"/>
      <c r="M3361" s="3"/>
      <c r="N3361" s="3"/>
      <c r="O3361" s="3"/>
      <c r="P3361" s="125"/>
      <c r="Q3361" s="125"/>
      <c r="R3361" s="127"/>
      <c r="S3361" s="123"/>
      <c r="T3361" s="3"/>
      <c r="W3361" s="86"/>
      <c r="Y3361" s="75"/>
    </row>
    <row r="3362" spans="1:25" x14ac:dyDescent="0.25">
      <c r="A3362" s="75"/>
      <c r="C3362" s="81"/>
      <c r="D3362" s="81"/>
      <c r="I3362" s="81"/>
      <c r="K3362" s="82"/>
      <c r="L3362" s="123"/>
      <c r="M3362" s="3"/>
      <c r="N3362" s="3"/>
      <c r="O3362" s="3"/>
      <c r="P3362" s="125"/>
      <c r="Q3362" s="125"/>
      <c r="R3362" s="127"/>
      <c r="S3362" s="123"/>
      <c r="T3362" s="3"/>
      <c r="W3362" s="86"/>
      <c r="Y3362" s="75"/>
    </row>
    <row r="3363" spans="1:25" x14ac:dyDescent="0.25">
      <c r="A3363" s="75"/>
      <c r="C3363" s="81"/>
      <c r="D3363" s="81"/>
      <c r="I3363" s="81"/>
      <c r="K3363" s="82"/>
      <c r="L3363" s="123"/>
      <c r="M3363" s="3"/>
      <c r="N3363" s="3"/>
      <c r="O3363" s="3"/>
      <c r="P3363" s="125"/>
      <c r="Q3363" s="125"/>
      <c r="R3363" s="127"/>
      <c r="S3363" s="123"/>
      <c r="T3363" s="3"/>
      <c r="W3363" s="86"/>
      <c r="Y3363" s="75"/>
    </row>
    <row r="3364" spans="1:25" x14ac:dyDescent="0.25">
      <c r="A3364" s="75"/>
      <c r="C3364" s="81"/>
      <c r="D3364" s="81"/>
      <c r="I3364" s="81"/>
      <c r="K3364" s="82"/>
      <c r="L3364" s="123"/>
      <c r="M3364" s="3"/>
      <c r="N3364" s="3"/>
      <c r="O3364" s="3"/>
      <c r="P3364" s="125"/>
      <c r="Q3364" s="125"/>
      <c r="R3364" s="127"/>
      <c r="S3364" s="123"/>
      <c r="T3364" s="3"/>
      <c r="W3364" s="86"/>
      <c r="Y3364" s="75"/>
    </row>
    <row r="3365" spans="1:25" x14ac:dyDescent="0.25">
      <c r="A3365" s="75"/>
      <c r="C3365" s="81"/>
      <c r="D3365" s="81"/>
      <c r="I3365" s="81"/>
      <c r="K3365" s="82"/>
      <c r="L3365" s="123"/>
      <c r="M3365" s="3"/>
      <c r="N3365" s="3"/>
      <c r="O3365" s="3"/>
      <c r="P3365" s="125"/>
      <c r="Q3365" s="125"/>
      <c r="R3365" s="127"/>
      <c r="S3365" s="123"/>
      <c r="T3365" s="3"/>
      <c r="W3365" s="86"/>
      <c r="Y3365" s="75"/>
    </row>
    <row r="3366" spans="1:25" x14ac:dyDescent="0.25">
      <c r="A3366" s="75"/>
      <c r="C3366" s="81"/>
      <c r="D3366" s="81"/>
      <c r="I3366" s="81"/>
      <c r="K3366" s="82"/>
      <c r="L3366" s="123"/>
      <c r="M3366" s="3"/>
      <c r="N3366" s="3"/>
      <c r="O3366" s="3"/>
      <c r="P3366" s="125"/>
      <c r="Q3366" s="125"/>
      <c r="R3366" s="127"/>
      <c r="S3366" s="123"/>
      <c r="T3366" s="3"/>
      <c r="W3366" s="86"/>
      <c r="Y3366" s="75"/>
    </row>
    <row r="3367" spans="1:25" x14ac:dyDescent="0.25">
      <c r="A3367" s="75"/>
      <c r="C3367" s="81"/>
      <c r="D3367" s="81"/>
      <c r="I3367" s="81"/>
      <c r="K3367" s="82"/>
      <c r="L3367" s="123"/>
      <c r="M3367" s="3"/>
      <c r="N3367" s="3"/>
      <c r="O3367" s="3"/>
      <c r="P3367" s="125"/>
      <c r="Q3367" s="125"/>
      <c r="R3367" s="127"/>
      <c r="S3367" s="123"/>
      <c r="T3367" s="3"/>
      <c r="W3367" s="86"/>
      <c r="Y3367" s="75"/>
    </row>
    <row r="3368" spans="1:25" x14ac:dyDescent="0.25">
      <c r="A3368" s="75"/>
      <c r="C3368" s="81"/>
      <c r="D3368" s="81"/>
      <c r="I3368" s="81"/>
      <c r="K3368" s="82"/>
      <c r="L3368" s="123"/>
      <c r="M3368" s="3"/>
      <c r="N3368" s="3"/>
      <c r="O3368" s="3"/>
      <c r="P3368" s="125"/>
      <c r="Q3368" s="125"/>
      <c r="R3368" s="127"/>
      <c r="S3368" s="123"/>
      <c r="T3368" s="3"/>
      <c r="W3368" s="86"/>
      <c r="Y3368" s="75"/>
    </row>
    <row r="3369" spans="1:25" x14ac:dyDescent="0.25">
      <c r="A3369" s="75"/>
      <c r="C3369" s="81"/>
      <c r="D3369" s="81"/>
      <c r="I3369" s="81"/>
      <c r="K3369" s="82"/>
      <c r="L3369" s="123"/>
      <c r="M3369" s="3"/>
      <c r="N3369" s="3"/>
      <c r="O3369" s="3"/>
      <c r="P3369" s="125"/>
      <c r="Q3369" s="125"/>
      <c r="R3369" s="127"/>
      <c r="S3369" s="123"/>
      <c r="T3369" s="3"/>
      <c r="W3369" s="86"/>
      <c r="Y3369" s="75"/>
    </row>
    <row r="3370" spans="1:25" x14ac:dyDescent="0.25">
      <c r="A3370" s="75"/>
      <c r="C3370" s="81"/>
      <c r="D3370" s="81"/>
      <c r="I3370" s="81"/>
      <c r="K3370" s="82"/>
      <c r="L3370" s="123"/>
      <c r="M3370" s="3"/>
      <c r="N3370" s="3"/>
      <c r="O3370" s="3"/>
      <c r="P3370" s="125"/>
      <c r="Q3370" s="125"/>
      <c r="R3370" s="127"/>
      <c r="S3370" s="123"/>
      <c r="T3370" s="3"/>
      <c r="W3370" s="86"/>
      <c r="Y3370" s="75"/>
    </row>
    <row r="3371" spans="1:25" x14ac:dyDescent="0.25">
      <c r="A3371" s="75"/>
      <c r="C3371" s="81"/>
      <c r="D3371" s="81"/>
      <c r="I3371" s="81"/>
      <c r="K3371" s="82"/>
      <c r="L3371" s="123"/>
      <c r="M3371" s="3"/>
      <c r="N3371" s="3"/>
      <c r="O3371" s="3"/>
      <c r="P3371" s="125"/>
      <c r="Q3371" s="125"/>
      <c r="R3371" s="127"/>
      <c r="S3371" s="123"/>
      <c r="T3371" s="3"/>
      <c r="W3371" s="86"/>
      <c r="Y3371" s="75"/>
    </row>
    <row r="3372" spans="1:25" x14ac:dyDescent="0.25">
      <c r="A3372" s="75"/>
      <c r="C3372" s="81"/>
      <c r="D3372" s="81"/>
      <c r="I3372" s="81"/>
      <c r="K3372" s="82"/>
      <c r="L3372" s="123"/>
      <c r="M3372" s="3"/>
      <c r="N3372" s="3"/>
      <c r="O3372" s="3"/>
      <c r="P3372" s="125"/>
      <c r="Q3372" s="125"/>
      <c r="R3372" s="127"/>
      <c r="S3372" s="123"/>
      <c r="T3372" s="3"/>
      <c r="W3372" s="86"/>
      <c r="Y3372" s="75"/>
    </row>
    <row r="3373" spans="1:25" x14ac:dyDescent="0.25">
      <c r="A3373" s="75"/>
      <c r="C3373" s="81"/>
      <c r="D3373" s="81"/>
      <c r="I3373" s="81"/>
      <c r="K3373" s="82"/>
      <c r="L3373" s="123"/>
      <c r="M3373" s="3"/>
      <c r="N3373" s="3"/>
      <c r="O3373" s="3"/>
      <c r="P3373" s="125"/>
      <c r="Q3373" s="125"/>
      <c r="R3373" s="127"/>
      <c r="S3373" s="123"/>
      <c r="T3373" s="3"/>
      <c r="W3373" s="86"/>
      <c r="Y3373" s="75"/>
    </row>
    <row r="3374" spans="1:25" x14ac:dyDescent="0.25">
      <c r="A3374" s="75"/>
      <c r="C3374" s="81"/>
      <c r="D3374" s="81"/>
      <c r="I3374" s="81"/>
      <c r="K3374" s="82"/>
      <c r="L3374" s="123"/>
      <c r="M3374" s="3"/>
      <c r="N3374" s="3"/>
      <c r="O3374" s="3"/>
      <c r="P3374" s="125"/>
      <c r="Q3374" s="125"/>
      <c r="R3374" s="127"/>
      <c r="S3374" s="123"/>
      <c r="T3374" s="3"/>
      <c r="W3374" s="86"/>
      <c r="Y3374" s="75"/>
    </row>
    <row r="3375" spans="1:25" x14ac:dyDescent="0.25">
      <c r="A3375" s="75"/>
      <c r="C3375" s="81"/>
      <c r="D3375" s="81"/>
      <c r="I3375" s="81"/>
      <c r="K3375" s="82"/>
      <c r="L3375" s="123"/>
      <c r="M3375" s="3"/>
      <c r="N3375" s="3"/>
      <c r="O3375" s="3"/>
      <c r="P3375" s="125"/>
      <c r="Q3375" s="125"/>
      <c r="R3375" s="127"/>
      <c r="S3375" s="123"/>
      <c r="T3375" s="3"/>
      <c r="W3375" s="86"/>
      <c r="Y3375" s="75"/>
    </row>
    <row r="3376" spans="1:25" x14ac:dyDescent="0.25">
      <c r="A3376" s="75"/>
      <c r="C3376" s="81"/>
      <c r="D3376" s="81"/>
      <c r="I3376" s="81"/>
      <c r="K3376" s="82"/>
      <c r="L3376" s="123"/>
      <c r="M3376" s="3"/>
      <c r="N3376" s="3"/>
      <c r="O3376" s="3"/>
      <c r="P3376" s="125"/>
      <c r="Q3376" s="125"/>
      <c r="R3376" s="127"/>
      <c r="S3376" s="123"/>
      <c r="T3376" s="3"/>
      <c r="W3376" s="86"/>
      <c r="Y3376" s="75"/>
    </row>
    <row r="3377" spans="1:25" x14ac:dyDescent="0.25">
      <c r="A3377" s="75"/>
      <c r="C3377" s="81"/>
      <c r="D3377" s="81"/>
      <c r="I3377" s="81"/>
      <c r="K3377" s="82"/>
      <c r="L3377" s="123"/>
      <c r="M3377" s="3"/>
      <c r="N3377" s="3"/>
      <c r="O3377" s="3"/>
      <c r="P3377" s="125"/>
      <c r="Q3377" s="125"/>
      <c r="R3377" s="127"/>
      <c r="S3377" s="123"/>
      <c r="T3377" s="3"/>
      <c r="W3377" s="86"/>
      <c r="Y3377" s="75"/>
    </row>
    <row r="3378" spans="1:25" x14ac:dyDescent="0.25">
      <c r="A3378" s="75"/>
      <c r="C3378" s="81"/>
      <c r="D3378" s="81"/>
      <c r="I3378" s="81"/>
      <c r="K3378" s="82"/>
      <c r="L3378" s="123"/>
      <c r="M3378" s="3"/>
      <c r="N3378" s="3"/>
      <c r="O3378" s="3"/>
      <c r="P3378" s="125"/>
      <c r="Q3378" s="125"/>
      <c r="R3378" s="127"/>
      <c r="S3378" s="123"/>
      <c r="T3378" s="3"/>
      <c r="W3378" s="86"/>
      <c r="Y3378" s="75"/>
    </row>
    <row r="3379" spans="1:25" x14ac:dyDescent="0.25">
      <c r="A3379" s="75"/>
      <c r="C3379" s="81"/>
      <c r="D3379" s="81"/>
      <c r="I3379" s="81"/>
      <c r="K3379" s="82"/>
      <c r="L3379" s="123"/>
      <c r="M3379" s="3"/>
      <c r="N3379" s="3"/>
      <c r="O3379" s="3"/>
      <c r="P3379" s="125"/>
      <c r="Q3379" s="125"/>
      <c r="R3379" s="127"/>
      <c r="S3379" s="123"/>
      <c r="T3379" s="3"/>
      <c r="W3379" s="86"/>
      <c r="Y3379" s="75"/>
    </row>
    <row r="3380" spans="1:25" x14ac:dyDescent="0.25">
      <c r="A3380" s="75"/>
      <c r="C3380" s="81"/>
      <c r="D3380" s="81"/>
      <c r="I3380" s="81"/>
      <c r="K3380" s="82"/>
      <c r="L3380" s="123"/>
      <c r="M3380" s="3"/>
      <c r="N3380" s="3"/>
      <c r="O3380" s="3"/>
      <c r="P3380" s="125"/>
      <c r="Q3380" s="125"/>
      <c r="R3380" s="127"/>
      <c r="S3380" s="123"/>
      <c r="T3380" s="3"/>
      <c r="W3380" s="86"/>
      <c r="Y3380" s="75"/>
    </row>
    <row r="3381" spans="1:25" x14ac:dyDescent="0.25">
      <c r="A3381" s="75"/>
      <c r="C3381" s="81"/>
      <c r="D3381" s="81"/>
      <c r="I3381" s="81"/>
      <c r="K3381" s="82"/>
      <c r="L3381" s="123"/>
      <c r="M3381" s="3"/>
      <c r="N3381" s="3"/>
      <c r="O3381" s="3"/>
      <c r="P3381" s="125"/>
      <c r="Q3381" s="125"/>
      <c r="R3381" s="127"/>
      <c r="S3381" s="123"/>
      <c r="T3381" s="3"/>
      <c r="W3381" s="86"/>
      <c r="Y3381" s="75"/>
    </row>
    <row r="3382" spans="1:25" x14ac:dyDescent="0.25">
      <c r="A3382" s="75"/>
      <c r="C3382" s="81"/>
      <c r="D3382" s="81"/>
      <c r="I3382" s="81"/>
      <c r="K3382" s="82"/>
      <c r="L3382" s="123"/>
      <c r="M3382" s="3"/>
      <c r="N3382" s="3"/>
      <c r="O3382" s="3"/>
      <c r="P3382" s="125"/>
      <c r="Q3382" s="125"/>
      <c r="R3382" s="127"/>
      <c r="S3382" s="123"/>
      <c r="T3382" s="3"/>
      <c r="W3382" s="86"/>
      <c r="Y3382" s="75"/>
    </row>
    <row r="3383" spans="1:25" x14ac:dyDescent="0.25">
      <c r="A3383" s="75"/>
      <c r="C3383" s="81"/>
      <c r="D3383" s="81"/>
      <c r="I3383" s="81"/>
      <c r="K3383" s="82"/>
      <c r="L3383" s="123"/>
      <c r="M3383" s="3"/>
      <c r="N3383" s="3"/>
      <c r="O3383" s="3"/>
      <c r="P3383" s="125"/>
      <c r="Q3383" s="125"/>
      <c r="R3383" s="127"/>
      <c r="S3383" s="123"/>
      <c r="T3383" s="3"/>
      <c r="W3383" s="86"/>
      <c r="Y3383" s="75"/>
    </row>
    <row r="3384" spans="1:25" x14ac:dyDescent="0.25">
      <c r="A3384" s="75"/>
      <c r="C3384" s="81"/>
      <c r="D3384" s="81"/>
      <c r="I3384" s="81"/>
      <c r="K3384" s="82"/>
      <c r="L3384" s="123"/>
      <c r="M3384" s="3"/>
      <c r="N3384" s="3"/>
      <c r="O3384" s="3"/>
      <c r="P3384" s="125"/>
      <c r="Q3384" s="125"/>
      <c r="R3384" s="127"/>
      <c r="S3384" s="123"/>
      <c r="T3384" s="3"/>
      <c r="W3384" s="86"/>
      <c r="Y3384" s="75"/>
    </row>
    <row r="3385" spans="1:25" x14ac:dyDescent="0.25">
      <c r="A3385" s="75"/>
      <c r="C3385" s="81"/>
      <c r="D3385" s="81"/>
      <c r="I3385" s="81"/>
      <c r="K3385" s="82"/>
      <c r="L3385" s="123"/>
      <c r="M3385" s="3"/>
      <c r="N3385" s="3"/>
      <c r="O3385" s="3"/>
      <c r="P3385" s="125"/>
      <c r="Q3385" s="125"/>
      <c r="R3385" s="127"/>
      <c r="S3385" s="123"/>
      <c r="T3385" s="3"/>
      <c r="W3385" s="86"/>
      <c r="Y3385" s="75"/>
    </row>
    <row r="3386" spans="1:25" x14ac:dyDescent="0.25">
      <c r="A3386" s="75"/>
      <c r="C3386" s="81"/>
      <c r="D3386" s="81"/>
      <c r="I3386" s="81"/>
      <c r="K3386" s="82"/>
      <c r="L3386" s="123"/>
      <c r="M3386" s="3"/>
      <c r="N3386" s="3"/>
      <c r="O3386" s="3"/>
      <c r="P3386" s="125"/>
      <c r="Q3386" s="125"/>
      <c r="R3386" s="127"/>
      <c r="S3386" s="123"/>
      <c r="T3386" s="3"/>
      <c r="W3386" s="86"/>
      <c r="Y3386" s="75"/>
    </row>
    <row r="3387" spans="1:25" x14ac:dyDescent="0.25">
      <c r="A3387" s="75"/>
      <c r="C3387" s="81"/>
      <c r="D3387" s="81"/>
      <c r="I3387" s="81"/>
      <c r="K3387" s="82"/>
      <c r="L3387" s="123"/>
      <c r="M3387" s="3"/>
      <c r="N3387" s="3"/>
      <c r="O3387" s="3"/>
      <c r="P3387" s="125"/>
      <c r="Q3387" s="125"/>
      <c r="R3387" s="127"/>
      <c r="S3387" s="123"/>
      <c r="T3387" s="3"/>
      <c r="W3387" s="86"/>
      <c r="Y3387" s="75"/>
    </row>
    <row r="3388" spans="1:25" x14ac:dyDescent="0.25">
      <c r="A3388" s="75"/>
      <c r="C3388" s="81"/>
      <c r="D3388" s="81"/>
      <c r="I3388" s="81"/>
      <c r="K3388" s="82"/>
      <c r="L3388" s="123"/>
      <c r="M3388" s="3"/>
      <c r="N3388" s="3"/>
      <c r="O3388" s="3"/>
      <c r="P3388" s="125"/>
      <c r="Q3388" s="125"/>
      <c r="R3388" s="127"/>
      <c r="S3388" s="123"/>
      <c r="T3388" s="3"/>
      <c r="W3388" s="86"/>
      <c r="Y3388" s="75"/>
    </row>
    <row r="3389" spans="1:25" x14ac:dyDescent="0.25">
      <c r="A3389" s="75"/>
      <c r="C3389" s="81"/>
      <c r="D3389" s="81"/>
      <c r="I3389" s="81"/>
      <c r="K3389" s="82"/>
      <c r="L3389" s="123"/>
      <c r="M3389" s="3"/>
      <c r="N3389" s="3"/>
      <c r="O3389" s="3"/>
      <c r="P3389" s="125"/>
      <c r="Q3389" s="125"/>
      <c r="R3389" s="127"/>
      <c r="S3389" s="123"/>
      <c r="T3389" s="3"/>
      <c r="W3389" s="86"/>
      <c r="Y3389" s="75"/>
    </row>
    <row r="3390" spans="1:25" x14ac:dyDescent="0.25">
      <c r="A3390" s="75"/>
      <c r="C3390" s="81"/>
      <c r="D3390" s="81"/>
      <c r="I3390" s="81"/>
      <c r="K3390" s="82"/>
      <c r="L3390" s="123"/>
      <c r="M3390" s="3"/>
      <c r="N3390" s="3"/>
      <c r="O3390" s="3"/>
      <c r="P3390" s="125"/>
      <c r="Q3390" s="125"/>
      <c r="R3390" s="127"/>
      <c r="S3390" s="123"/>
      <c r="T3390" s="3"/>
      <c r="W3390" s="86"/>
      <c r="Y3390" s="75"/>
    </row>
    <row r="3391" spans="1:25" x14ac:dyDescent="0.25">
      <c r="A3391" s="75"/>
      <c r="C3391" s="81"/>
      <c r="D3391" s="81"/>
      <c r="I3391" s="81"/>
      <c r="K3391" s="82"/>
      <c r="L3391" s="123"/>
      <c r="M3391" s="3"/>
      <c r="N3391" s="3"/>
      <c r="O3391" s="3"/>
      <c r="P3391" s="125"/>
      <c r="Q3391" s="125"/>
      <c r="R3391" s="127"/>
      <c r="S3391" s="123"/>
      <c r="T3391" s="3"/>
      <c r="W3391" s="86"/>
      <c r="Y3391" s="75"/>
    </row>
    <row r="3392" spans="1:25" x14ac:dyDescent="0.25">
      <c r="A3392" s="75"/>
      <c r="C3392" s="81"/>
      <c r="D3392" s="81"/>
      <c r="I3392" s="81"/>
      <c r="K3392" s="82"/>
      <c r="L3392" s="123"/>
      <c r="M3392" s="3"/>
      <c r="N3392" s="3"/>
      <c r="O3392" s="3"/>
      <c r="P3392" s="125"/>
      <c r="Q3392" s="125"/>
      <c r="R3392" s="127"/>
      <c r="S3392" s="123"/>
      <c r="T3392" s="3"/>
      <c r="W3392" s="86"/>
      <c r="Y3392" s="75"/>
    </row>
    <row r="3393" spans="1:25" x14ac:dyDescent="0.25">
      <c r="A3393" s="75"/>
      <c r="C3393" s="81"/>
      <c r="D3393" s="81"/>
      <c r="I3393" s="81"/>
      <c r="K3393" s="82"/>
      <c r="L3393" s="123"/>
      <c r="M3393" s="3"/>
      <c r="N3393" s="3"/>
      <c r="O3393" s="3"/>
      <c r="P3393" s="125"/>
      <c r="Q3393" s="125"/>
      <c r="R3393" s="127"/>
      <c r="S3393" s="123"/>
      <c r="T3393" s="3"/>
      <c r="W3393" s="86"/>
      <c r="Y3393" s="75"/>
    </row>
    <row r="3394" spans="1:25" x14ac:dyDescent="0.25">
      <c r="A3394" s="75"/>
      <c r="C3394" s="81"/>
      <c r="D3394" s="81"/>
      <c r="I3394" s="81"/>
      <c r="K3394" s="82"/>
      <c r="L3394" s="123"/>
      <c r="M3394" s="3"/>
      <c r="N3394" s="3"/>
      <c r="O3394" s="3"/>
      <c r="P3394" s="125"/>
      <c r="Q3394" s="125"/>
      <c r="R3394" s="127"/>
      <c r="S3394" s="123"/>
      <c r="T3394" s="3"/>
      <c r="W3394" s="86"/>
      <c r="Y3394" s="75"/>
    </row>
    <row r="3395" spans="1:25" x14ac:dyDescent="0.25">
      <c r="A3395" s="75"/>
      <c r="C3395" s="81"/>
      <c r="D3395" s="81"/>
      <c r="I3395" s="81"/>
      <c r="K3395" s="82"/>
      <c r="L3395" s="123"/>
      <c r="M3395" s="3"/>
      <c r="N3395" s="3"/>
      <c r="O3395" s="3"/>
      <c r="P3395" s="125"/>
      <c r="Q3395" s="125"/>
      <c r="R3395" s="127"/>
      <c r="S3395" s="123"/>
      <c r="T3395" s="3"/>
      <c r="W3395" s="86"/>
      <c r="Y3395" s="75"/>
    </row>
    <row r="3396" spans="1:25" x14ac:dyDescent="0.25">
      <c r="A3396" s="75"/>
      <c r="C3396" s="81"/>
      <c r="D3396" s="81"/>
      <c r="I3396" s="81"/>
      <c r="K3396" s="82"/>
      <c r="L3396" s="123"/>
      <c r="M3396" s="3"/>
      <c r="N3396" s="3"/>
      <c r="O3396" s="3"/>
      <c r="P3396" s="125"/>
      <c r="Q3396" s="125"/>
      <c r="R3396" s="127"/>
      <c r="S3396" s="123"/>
      <c r="T3396" s="3"/>
      <c r="W3396" s="86"/>
      <c r="Y3396" s="75"/>
    </row>
    <row r="3397" spans="1:25" x14ac:dyDescent="0.25">
      <c r="A3397" s="75"/>
      <c r="C3397" s="81"/>
      <c r="D3397" s="81"/>
      <c r="I3397" s="81"/>
      <c r="K3397" s="82"/>
      <c r="L3397" s="123"/>
      <c r="M3397" s="3"/>
      <c r="N3397" s="3"/>
      <c r="O3397" s="3"/>
      <c r="P3397" s="125"/>
      <c r="Q3397" s="125"/>
      <c r="R3397" s="127"/>
      <c r="S3397" s="123"/>
      <c r="T3397" s="3"/>
      <c r="W3397" s="86"/>
      <c r="Y3397" s="75"/>
    </row>
    <row r="3398" spans="1:25" x14ac:dyDescent="0.25">
      <c r="A3398" s="75"/>
      <c r="C3398" s="81"/>
      <c r="D3398" s="81"/>
      <c r="I3398" s="81"/>
      <c r="K3398" s="82"/>
      <c r="L3398" s="123"/>
      <c r="M3398" s="3"/>
      <c r="N3398" s="3"/>
      <c r="O3398" s="3"/>
      <c r="P3398" s="125"/>
      <c r="Q3398" s="125"/>
      <c r="R3398" s="127"/>
      <c r="S3398" s="123"/>
      <c r="T3398" s="3"/>
      <c r="W3398" s="86"/>
      <c r="Y3398" s="75"/>
    </row>
    <row r="3399" spans="1:25" x14ac:dyDescent="0.25">
      <c r="A3399" s="75"/>
      <c r="C3399" s="81"/>
      <c r="D3399" s="81"/>
      <c r="I3399" s="81"/>
      <c r="K3399" s="82"/>
      <c r="L3399" s="123"/>
      <c r="M3399" s="3"/>
      <c r="N3399" s="3"/>
      <c r="O3399" s="3"/>
      <c r="P3399" s="125"/>
      <c r="Q3399" s="125"/>
      <c r="R3399" s="127"/>
      <c r="S3399" s="123"/>
      <c r="T3399" s="3"/>
      <c r="W3399" s="86"/>
      <c r="Y3399" s="75"/>
    </row>
    <row r="3400" spans="1:25" x14ac:dyDescent="0.25">
      <c r="A3400" s="75"/>
      <c r="C3400" s="81"/>
      <c r="D3400" s="81"/>
      <c r="I3400" s="81"/>
      <c r="K3400" s="82"/>
      <c r="L3400" s="123"/>
      <c r="M3400" s="3"/>
      <c r="N3400" s="3"/>
      <c r="O3400" s="3"/>
      <c r="P3400" s="125"/>
      <c r="Q3400" s="125"/>
      <c r="R3400" s="127"/>
      <c r="S3400" s="123"/>
      <c r="T3400" s="3"/>
      <c r="W3400" s="86"/>
      <c r="Y3400" s="75"/>
    </row>
    <row r="3401" spans="1:25" x14ac:dyDescent="0.25">
      <c r="A3401" s="75"/>
      <c r="C3401" s="81"/>
      <c r="D3401" s="81"/>
      <c r="I3401" s="81"/>
      <c r="K3401" s="82"/>
      <c r="L3401" s="123"/>
      <c r="M3401" s="3"/>
      <c r="N3401" s="3"/>
      <c r="O3401" s="3"/>
      <c r="P3401" s="125"/>
      <c r="Q3401" s="125"/>
      <c r="R3401" s="127"/>
      <c r="S3401" s="123"/>
      <c r="T3401" s="3"/>
      <c r="W3401" s="86"/>
      <c r="Y3401" s="75"/>
    </row>
    <row r="3402" spans="1:25" x14ac:dyDescent="0.25">
      <c r="A3402" s="75"/>
      <c r="C3402" s="81"/>
      <c r="D3402" s="81"/>
      <c r="I3402" s="81"/>
      <c r="K3402" s="82"/>
      <c r="L3402" s="123"/>
      <c r="M3402" s="3"/>
      <c r="N3402" s="3"/>
      <c r="O3402" s="3"/>
      <c r="P3402" s="125"/>
      <c r="Q3402" s="125"/>
      <c r="R3402" s="127"/>
      <c r="S3402" s="123"/>
      <c r="T3402" s="3"/>
      <c r="W3402" s="86"/>
      <c r="Y3402" s="75"/>
    </row>
    <row r="3403" spans="1:25" x14ac:dyDescent="0.25">
      <c r="A3403" s="75"/>
      <c r="C3403" s="81"/>
      <c r="D3403" s="81"/>
      <c r="I3403" s="81"/>
      <c r="K3403" s="82"/>
      <c r="L3403" s="123"/>
      <c r="M3403" s="3"/>
      <c r="N3403" s="3"/>
      <c r="O3403" s="3"/>
      <c r="P3403" s="125"/>
      <c r="Q3403" s="125"/>
      <c r="R3403" s="127"/>
      <c r="S3403" s="123"/>
      <c r="T3403" s="3"/>
      <c r="W3403" s="86"/>
      <c r="Y3403" s="75"/>
    </row>
    <row r="3404" spans="1:25" x14ac:dyDescent="0.25">
      <c r="A3404" s="75"/>
      <c r="C3404" s="81"/>
      <c r="D3404" s="81"/>
      <c r="I3404" s="81"/>
      <c r="K3404" s="82"/>
      <c r="L3404" s="123"/>
      <c r="M3404" s="3"/>
      <c r="N3404" s="3"/>
      <c r="O3404" s="3"/>
      <c r="P3404" s="125"/>
      <c r="Q3404" s="125"/>
      <c r="R3404" s="127"/>
      <c r="S3404" s="123"/>
      <c r="T3404" s="3"/>
      <c r="W3404" s="86"/>
      <c r="Y3404" s="75"/>
    </row>
    <row r="3405" spans="1:25" x14ac:dyDescent="0.25">
      <c r="A3405" s="75"/>
      <c r="C3405" s="81"/>
      <c r="D3405" s="81"/>
      <c r="I3405" s="81"/>
      <c r="K3405" s="82"/>
      <c r="L3405" s="123"/>
      <c r="M3405" s="3"/>
      <c r="N3405" s="3"/>
      <c r="O3405" s="3"/>
      <c r="P3405" s="125"/>
      <c r="Q3405" s="125"/>
      <c r="R3405" s="127"/>
      <c r="S3405" s="123"/>
      <c r="T3405" s="3"/>
      <c r="W3405" s="86"/>
      <c r="Y3405" s="75"/>
    </row>
    <row r="3406" spans="1:25" x14ac:dyDescent="0.25">
      <c r="A3406" s="75"/>
      <c r="C3406" s="81"/>
      <c r="D3406" s="81"/>
      <c r="I3406" s="81"/>
      <c r="K3406" s="82"/>
      <c r="L3406" s="123"/>
      <c r="M3406" s="3"/>
      <c r="N3406" s="3"/>
      <c r="O3406" s="3"/>
      <c r="P3406" s="125"/>
      <c r="Q3406" s="125"/>
      <c r="R3406" s="127"/>
      <c r="S3406" s="123"/>
      <c r="T3406" s="3"/>
      <c r="W3406" s="86"/>
      <c r="Y3406" s="75"/>
    </row>
    <row r="3407" spans="1:25" x14ac:dyDescent="0.25">
      <c r="A3407" s="75"/>
      <c r="C3407" s="81"/>
      <c r="D3407" s="81"/>
      <c r="I3407" s="81"/>
      <c r="K3407" s="82"/>
      <c r="L3407" s="123"/>
      <c r="M3407" s="3"/>
      <c r="N3407" s="3"/>
      <c r="O3407" s="3"/>
      <c r="P3407" s="125"/>
      <c r="Q3407" s="125"/>
      <c r="R3407" s="127"/>
      <c r="S3407" s="123"/>
      <c r="T3407" s="3"/>
      <c r="W3407" s="86"/>
      <c r="Y3407" s="75"/>
    </row>
    <row r="3408" spans="1:25" x14ac:dyDescent="0.25">
      <c r="A3408" s="75"/>
      <c r="C3408" s="81"/>
      <c r="D3408" s="81"/>
      <c r="I3408" s="81"/>
      <c r="K3408" s="82"/>
      <c r="L3408" s="123"/>
      <c r="M3408" s="3"/>
      <c r="N3408" s="3"/>
      <c r="O3408" s="3"/>
      <c r="P3408" s="125"/>
      <c r="Q3408" s="125"/>
      <c r="R3408" s="127"/>
      <c r="S3408" s="123"/>
      <c r="T3408" s="3"/>
      <c r="W3408" s="86"/>
      <c r="Y3408" s="75"/>
    </row>
    <row r="3409" spans="1:25" x14ac:dyDescent="0.25">
      <c r="A3409" s="75"/>
      <c r="C3409" s="81"/>
      <c r="D3409" s="81"/>
      <c r="I3409" s="81"/>
      <c r="K3409" s="82"/>
      <c r="L3409" s="123"/>
      <c r="M3409" s="3"/>
      <c r="N3409" s="3"/>
      <c r="O3409" s="3"/>
      <c r="P3409" s="125"/>
      <c r="Q3409" s="125"/>
      <c r="R3409" s="127"/>
      <c r="S3409" s="123"/>
      <c r="T3409" s="3"/>
      <c r="W3409" s="86"/>
      <c r="Y3409" s="75"/>
    </row>
    <row r="3410" spans="1:25" x14ac:dyDescent="0.25">
      <c r="A3410" s="75"/>
      <c r="C3410" s="81"/>
      <c r="D3410" s="81"/>
      <c r="I3410" s="81"/>
      <c r="K3410" s="82"/>
      <c r="L3410" s="123"/>
      <c r="M3410" s="3"/>
      <c r="N3410" s="3"/>
      <c r="O3410" s="3"/>
      <c r="P3410" s="125"/>
      <c r="Q3410" s="125"/>
      <c r="R3410" s="127"/>
      <c r="S3410" s="123"/>
      <c r="T3410" s="3"/>
      <c r="W3410" s="86"/>
      <c r="Y3410" s="75"/>
    </row>
    <row r="3411" spans="1:25" x14ac:dyDescent="0.25">
      <c r="A3411" s="75"/>
      <c r="C3411" s="81"/>
      <c r="D3411" s="81"/>
      <c r="I3411" s="81"/>
      <c r="K3411" s="82"/>
      <c r="L3411" s="123"/>
      <c r="M3411" s="3"/>
      <c r="N3411" s="3"/>
      <c r="O3411" s="3"/>
      <c r="P3411" s="125"/>
      <c r="Q3411" s="125"/>
      <c r="R3411" s="127"/>
      <c r="S3411" s="123"/>
      <c r="T3411" s="3"/>
      <c r="W3411" s="86"/>
      <c r="Y3411" s="75"/>
    </row>
    <row r="3412" spans="1:25" x14ac:dyDescent="0.25">
      <c r="A3412" s="75"/>
      <c r="C3412" s="81"/>
      <c r="D3412" s="81"/>
      <c r="I3412" s="81"/>
      <c r="K3412" s="82"/>
      <c r="L3412" s="123"/>
      <c r="M3412" s="3"/>
      <c r="N3412" s="3"/>
      <c r="O3412" s="3"/>
      <c r="P3412" s="125"/>
      <c r="Q3412" s="125"/>
      <c r="R3412" s="127"/>
      <c r="S3412" s="123"/>
      <c r="T3412" s="3"/>
      <c r="W3412" s="86"/>
      <c r="Y3412" s="75"/>
    </row>
    <row r="3413" spans="1:25" x14ac:dyDescent="0.25">
      <c r="A3413" s="75"/>
      <c r="C3413" s="81"/>
      <c r="D3413" s="81"/>
      <c r="I3413" s="81"/>
      <c r="K3413" s="82"/>
      <c r="L3413" s="123"/>
      <c r="M3413" s="3"/>
      <c r="N3413" s="3"/>
      <c r="O3413" s="3"/>
      <c r="P3413" s="125"/>
      <c r="Q3413" s="125"/>
      <c r="R3413" s="127"/>
      <c r="S3413" s="123"/>
      <c r="T3413" s="3"/>
      <c r="W3413" s="86"/>
      <c r="Y3413" s="75"/>
    </row>
    <row r="3414" spans="1:25" x14ac:dyDescent="0.25">
      <c r="A3414" s="75"/>
      <c r="C3414" s="81"/>
      <c r="D3414" s="81"/>
      <c r="I3414" s="81"/>
      <c r="K3414" s="82"/>
      <c r="L3414" s="123"/>
      <c r="M3414" s="3"/>
      <c r="N3414" s="3"/>
      <c r="O3414" s="3"/>
      <c r="P3414" s="125"/>
      <c r="Q3414" s="125"/>
      <c r="R3414" s="127"/>
      <c r="S3414" s="123"/>
      <c r="T3414" s="3"/>
      <c r="W3414" s="86"/>
      <c r="Y3414" s="75"/>
    </row>
    <row r="3415" spans="1:25" x14ac:dyDescent="0.25">
      <c r="A3415" s="75"/>
      <c r="C3415" s="81"/>
      <c r="D3415" s="81"/>
      <c r="I3415" s="81"/>
      <c r="K3415" s="82"/>
      <c r="L3415" s="123"/>
      <c r="M3415" s="3"/>
      <c r="N3415" s="3"/>
      <c r="O3415" s="3"/>
      <c r="P3415" s="125"/>
      <c r="Q3415" s="125"/>
      <c r="R3415" s="127"/>
      <c r="S3415" s="123"/>
      <c r="T3415" s="3"/>
      <c r="W3415" s="86"/>
      <c r="Y3415" s="75"/>
    </row>
    <row r="3416" spans="1:25" x14ac:dyDescent="0.25">
      <c r="A3416" s="75"/>
      <c r="C3416" s="81"/>
      <c r="D3416" s="81"/>
      <c r="I3416" s="81"/>
      <c r="K3416" s="82"/>
      <c r="L3416" s="123"/>
      <c r="M3416" s="3"/>
      <c r="N3416" s="3"/>
      <c r="O3416" s="3"/>
      <c r="P3416" s="125"/>
      <c r="Q3416" s="125"/>
      <c r="R3416" s="127"/>
      <c r="S3416" s="123"/>
      <c r="T3416" s="3"/>
      <c r="W3416" s="86"/>
      <c r="Y3416" s="75"/>
    </row>
    <row r="3417" spans="1:25" x14ac:dyDescent="0.25">
      <c r="A3417" s="75"/>
      <c r="C3417" s="81"/>
      <c r="D3417" s="81"/>
      <c r="I3417" s="81"/>
      <c r="K3417" s="82"/>
      <c r="L3417" s="123"/>
      <c r="M3417" s="3"/>
      <c r="N3417" s="3"/>
      <c r="O3417" s="3"/>
      <c r="P3417" s="125"/>
      <c r="Q3417" s="125"/>
      <c r="R3417" s="127"/>
      <c r="S3417" s="123"/>
      <c r="T3417" s="3"/>
      <c r="W3417" s="86"/>
      <c r="Y3417" s="75"/>
    </row>
    <row r="3418" spans="1:25" x14ac:dyDescent="0.25">
      <c r="A3418" s="75"/>
      <c r="C3418" s="81"/>
      <c r="D3418" s="81"/>
      <c r="I3418" s="81"/>
      <c r="K3418" s="82"/>
      <c r="L3418" s="123"/>
      <c r="M3418" s="3"/>
      <c r="N3418" s="3"/>
      <c r="O3418" s="3"/>
      <c r="P3418" s="125"/>
      <c r="Q3418" s="125"/>
      <c r="R3418" s="127"/>
      <c r="S3418" s="123"/>
      <c r="T3418" s="3"/>
      <c r="W3418" s="86"/>
      <c r="Y3418" s="75"/>
    </row>
    <row r="3419" spans="1:25" x14ac:dyDescent="0.25">
      <c r="A3419" s="75"/>
      <c r="C3419" s="81"/>
      <c r="D3419" s="81"/>
      <c r="I3419" s="81"/>
      <c r="K3419" s="82"/>
      <c r="L3419" s="123"/>
      <c r="M3419" s="3"/>
      <c r="N3419" s="3"/>
      <c r="O3419" s="3"/>
      <c r="P3419" s="125"/>
      <c r="Q3419" s="125"/>
      <c r="R3419" s="127"/>
      <c r="S3419" s="123"/>
      <c r="T3419" s="3"/>
      <c r="W3419" s="86"/>
      <c r="Y3419" s="75"/>
    </row>
    <row r="3420" spans="1:25" x14ac:dyDescent="0.25">
      <c r="A3420" s="75"/>
      <c r="C3420" s="81"/>
      <c r="D3420" s="81"/>
      <c r="I3420" s="81"/>
      <c r="K3420" s="82"/>
      <c r="L3420" s="123"/>
      <c r="M3420" s="3"/>
      <c r="N3420" s="3"/>
      <c r="O3420" s="3"/>
      <c r="P3420" s="125"/>
      <c r="Q3420" s="125"/>
      <c r="R3420" s="127"/>
      <c r="S3420" s="123"/>
      <c r="T3420" s="3"/>
      <c r="W3420" s="86"/>
      <c r="Y3420" s="75"/>
    </row>
    <row r="3421" spans="1:25" x14ac:dyDescent="0.25">
      <c r="A3421" s="75"/>
      <c r="C3421" s="81"/>
      <c r="D3421" s="81"/>
      <c r="I3421" s="81"/>
      <c r="K3421" s="82"/>
      <c r="L3421" s="123"/>
      <c r="M3421" s="3"/>
      <c r="N3421" s="3"/>
      <c r="O3421" s="3"/>
      <c r="P3421" s="125"/>
      <c r="Q3421" s="125"/>
      <c r="R3421" s="127"/>
      <c r="S3421" s="123"/>
      <c r="T3421" s="3"/>
      <c r="W3421" s="86"/>
      <c r="Y3421" s="75"/>
    </row>
    <row r="3422" spans="1:25" x14ac:dyDescent="0.25">
      <c r="A3422" s="75"/>
      <c r="C3422" s="81"/>
      <c r="D3422" s="81"/>
      <c r="I3422" s="81"/>
      <c r="K3422" s="82"/>
      <c r="L3422" s="123"/>
      <c r="M3422" s="3"/>
      <c r="N3422" s="3"/>
      <c r="O3422" s="3"/>
      <c r="P3422" s="125"/>
      <c r="Q3422" s="125"/>
      <c r="R3422" s="127"/>
      <c r="S3422" s="123"/>
      <c r="T3422" s="3"/>
      <c r="W3422" s="86"/>
      <c r="Y3422" s="75"/>
    </row>
    <row r="3423" spans="1:25" x14ac:dyDescent="0.25">
      <c r="A3423" s="75"/>
      <c r="C3423" s="81"/>
      <c r="D3423" s="81"/>
      <c r="I3423" s="81"/>
      <c r="K3423" s="82"/>
      <c r="L3423" s="123"/>
      <c r="M3423" s="3"/>
      <c r="N3423" s="3"/>
      <c r="O3423" s="3"/>
      <c r="P3423" s="125"/>
      <c r="Q3423" s="125"/>
      <c r="R3423" s="127"/>
      <c r="S3423" s="123"/>
      <c r="T3423" s="3"/>
      <c r="W3423" s="86"/>
      <c r="Y3423" s="75"/>
    </row>
    <row r="3424" spans="1:25" x14ac:dyDescent="0.25">
      <c r="A3424" s="75"/>
      <c r="C3424" s="81"/>
      <c r="D3424" s="81"/>
      <c r="I3424" s="81"/>
      <c r="K3424" s="82"/>
      <c r="L3424" s="123"/>
      <c r="M3424" s="3"/>
      <c r="N3424" s="3"/>
      <c r="O3424" s="3"/>
      <c r="P3424" s="125"/>
      <c r="Q3424" s="125"/>
      <c r="R3424" s="127"/>
      <c r="S3424" s="123"/>
      <c r="T3424" s="3"/>
      <c r="W3424" s="86"/>
      <c r="Y3424" s="75"/>
    </row>
    <row r="3425" spans="1:25" x14ac:dyDescent="0.25">
      <c r="A3425" s="75"/>
      <c r="C3425" s="81"/>
      <c r="D3425" s="81"/>
      <c r="I3425" s="81"/>
      <c r="K3425" s="82"/>
      <c r="L3425" s="123"/>
      <c r="M3425" s="3"/>
      <c r="N3425" s="3"/>
      <c r="O3425" s="3"/>
      <c r="P3425" s="125"/>
      <c r="Q3425" s="125"/>
      <c r="R3425" s="127"/>
      <c r="S3425" s="123"/>
      <c r="T3425" s="3"/>
      <c r="W3425" s="86"/>
      <c r="Y3425" s="75"/>
    </row>
    <row r="3426" spans="1:25" x14ac:dyDescent="0.25">
      <c r="A3426" s="75"/>
      <c r="C3426" s="81"/>
      <c r="D3426" s="81"/>
      <c r="I3426" s="81"/>
      <c r="K3426" s="82"/>
      <c r="L3426" s="123"/>
      <c r="M3426" s="3"/>
      <c r="N3426" s="3"/>
      <c r="O3426" s="3"/>
      <c r="P3426" s="125"/>
      <c r="Q3426" s="125"/>
      <c r="R3426" s="127"/>
      <c r="S3426" s="123"/>
      <c r="T3426" s="3"/>
      <c r="W3426" s="86"/>
      <c r="Y3426" s="75"/>
    </row>
    <row r="3427" spans="1:25" x14ac:dyDescent="0.25">
      <c r="A3427" s="75"/>
      <c r="C3427" s="81"/>
      <c r="D3427" s="81"/>
      <c r="I3427" s="81"/>
      <c r="K3427" s="82"/>
      <c r="L3427" s="123"/>
      <c r="M3427" s="3"/>
      <c r="N3427" s="3"/>
      <c r="O3427" s="3"/>
      <c r="P3427" s="125"/>
      <c r="Q3427" s="125"/>
      <c r="R3427" s="127"/>
      <c r="S3427" s="123"/>
      <c r="T3427" s="3"/>
      <c r="W3427" s="86"/>
      <c r="Y3427" s="75"/>
    </row>
    <row r="3428" spans="1:25" x14ac:dyDescent="0.25">
      <c r="A3428" s="75"/>
      <c r="C3428" s="81"/>
      <c r="D3428" s="81"/>
      <c r="I3428" s="81"/>
      <c r="K3428" s="82"/>
      <c r="L3428" s="123"/>
      <c r="M3428" s="3"/>
      <c r="N3428" s="3"/>
      <c r="O3428" s="3"/>
      <c r="P3428" s="125"/>
      <c r="Q3428" s="125"/>
      <c r="R3428" s="127"/>
      <c r="S3428" s="123"/>
      <c r="T3428" s="3"/>
      <c r="W3428" s="86"/>
      <c r="Y3428" s="75"/>
    </row>
    <row r="3429" spans="1:25" x14ac:dyDescent="0.25">
      <c r="A3429" s="75"/>
      <c r="C3429" s="81"/>
      <c r="D3429" s="81"/>
      <c r="I3429" s="81"/>
      <c r="K3429" s="82"/>
      <c r="L3429" s="123"/>
      <c r="M3429" s="3"/>
      <c r="N3429" s="3"/>
      <c r="O3429" s="3"/>
      <c r="P3429" s="125"/>
      <c r="Q3429" s="125"/>
      <c r="R3429" s="127"/>
      <c r="S3429" s="123"/>
      <c r="T3429" s="3"/>
      <c r="W3429" s="86"/>
      <c r="Y3429" s="75"/>
    </row>
    <row r="3430" spans="1:25" x14ac:dyDescent="0.25">
      <c r="A3430" s="75"/>
      <c r="C3430" s="81"/>
      <c r="D3430" s="81"/>
      <c r="I3430" s="81"/>
      <c r="K3430" s="82"/>
      <c r="L3430" s="123"/>
      <c r="M3430" s="3"/>
      <c r="N3430" s="3"/>
      <c r="O3430" s="3"/>
      <c r="P3430" s="125"/>
      <c r="Q3430" s="125"/>
      <c r="R3430" s="127"/>
      <c r="S3430" s="123"/>
      <c r="T3430" s="3"/>
      <c r="W3430" s="86"/>
      <c r="Y3430" s="75"/>
    </row>
    <row r="3431" spans="1:25" x14ac:dyDescent="0.25">
      <c r="A3431" s="75"/>
      <c r="C3431" s="81"/>
      <c r="D3431" s="81"/>
      <c r="I3431" s="81"/>
      <c r="K3431" s="82"/>
      <c r="L3431" s="123"/>
      <c r="M3431" s="3"/>
      <c r="N3431" s="3"/>
      <c r="O3431" s="3"/>
      <c r="P3431" s="125"/>
      <c r="Q3431" s="125"/>
      <c r="R3431" s="127"/>
      <c r="S3431" s="123"/>
      <c r="T3431" s="3"/>
      <c r="W3431" s="86"/>
      <c r="Y3431" s="75"/>
    </row>
    <row r="3432" spans="1:25" x14ac:dyDescent="0.25">
      <c r="A3432" s="75"/>
      <c r="C3432" s="81"/>
      <c r="D3432" s="81"/>
      <c r="I3432" s="81"/>
      <c r="K3432" s="82"/>
      <c r="L3432" s="123"/>
      <c r="M3432" s="3"/>
      <c r="N3432" s="3"/>
      <c r="O3432" s="3"/>
      <c r="P3432" s="125"/>
      <c r="Q3432" s="125"/>
      <c r="R3432" s="127"/>
      <c r="S3432" s="123"/>
      <c r="T3432" s="3"/>
      <c r="W3432" s="86"/>
      <c r="Y3432" s="75"/>
    </row>
    <row r="3433" spans="1:25" x14ac:dyDescent="0.25">
      <c r="A3433" s="75"/>
      <c r="C3433" s="81"/>
      <c r="D3433" s="81"/>
      <c r="I3433" s="81"/>
      <c r="K3433" s="82"/>
      <c r="L3433" s="123"/>
      <c r="M3433" s="3"/>
      <c r="N3433" s="3"/>
      <c r="O3433" s="3"/>
      <c r="P3433" s="125"/>
      <c r="Q3433" s="125"/>
      <c r="R3433" s="127"/>
      <c r="S3433" s="123"/>
      <c r="T3433" s="3"/>
      <c r="W3433" s="86"/>
      <c r="Y3433" s="75"/>
    </row>
    <row r="3434" spans="1:25" x14ac:dyDescent="0.25">
      <c r="A3434" s="75"/>
      <c r="C3434" s="81"/>
      <c r="D3434" s="81"/>
      <c r="I3434" s="81"/>
      <c r="K3434" s="82"/>
      <c r="L3434" s="123"/>
      <c r="M3434" s="3"/>
      <c r="N3434" s="3"/>
      <c r="O3434" s="3"/>
      <c r="P3434" s="125"/>
      <c r="Q3434" s="125"/>
      <c r="R3434" s="127"/>
      <c r="S3434" s="123"/>
      <c r="T3434" s="3"/>
      <c r="W3434" s="86"/>
      <c r="Y3434" s="75"/>
    </row>
    <row r="3435" spans="1:25" x14ac:dyDescent="0.25">
      <c r="A3435" s="75"/>
      <c r="C3435" s="81"/>
      <c r="D3435" s="81"/>
      <c r="I3435" s="81"/>
      <c r="K3435" s="82"/>
      <c r="L3435" s="123"/>
      <c r="M3435" s="3"/>
      <c r="N3435" s="3"/>
      <c r="O3435" s="3"/>
      <c r="P3435" s="125"/>
      <c r="Q3435" s="125"/>
      <c r="R3435" s="127"/>
      <c r="S3435" s="123"/>
      <c r="T3435" s="3"/>
      <c r="W3435" s="86"/>
      <c r="Y3435" s="75"/>
    </row>
    <row r="3436" spans="1:25" x14ac:dyDescent="0.25">
      <c r="A3436" s="75"/>
      <c r="C3436" s="81"/>
      <c r="D3436" s="81"/>
      <c r="I3436" s="81"/>
      <c r="K3436" s="82"/>
      <c r="L3436" s="123"/>
      <c r="M3436" s="3"/>
      <c r="N3436" s="3"/>
      <c r="O3436" s="3"/>
      <c r="P3436" s="125"/>
      <c r="Q3436" s="125"/>
      <c r="R3436" s="127"/>
      <c r="S3436" s="123"/>
      <c r="T3436" s="3"/>
      <c r="W3436" s="86"/>
      <c r="Y3436" s="75"/>
    </row>
    <row r="3437" spans="1:25" x14ac:dyDescent="0.25">
      <c r="A3437" s="75"/>
      <c r="C3437" s="81"/>
      <c r="D3437" s="81"/>
      <c r="I3437" s="81"/>
      <c r="K3437" s="82"/>
      <c r="L3437" s="123"/>
      <c r="M3437" s="3"/>
      <c r="N3437" s="3"/>
      <c r="O3437" s="3"/>
      <c r="P3437" s="125"/>
      <c r="Q3437" s="125"/>
      <c r="R3437" s="127"/>
      <c r="S3437" s="123"/>
      <c r="T3437" s="3"/>
      <c r="W3437" s="86"/>
      <c r="Y3437" s="75"/>
    </row>
    <row r="3438" spans="1:25" x14ac:dyDescent="0.25">
      <c r="A3438" s="75"/>
      <c r="C3438" s="81"/>
      <c r="D3438" s="81"/>
      <c r="I3438" s="81"/>
      <c r="K3438" s="82"/>
      <c r="L3438" s="123"/>
      <c r="M3438" s="3"/>
      <c r="N3438" s="3"/>
      <c r="O3438" s="3"/>
      <c r="P3438" s="125"/>
      <c r="Q3438" s="125"/>
      <c r="R3438" s="127"/>
      <c r="S3438" s="123"/>
      <c r="T3438" s="3"/>
      <c r="W3438" s="86"/>
      <c r="Y3438" s="75"/>
    </row>
    <row r="3439" spans="1:25" x14ac:dyDescent="0.25">
      <c r="A3439" s="75"/>
      <c r="C3439" s="81"/>
      <c r="D3439" s="81"/>
      <c r="I3439" s="81"/>
      <c r="K3439" s="82"/>
      <c r="L3439" s="123"/>
      <c r="M3439" s="3"/>
      <c r="N3439" s="3"/>
      <c r="O3439" s="3"/>
      <c r="P3439" s="125"/>
      <c r="Q3439" s="125"/>
      <c r="R3439" s="127"/>
      <c r="S3439" s="123"/>
      <c r="T3439" s="3"/>
      <c r="W3439" s="86"/>
      <c r="Y3439" s="75"/>
    </row>
    <row r="3440" spans="1:25" x14ac:dyDescent="0.25">
      <c r="A3440" s="75"/>
      <c r="C3440" s="81"/>
      <c r="D3440" s="81"/>
      <c r="I3440" s="81"/>
      <c r="K3440" s="82"/>
      <c r="L3440" s="123"/>
      <c r="M3440" s="3"/>
      <c r="N3440" s="3"/>
      <c r="O3440" s="3"/>
      <c r="P3440" s="125"/>
      <c r="Q3440" s="125"/>
      <c r="R3440" s="127"/>
      <c r="S3440" s="123"/>
      <c r="T3440" s="3"/>
      <c r="W3440" s="86"/>
      <c r="Y3440" s="75"/>
    </row>
    <row r="3441" spans="1:25" x14ac:dyDescent="0.25">
      <c r="A3441" s="75"/>
      <c r="C3441" s="81"/>
      <c r="D3441" s="81"/>
      <c r="I3441" s="81"/>
      <c r="K3441" s="82"/>
      <c r="L3441" s="123"/>
      <c r="M3441" s="3"/>
      <c r="N3441" s="3"/>
      <c r="O3441" s="3"/>
      <c r="P3441" s="125"/>
      <c r="Q3441" s="125"/>
      <c r="R3441" s="127"/>
      <c r="S3441" s="123"/>
      <c r="T3441" s="3"/>
      <c r="W3441" s="86"/>
      <c r="Y3441" s="75"/>
    </row>
    <row r="3442" spans="1:25" x14ac:dyDescent="0.25">
      <c r="A3442" s="75"/>
      <c r="C3442" s="81"/>
      <c r="D3442" s="81"/>
      <c r="I3442" s="81"/>
      <c r="K3442" s="82"/>
      <c r="L3442" s="123"/>
      <c r="M3442" s="3"/>
      <c r="N3442" s="3"/>
      <c r="O3442" s="3"/>
      <c r="P3442" s="125"/>
      <c r="Q3442" s="125"/>
      <c r="R3442" s="127"/>
      <c r="S3442" s="123"/>
      <c r="T3442" s="3"/>
      <c r="W3442" s="86"/>
      <c r="Y3442" s="75"/>
    </row>
    <row r="3443" spans="1:25" x14ac:dyDescent="0.25">
      <c r="A3443" s="75"/>
      <c r="C3443" s="81"/>
      <c r="D3443" s="81"/>
      <c r="I3443" s="81"/>
      <c r="K3443" s="82"/>
      <c r="L3443" s="123"/>
      <c r="M3443" s="3"/>
      <c r="N3443" s="3"/>
      <c r="O3443" s="3"/>
      <c r="P3443" s="125"/>
      <c r="Q3443" s="125"/>
      <c r="R3443" s="127"/>
      <c r="S3443" s="123"/>
      <c r="T3443" s="3"/>
      <c r="W3443" s="86"/>
      <c r="Y3443" s="75"/>
    </row>
    <row r="3444" spans="1:25" x14ac:dyDescent="0.25">
      <c r="A3444" s="75"/>
      <c r="C3444" s="81"/>
      <c r="D3444" s="81"/>
      <c r="I3444" s="81"/>
      <c r="K3444" s="82"/>
      <c r="L3444" s="123"/>
      <c r="M3444" s="3"/>
      <c r="N3444" s="3"/>
      <c r="O3444" s="3"/>
      <c r="P3444" s="125"/>
      <c r="Q3444" s="125"/>
      <c r="R3444" s="127"/>
      <c r="S3444" s="123"/>
      <c r="T3444" s="3"/>
      <c r="W3444" s="86"/>
      <c r="Y3444" s="75"/>
    </row>
    <row r="3445" spans="1:25" x14ac:dyDescent="0.25">
      <c r="A3445" s="75"/>
      <c r="C3445" s="81"/>
      <c r="D3445" s="81"/>
      <c r="I3445" s="81"/>
      <c r="K3445" s="82"/>
      <c r="L3445" s="123"/>
      <c r="M3445" s="3"/>
      <c r="N3445" s="3"/>
      <c r="O3445" s="3"/>
      <c r="P3445" s="125"/>
      <c r="Q3445" s="125"/>
      <c r="R3445" s="127"/>
      <c r="S3445" s="123"/>
      <c r="T3445" s="3"/>
      <c r="W3445" s="86"/>
      <c r="Y3445" s="75"/>
    </row>
    <row r="3446" spans="1:25" x14ac:dyDescent="0.25">
      <c r="A3446" s="75"/>
      <c r="C3446" s="81"/>
      <c r="D3446" s="81"/>
      <c r="I3446" s="81"/>
      <c r="K3446" s="82"/>
      <c r="L3446" s="123"/>
      <c r="M3446" s="3"/>
      <c r="N3446" s="3"/>
      <c r="O3446" s="3"/>
      <c r="P3446" s="125"/>
      <c r="Q3446" s="125"/>
      <c r="R3446" s="127"/>
      <c r="S3446" s="123"/>
      <c r="T3446" s="3"/>
      <c r="W3446" s="86"/>
      <c r="Y3446" s="75"/>
    </row>
    <row r="3447" spans="1:25" x14ac:dyDescent="0.25">
      <c r="A3447" s="75"/>
      <c r="C3447" s="81"/>
      <c r="D3447" s="81"/>
      <c r="I3447" s="81"/>
      <c r="K3447" s="82"/>
      <c r="L3447" s="123"/>
      <c r="M3447" s="3"/>
      <c r="N3447" s="3"/>
      <c r="O3447" s="3"/>
      <c r="P3447" s="125"/>
      <c r="Q3447" s="125"/>
      <c r="R3447" s="127"/>
      <c r="S3447" s="123"/>
      <c r="T3447" s="3"/>
      <c r="W3447" s="86"/>
      <c r="Y3447" s="75"/>
    </row>
    <row r="3448" spans="1:25" x14ac:dyDescent="0.25">
      <c r="A3448" s="75"/>
      <c r="C3448" s="81"/>
      <c r="D3448" s="81"/>
      <c r="I3448" s="81"/>
      <c r="K3448" s="82"/>
      <c r="L3448" s="123"/>
      <c r="M3448" s="3"/>
      <c r="N3448" s="3"/>
      <c r="O3448" s="3"/>
      <c r="P3448" s="125"/>
      <c r="Q3448" s="125"/>
      <c r="R3448" s="127"/>
      <c r="S3448" s="123"/>
      <c r="T3448" s="3"/>
      <c r="W3448" s="86"/>
      <c r="Y3448" s="75"/>
    </row>
    <row r="3449" spans="1:25" x14ac:dyDescent="0.25">
      <c r="A3449" s="75"/>
      <c r="C3449" s="81"/>
      <c r="D3449" s="81"/>
      <c r="I3449" s="81"/>
      <c r="K3449" s="82"/>
      <c r="L3449" s="123"/>
      <c r="M3449" s="3"/>
      <c r="N3449" s="3"/>
      <c r="O3449" s="3"/>
      <c r="P3449" s="125"/>
      <c r="Q3449" s="125"/>
      <c r="R3449" s="127"/>
      <c r="S3449" s="123"/>
      <c r="T3449" s="3"/>
      <c r="W3449" s="86"/>
      <c r="Y3449" s="75"/>
    </row>
    <row r="3450" spans="1:25" x14ac:dyDescent="0.25">
      <c r="A3450" s="75"/>
      <c r="C3450" s="81"/>
      <c r="D3450" s="81"/>
      <c r="I3450" s="81"/>
      <c r="K3450" s="82"/>
      <c r="L3450" s="123"/>
      <c r="M3450" s="3"/>
      <c r="N3450" s="3"/>
      <c r="O3450" s="3"/>
      <c r="P3450" s="125"/>
      <c r="Q3450" s="125"/>
      <c r="R3450" s="127"/>
      <c r="S3450" s="123"/>
      <c r="T3450" s="3"/>
      <c r="W3450" s="86"/>
      <c r="Y3450" s="75"/>
    </row>
    <row r="3451" spans="1:25" x14ac:dyDescent="0.25">
      <c r="A3451" s="75"/>
      <c r="C3451" s="81"/>
      <c r="D3451" s="81"/>
      <c r="I3451" s="81"/>
      <c r="K3451" s="82"/>
      <c r="L3451" s="123"/>
      <c r="M3451" s="3"/>
      <c r="N3451" s="3"/>
      <c r="O3451" s="3"/>
      <c r="P3451" s="125"/>
      <c r="Q3451" s="125"/>
      <c r="R3451" s="127"/>
      <c r="S3451" s="123"/>
      <c r="T3451" s="3"/>
      <c r="W3451" s="86"/>
      <c r="Y3451" s="75"/>
    </row>
    <row r="3452" spans="1:25" x14ac:dyDescent="0.25">
      <c r="A3452" s="75"/>
      <c r="C3452" s="81"/>
      <c r="D3452" s="81"/>
      <c r="I3452" s="81"/>
      <c r="K3452" s="82"/>
      <c r="L3452" s="123"/>
      <c r="M3452" s="3"/>
      <c r="N3452" s="3"/>
      <c r="O3452" s="3"/>
      <c r="P3452" s="125"/>
      <c r="Q3452" s="125"/>
      <c r="R3452" s="127"/>
      <c r="S3452" s="123"/>
      <c r="T3452" s="3"/>
      <c r="W3452" s="86"/>
      <c r="Y3452" s="75"/>
    </row>
    <row r="3453" spans="1:25" x14ac:dyDescent="0.25">
      <c r="A3453" s="75"/>
      <c r="C3453" s="81"/>
      <c r="D3453" s="81"/>
      <c r="I3453" s="81"/>
      <c r="K3453" s="82"/>
      <c r="L3453" s="123"/>
      <c r="M3453" s="3"/>
      <c r="N3453" s="3"/>
      <c r="O3453" s="3"/>
      <c r="P3453" s="125"/>
      <c r="Q3453" s="125"/>
      <c r="R3453" s="127"/>
      <c r="S3453" s="123"/>
      <c r="T3453" s="3"/>
      <c r="W3453" s="86"/>
      <c r="Y3453" s="75"/>
    </row>
    <row r="3454" spans="1:25" x14ac:dyDescent="0.25">
      <c r="A3454" s="75"/>
      <c r="C3454" s="81"/>
      <c r="D3454" s="81"/>
      <c r="I3454" s="81"/>
      <c r="K3454" s="82"/>
      <c r="L3454" s="123"/>
      <c r="M3454" s="3"/>
      <c r="N3454" s="3"/>
      <c r="O3454" s="3"/>
      <c r="P3454" s="125"/>
      <c r="Q3454" s="125"/>
      <c r="R3454" s="127"/>
      <c r="S3454" s="123"/>
      <c r="T3454" s="3"/>
      <c r="W3454" s="86"/>
      <c r="Y3454" s="75"/>
    </row>
    <row r="3455" spans="1:25" x14ac:dyDescent="0.25">
      <c r="A3455" s="75"/>
      <c r="C3455" s="81"/>
      <c r="D3455" s="81"/>
      <c r="I3455" s="81"/>
      <c r="K3455" s="82"/>
      <c r="L3455" s="123"/>
      <c r="M3455" s="3"/>
      <c r="N3455" s="3"/>
      <c r="O3455" s="3"/>
      <c r="P3455" s="125"/>
      <c r="Q3455" s="125"/>
      <c r="R3455" s="127"/>
      <c r="S3455" s="123"/>
      <c r="T3455" s="3"/>
      <c r="W3455" s="86"/>
      <c r="Y3455" s="75"/>
    </row>
    <row r="3456" spans="1:25" x14ac:dyDescent="0.25">
      <c r="A3456" s="75"/>
      <c r="C3456" s="81"/>
      <c r="D3456" s="81"/>
      <c r="I3456" s="81"/>
      <c r="K3456" s="82"/>
      <c r="L3456" s="123"/>
      <c r="M3456" s="3"/>
      <c r="N3456" s="3"/>
      <c r="O3456" s="3"/>
      <c r="P3456" s="125"/>
      <c r="Q3456" s="125"/>
      <c r="R3456" s="127"/>
      <c r="S3456" s="123"/>
      <c r="T3456" s="3"/>
      <c r="W3456" s="86"/>
      <c r="Y3456" s="75"/>
    </row>
    <row r="3457" spans="1:25" x14ac:dyDescent="0.25">
      <c r="A3457" s="75"/>
      <c r="C3457" s="81"/>
      <c r="D3457" s="81"/>
      <c r="I3457" s="81"/>
      <c r="K3457" s="82"/>
      <c r="L3457" s="123"/>
      <c r="M3457" s="3"/>
      <c r="N3457" s="3"/>
      <c r="O3457" s="3"/>
      <c r="P3457" s="125"/>
      <c r="Q3457" s="125"/>
      <c r="R3457" s="127"/>
      <c r="S3457" s="123"/>
      <c r="T3457" s="3"/>
      <c r="W3457" s="86"/>
      <c r="Y3457" s="75"/>
    </row>
    <row r="3458" spans="1:25" x14ac:dyDescent="0.25">
      <c r="A3458" s="75"/>
      <c r="C3458" s="81"/>
      <c r="D3458" s="81"/>
      <c r="I3458" s="81"/>
      <c r="K3458" s="82"/>
      <c r="L3458" s="123"/>
      <c r="M3458" s="3"/>
      <c r="N3458" s="3"/>
      <c r="O3458" s="3"/>
      <c r="P3458" s="125"/>
      <c r="Q3458" s="125"/>
      <c r="R3458" s="127"/>
      <c r="S3458" s="123"/>
      <c r="T3458" s="3"/>
      <c r="W3458" s="86"/>
      <c r="Y3458" s="75"/>
    </row>
    <row r="3459" spans="1:25" x14ac:dyDescent="0.25">
      <c r="A3459" s="75"/>
      <c r="C3459" s="81"/>
      <c r="D3459" s="81"/>
      <c r="I3459" s="81"/>
      <c r="K3459" s="82"/>
      <c r="L3459" s="123"/>
      <c r="M3459" s="3"/>
      <c r="N3459" s="3"/>
      <c r="O3459" s="3"/>
      <c r="P3459" s="125"/>
      <c r="Q3459" s="125"/>
      <c r="R3459" s="127"/>
      <c r="S3459" s="123"/>
      <c r="T3459" s="3"/>
      <c r="W3459" s="86"/>
      <c r="Y3459" s="75"/>
    </row>
    <row r="3460" spans="1:25" x14ac:dyDescent="0.25">
      <c r="A3460" s="75"/>
      <c r="C3460" s="81"/>
      <c r="D3460" s="81"/>
      <c r="I3460" s="81"/>
      <c r="K3460" s="82"/>
      <c r="L3460" s="123"/>
      <c r="M3460" s="3"/>
      <c r="N3460" s="3"/>
      <c r="O3460" s="3"/>
      <c r="P3460" s="125"/>
      <c r="Q3460" s="125"/>
      <c r="R3460" s="127"/>
      <c r="S3460" s="123"/>
      <c r="T3460" s="3"/>
      <c r="W3460" s="86"/>
      <c r="Y3460" s="75"/>
    </row>
    <row r="3461" spans="1:25" x14ac:dyDescent="0.25">
      <c r="A3461" s="75"/>
      <c r="C3461" s="81"/>
      <c r="D3461" s="81"/>
      <c r="I3461" s="81"/>
      <c r="K3461" s="82"/>
      <c r="L3461" s="123"/>
      <c r="M3461" s="3"/>
      <c r="N3461" s="3"/>
      <c r="O3461" s="3"/>
      <c r="P3461" s="125"/>
      <c r="Q3461" s="125"/>
      <c r="R3461" s="127"/>
      <c r="S3461" s="123"/>
      <c r="T3461" s="3"/>
      <c r="W3461" s="86"/>
      <c r="Y3461" s="75"/>
    </row>
    <row r="3462" spans="1:25" x14ac:dyDescent="0.25">
      <c r="A3462" s="75"/>
      <c r="C3462" s="81"/>
      <c r="D3462" s="81"/>
      <c r="I3462" s="81"/>
      <c r="K3462" s="82"/>
      <c r="L3462" s="123"/>
      <c r="M3462" s="3"/>
      <c r="N3462" s="3"/>
      <c r="O3462" s="3"/>
      <c r="P3462" s="125"/>
      <c r="Q3462" s="125"/>
      <c r="R3462" s="127"/>
      <c r="S3462" s="123"/>
      <c r="T3462" s="3"/>
      <c r="W3462" s="86"/>
      <c r="Y3462" s="75"/>
    </row>
    <row r="3463" spans="1:25" x14ac:dyDescent="0.25">
      <c r="A3463" s="75"/>
      <c r="C3463" s="81"/>
      <c r="D3463" s="81"/>
      <c r="I3463" s="81"/>
      <c r="K3463" s="82"/>
      <c r="L3463" s="123"/>
      <c r="M3463" s="3"/>
      <c r="N3463" s="3"/>
      <c r="O3463" s="3"/>
      <c r="P3463" s="125"/>
      <c r="Q3463" s="125"/>
      <c r="R3463" s="127"/>
      <c r="S3463" s="123"/>
      <c r="T3463" s="3"/>
      <c r="W3463" s="86"/>
      <c r="Y3463" s="75"/>
    </row>
    <row r="3464" spans="1:25" x14ac:dyDescent="0.25">
      <c r="A3464" s="75"/>
      <c r="C3464" s="81"/>
      <c r="D3464" s="81"/>
      <c r="I3464" s="81"/>
      <c r="K3464" s="82"/>
      <c r="L3464" s="123"/>
      <c r="M3464" s="3"/>
      <c r="N3464" s="3"/>
      <c r="O3464" s="3"/>
      <c r="P3464" s="125"/>
      <c r="Q3464" s="125"/>
      <c r="R3464" s="127"/>
      <c r="S3464" s="123"/>
      <c r="T3464" s="3"/>
      <c r="W3464" s="86"/>
      <c r="Y3464" s="75"/>
    </row>
    <row r="3465" spans="1:25" x14ac:dyDescent="0.25">
      <c r="A3465" s="75"/>
      <c r="C3465" s="81"/>
      <c r="D3465" s="81"/>
      <c r="I3465" s="81"/>
      <c r="K3465" s="82"/>
      <c r="L3465" s="123"/>
      <c r="M3465" s="3"/>
      <c r="N3465" s="3"/>
      <c r="O3465" s="3"/>
      <c r="P3465" s="125"/>
      <c r="Q3465" s="125"/>
      <c r="R3465" s="127"/>
      <c r="S3465" s="123"/>
      <c r="T3465" s="3"/>
      <c r="W3465" s="86"/>
      <c r="Y3465" s="75"/>
    </row>
    <row r="3466" spans="1:25" x14ac:dyDescent="0.25">
      <c r="A3466" s="75"/>
      <c r="C3466" s="81"/>
      <c r="D3466" s="81"/>
      <c r="I3466" s="81"/>
      <c r="K3466" s="82"/>
      <c r="L3466" s="123"/>
      <c r="M3466" s="3"/>
      <c r="N3466" s="3"/>
      <c r="O3466" s="3"/>
      <c r="P3466" s="125"/>
      <c r="Q3466" s="125"/>
      <c r="R3466" s="127"/>
      <c r="S3466" s="123"/>
      <c r="T3466" s="3"/>
      <c r="W3466" s="86"/>
      <c r="Y3466" s="75"/>
    </row>
    <row r="3467" spans="1:25" x14ac:dyDescent="0.25">
      <c r="A3467" s="75"/>
      <c r="C3467" s="81"/>
      <c r="D3467" s="81"/>
      <c r="I3467" s="81"/>
      <c r="K3467" s="82"/>
      <c r="L3467" s="123"/>
      <c r="M3467" s="3"/>
      <c r="N3467" s="3"/>
      <c r="O3467" s="3"/>
      <c r="P3467" s="125"/>
      <c r="Q3467" s="125"/>
      <c r="R3467" s="127"/>
      <c r="S3467" s="123"/>
      <c r="T3467" s="3"/>
      <c r="W3467" s="86"/>
      <c r="Y3467" s="75"/>
    </row>
    <row r="3468" spans="1:25" x14ac:dyDescent="0.25">
      <c r="A3468" s="75"/>
      <c r="C3468" s="81"/>
      <c r="D3468" s="81"/>
      <c r="I3468" s="81"/>
      <c r="K3468" s="82"/>
      <c r="L3468" s="123"/>
      <c r="M3468" s="3"/>
      <c r="N3468" s="3"/>
      <c r="O3468" s="3"/>
      <c r="P3468" s="125"/>
      <c r="Q3468" s="125"/>
      <c r="R3468" s="127"/>
      <c r="S3468" s="123"/>
      <c r="T3468" s="3"/>
      <c r="W3468" s="86"/>
      <c r="Y3468" s="75"/>
    </row>
    <row r="3469" spans="1:25" x14ac:dyDescent="0.25">
      <c r="A3469" s="75"/>
      <c r="C3469" s="81"/>
      <c r="D3469" s="81"/>
      <c r="I3469" s="81"/>
      <c r="K3469" s="82"/>
      <c r="L3469" s="123"/>
      <c r="M3469" s="3"/>
      <c r="N3469" s="3"/>
      <c r="O3469" s="3"/>
      <c r="P3469" s="125"/>
      <c r="Q3469" s="125"/>
      <c r="R3469" s="127"/>
      <c r="S3469" s="123"/>
      <c r="T3469" s="3"/>
      <c r="W3469" s="86"/>
      <c r="Y3469" s="75"/>
    </row>
    <row r="3470" spans="1:25" x14ac:dyDescent="0.25">
      <c r="A3470" s="75"/>
      <c r="C3470" s="81"/>
      <c r="D3470" s="81"/>
      <c r="I3470" s="81"/>
      <c r="K3470" s="82"/>
      <c r="L3470" s="123"/>
      <c r="M3470" s="3"/>
      <c r="N3470" s="3"/>
      <c r="O3470" s="3"/>
      <c r="P3470" s="125"/>
      <c r="Q3470" s="125"/>
      <c r="R3470" s="127"/>
      <c r="S3470" s="123"/>
      <c r="T3470" s="3"/>
      <c r="W3470" s="86"/>
      <c r="Y3470" s="75"/>
    </row>
    <row r="3471" spans="1:25" x14ac:dyDescent="0.25">
      <c r="A3471" s="75"/>
      <c r="C3471" s="81"/>
      <c r="D3471" s="81"/>
      <c r="I3471" s="81"/>
      <c r="K3471" s="82"/>
      <c r="L3471" s="123"/>
      <c r="M3471" s="3"/>
      <c r="N3471" s="3"/>
      <c r="O3471" s="3"/>
      <c r="P3471" s="125"/>
      <c r="Q3471" s="125"/>
      <c r="R3471" s="127"/>
      <c r="S3471" s="123"/>
      <c r="T3471" s="3"/>
      <c r="W3471" s="86"/>
      <c r="Y3471" s="75"/>
    </row>
    <row r="3472" spans="1:25" x14ac:dyDescent="0.25">
      <c r="A3472" s="75"/>
      <c r="C3472" s="81"/>
      <c r="D3472" s="81"/>
      <c r="I3472" s="81"/>
      <c r="K3472" s="82"/>
      <c r="L3472" s="123"/>
      <c r="M3472" s="3"/>
      <c r="N3472" s="3"/>
      <c r="O3472" s="3"/>
      <c r="P3472" s="125"/>
      <c r="Q3472" s="125"/>
      <c r="R3472" s="127"/>
      <c r="S3472" s="123"/>
      <c r="T3472" s="3"/>
      <c r="W3472" s="86"/>
      <c r="Y3472" s="75"/>
    </row>
    <row r="3473" spans="1:25" x14ac:dyDescent="0.25">
      <c r="A3473" s="75"/>
      <c r="C3473" s="81"/>
      <c r="D3473" s="81"/>
      <c r="I3473" s="81"/>
      <c r="K3473" s="82"/>
      <c r="L3473" s="123"/>
      <c r="M3473" s="3"/>
      <c r="N3473" s="3"/>
      <c r="O3473" s="3"/>
      <c r="P3473" s="125"/>
      <c r="Q3473" s="125"/>
      <c r="R3473" s="127"/>
      <c r="S3473" s="123"/>
      <c r="T3473" s="3"/>
      <c r="W3473" s="86"/>
      <c r="Y3473" s="75"/>
    </row>
    <row r="3474" spans="1:25" x14ac:dyDescent="0.25">
      <c r="A3474" s="75"/>
      <c r="C3474" s="81"/>
      <c r="D3474" s="81"/>
      <c r="I3474" s="81"/>
      <c r="K3474" s="82"/>
      <c r="L3474" s="123"/>
      <c r="M3474" s="3"/>
      <c r="N3474" s="3"/>
      <c r="O3474" s="3"/>
      <c r="P3474" s="125"/>
      <c r="Q3474" s="125"/>
      <c r="R3474" s="127"/>
      <c r="S3474" s="123"/>
      <c r="T3474" s="3"/>
      <c r="W3474" s="86"/>
      <c r="Y3474" s="75"/>
    </row>
    <row r="3475" spans="1:25" x14ac:dyDescent="0.25">
      <c r="A3475" s="75"/>
      <c r="C3475" s="81"/>
      <c r="D3475" s="81"/>
      <c r="I3475" s="81"/>
      <c r="K3475" s="82"/>
      <c r="L3475" s="123"/>
      <c r="M3475" s="3"/>
      <c r="N3475" s="3"/>
      <c r="O3475" s="3"/>
      <c r="P3475" s="125"/>
      <c r="Q3475" s="125"/>
      <c r="R3475" s="127"/>
      <c r="S3475" s="123"/>
      <c r="T3475" s="3"/>
      <c r="W3475" s="86"/>
      <c r="Y3475" s="75"/>
    </row>
    <row r="3476" spans="1:25" x14ac:dyDescent="0.25">
      <c r="A3476" s="75"/>
      <c r="C3476" s="81"/>
      <c r="D3476" s="81"/>
      <c r="I3476" s="81"/>
      <c r="K3476" s="82"/>
      <c r="L3476" s="123"/>
      <c r="M3476" s="3"/>
      <c r="N3476" s="3"/>
      <c r="O3476" s="3"/>
      <c r="P3476" s="125"/>
      <c r="Q3476" s="125"/>
      <c r="R3476" s="127"/>
      <c r="S3476" s="123"/>
      <c r="T3476" s="3"/>
      <c r="W3476" s="86"/>
      <c r="Y3476" s="75"/>
    </row>
    <row r="3477" spans="1:25" x14ac:dyDescent="0.25">
      <c r="A3477" s="75"/>
      <c r="C3477" s="81"/>
      <c r="D3477" s="81"/>
      <c r="I3477" s="81"/>
      <c r="K3477" s="82"/>
      <c r="L3477" s="123"/>
      <c r="M3477" s="3"/>
      <c r="N3477" s="3"/>
      <c r="O3477" s="3"/>
      <c r="P3477" s="125"/>
      <c r="Q3477" s="125"/>
      <c r="R3477" s="127"/>
      <c r="S3477" s="123"/>
      <c r="T3477" s="3"/>
      <c r="W3477" s="86"/>
      <c r="Y3477" s="75"/>
    </row>
    <row r="3478" spans="1:25" x14ac:dyDescent="0.25">
      <c r="A3478" s="75"/>
      <c r="C3478" s="81"/>
      <c r="D3478" s="81"/>
      <c r="I3478" s="81"/>
      <c r="K3478" s="82"/>
      <c r="L3478" s="123"/>
      <c r="M3478" s="3"/>
      <c r="N3478" s="3"/>
      <c r="O3478" s="3"/>
      <c r="P3478" s="125"/>
      <c r="Q3478" s="125"/>
      <c r="R3478" s="127"/>
      <c r="S3478" s="123"/>
      <c r="T3478" s="3"/>
      <c r="W3478" s="86"/>
      <c r="Y3478" s="75"/>
    </row>
    <row r="3479" spans="1:25" x14ac:dyDescent="0.25">
      <c r="A3479" s="75"/>
      <c r="C3479" s="81"/>
      <c r="D3479" s="81"/>
      <c r="I3479" s="81"/>
      <c r="K3479" s="82"/>
      <c r="L3479" s="123"/>
      <c r="M3479" s="3"/>
      <c r="N3479" s="3"/>
      <c r="O3479" s="3"/>
      <c r="P3479" s="125"/>
      <c r="Q3479" s="125"/>
      <c r="R3479" s="127"/>
      <c r="S3479" s="123"/>
      <c r="T3479" s="3"/>
      <c r="W3479" s="86"/>
      <c r="Y3479" s="75"/>
    </row>
    <row r="3480" spans="1:25" x14ac:dyDescent="0.25">
      <c r="A3480" s="75"/>
      <c r="C3480" s="81"/>
      <c r="D3480" s="81"/>
      <c r="I3480" s="81"/>
      <c r="K3480" s="82"/>
      <c r="L3480" s="123"/>
      <c r="M3480" s="3"/>
      <c r="N3480" s="3"/>
      <c r="O3480" s="3"/>
      <c r="P3480" s="125"/>
      <c r="Q3480" s="125"/>
      <c r="R3480" s="127"/>
      <c r="S3480" s="123"/>
      <c r="T3480" s="3"/>
      <c r="W3480" s="86"/>
      <c r="Y3480" s="75"/>
    </row>
    <row r="3481" spans="1:25" x14ac:dyDescent="0.25">
      <c r="A3481" s="75"/>
      <c r="C3481" s="81"/>
      <c r="D3481" s="81"/>
      <c r="I3481" s="81"/>
      <c r="K3481" s="82"/>
      <c r="L3481" s="123"/>
      <c r="M3481" s="3"/>
      <c r="N3481" s="3"/>
      <c r="O3481" s="3"/>
      <c r="P3481" s="125"/>
      <c r="Q3481" s="125"/>
      <c r="R3481" s="127"/>
      <c r="S3481" s="123"/>
      <c r="T3481" s="3"/>
      <c r="W3481" s="86"/>
      <c r="Y3481" s="75"/>
    </row>
    <row r="3482" spans="1:25" x14ac:dyDescent="0.25">
      <c r="A3482" s="75"/>
      <c r="C3482" s="81"/>
      <c r="D3482" s="81"/>
      <c r="I3482" s="81"/>
      <c r="K3482" s="82"/>
      <c r="L3482" s="123"/>
      <c r="M3482" s="3"/>
      <c r="N3482" s="3"/>
      <c r="O3482" s="3"/>
      <c r="P3482" s="125"/>
      <c r="Q3482" s="125"/>
      <c r="R3482" s="127"/>
      <c r="S3482" s="123"/>
      <c r="T3482" s="3"/>
      <c r="W3482" s="86"/>
      <c r="Y3482" s="75"/>
    </row>
    <row r="3483" spans="1:25" x14ac:dyDescent="0.25">
      <c r="A3483" s="75"/>
      <c r="C3483" s="81"/>
      <c r="D3483" s="81"/>
      <c r="I3483" s="81"/>
      <c r="K3483" s="82"/>
      <c r="L3483" s="123"/>
      <c r="M3483" s="3"/>
      <c r="N3483" s="3"/>
      <c r="O3483" s="3"/>
      <c r="P3483" s="125"/>
      <c r="Q3483" s="125"/>
      <c r="R3483" s="127"/>
      <c r="S3483" s="123"/>
      <c r="T3483" s="3"/>
      <c r="W3483" s="86"/>
      <c r="Y3483" s="75"/>
    </row>
    <row r="3484" spans="1:25" x14ac:dyDescent="0.25">
      <c r="A3484" s="75"/>
      <c r="C3484" s="81"/>
      <c r="D3484" s="81"/>
      <c r="I3484" s="81"/>
      <c r="K3484" s="82"/>
      <c r="L3484" s="123"/>
      <c r="M3484" s="3"/>
      <c r="N3484" s="3"/>
      <c r="O3484" s="3"/>
      <c r="P3484" s="125"/>
      <c r="Q3484" s="125"/>
      <c r="R3484" s="127"/>
      <c r="S3484" s="123"/>
      <c r="T3484" s="3"/>
      <c r="W3484" s="86"/>
      <c r="Y3484" s="75"/>
    </row>
    <row r="3485" spans="1:25" x14ac:dyDescent="0.25">
      <c r="A3485" s="75"/>
      <c r="C3485" s="81"/>
      <c r="D3485" s="81"/>
      <c r="I3485" s="81"/>
      <c r="K3485" s="82"/>
      <c r="L3485" s="123"/>
      <c r="M3485" s="3"/>
      <c r="N3485" s="3"/>
      <c r="O3485" s="3"/>
      <c r="P3485" s="125"/>
      <c r="Q3485" s="125"/>
      <c r="R3485" s="127"/>
      <c r="S3485" s="123"/>
      <c r="T3485" s="3"/>
      <c r="W3485" s="86"/>
      <c r="Y3485" s="75"/>
    </row>
    <row r="3486" spans="1:25" x14ac:dyDescent="0.25">
      <c r="A3486" s="75"/>
      <c r="C3486" s="81"/>
      <c r="D3486" s="81"/>
      <c r="I3486" s="81"/>
      <c r="K3486" s="82"/>
      <c r="L3486" s="123"/>
      <c r="M3486" s="3"/>
      <c r="N3486" s="3"/>
      <c r="O3486" s="3"/>
      <c r="P3486" s="125"/>
      <c r="Q3486" s="125"/>
      <c r="R3486" s="127"/>
      <c r="S3486" s="123"/>
      <c r="T3486" s="3"/>
      <c r="W3486" s="86"/>
      <c r="Y3486" s="75"/>
    </row>
    <row r="3487" spans="1:25" x14ac:dyDescent="0.25">
      <c r="A3487" s="75"/>
      <c r="C3487" s="81"/>
      <c r="D3487" s="81"/>
      <c r="I3487" s="81"/>
      <c r="K3487" s="82"/>
      <c r="L3487" s="123"/>
      <c r="M3487" s="3"/>
      <c r="N3487" s="3"/>
      <c r="O3487" s="3"/>
      <c r="P3487" s="125"/>
      <c r="Q3487" s="125"/>
      <c r="R3487" s="127"/>
      <c r="S3487" s="123"/>
      <c r="T3487" s="3"/>
      <c r="W3487" s="86"/>
      <c r="Y3487" s="75"/>
    </row>
    <row r="3488" spans="1:25" x14ac:dyDescent="0.25">
      <c r="A3488" s="75"/>
      <c r="C3488" s="81"/>
      <c r="D3488" s="81"/>
      <c r="I3488" s="81"/>
      <c r="K3488" s="82"/>
      <c r="L3488" s="123"/>
      <c r="M3488" s="3"/>
      <c r="N3488" s="3"/>
      <c r="O3488" s="3"/>
      <c r="P3488" s="125"/>
      <c r="Q3488" s="125"/>
      <c r="R3488" s="127"/>
      <c r="S3488" s="123"/>
      <c r="T3488" s="3"/>
      <c r="W3488" s="86"/>
      <c r="Y3488" s="75"/>
    </row>
    <row r="3489" spans="1:25" x14ac:dyDescent="0.25">
      <c r="A3489" s="75"/>
      <c r="C3489" s="81"/>
      <c r="D3489" s="81"/>
      <c r="I3489" s="81"/>
      <c r="K3489" s="82"/>
      <c r="L3489" s="123"/>
      <c r="M3489" s="3"/>
      <c r="N3489" s="3"/>
      <c r="O3489" s="3"/>
      <c r="P3489" s="125"/>
      <c r="Q3489" s="125"/>
      <c r="R3489" s="127"/>
      <c r="S3489" s="123"/>
      <c r="T3489" s="3"/>
      <c r="W3489" s="86"/>
      <c r="Y3489" s="75"/>
    </row>
    <row r="3490" spans="1:25" x14ac:dyDescent="0.25">
      <c r="A3490" s="75"/>
      <c r="C3490" s="81"/>
      <c r="D3490" s="81"/>
      <c r="I3490" s="81"/>
      <c r="K3490" s="82"/>
      <c r="L3490" s="123"/>
      <c r="M3490" s="3"/>
      <c r="N3490" s="3"/>
      <c r="O3490" s="3"/>
      <c r="P3490" s="125"/>
      <c r="Q3490" s="125"/>
      <c r="R3490" s="127"/>
      <c r="S3490" s="123"/>
      <c r="T3490" s="3"/>
      <c r="W3490" s="86"/>
      <c r="Y3490" s="75"/>
    </row>
    <row r="3491" spans="1:25" x14ac:dyDescent="0.25">
      <c r="A3491" s="75"/>
      <c r="C3491" s="81"/>
      <c r="D3491" s="81"/>
      <c r="I3491" s="81"/>
      <c r="K3491" s="82"/>
      <c r="L3491" s="123"/>
      <c r="M3491" s="3"/>
      <c r="N3491" s="3"/>
      <c r="O3491" s="3"/>
      <c r="P3491" s="125"/>
      <c r="Q3491" s="125"/>
      <c r="R3491" s="127"/>
      <c r="S3491" s="123"/>
      <c r="T3491" s="3"/>
      <c r="W3491" s="86"/>
      <c r="Y3491" s="75"/>
    </row>
    <row r="3492" spans="1:25" x14ac:dyDescent="0.25">
      <c r="A3492" s="75"/>
      <c r="C3492" s="81"/>
      <c r="D3492" s="81"/>
      <c r="I3492" s="81"/>
      <c r="K3492" s="82"/>
      <c r="L3492" s="123"/>
      <c r="M3492" s="3"/>
      <c r="N3492" s="3"/>
      <c r="O3492" s="3"/>
      <c r="P3492" s="125"/>
      <c r="Q3492" s="125"/>
      <c r="R3492" s="127"/>
      <c r="S3492" s="123"/>
      <c r="T3492" s="3"/>
      <c r="W3492" s="86"/>
      <c r="Y3492" s="75"/>
    </row>
    <row r="3493" spans="1:25" x14ac:dyDescent="0.25">
      <c r="A3493" s="75"/>
      <c r="C3493" s="81"/>
      <c r="D3493" s="81"/>
      <c r="I3493" s="81"/>
      <c r="K3493" s="82"/>
      <c r="L3493" s="123"/>
      <c r="M3493" s="3"/>
      <c r="N3493" s="3"/>
      <c r="O3493" s="3"/>
      <c r="P3493" s="125"/>
      <c r="Q3493" s="125"/>
      <c r="R3493" s="127"/>
      <c r="S3493" s="123"/>
      <c r="T3493" s="3"/>
      <c r="W3493" s="86"/>
      <c r="Y3493" s="75"/>
    </row>
    <row r="3494" spans="1:25" x14ac:dyDescent="0.25">
      <c r="A3494" s="75"/>
      <c r="C3494" s="81"/>
      <c r="D3494" s="81"/>
      <c r="I3494" s="81"/>
      <c r="K3494" s="82"/>
      <c r="L3494" s="123"/>
      <c r="M3494" s="3"/>
      <c r="N3494" s="3"/>
      <c r="O3494" s="3"/>
      <c r="P3494" s="125"/>
      <c r="Q3494" s="125"/>
      <c r="R3494" s="127"/>
      <c r="S3494" s="123"/>
      <c r="T3494" s="3"/>
      <c r="W3494" s="86"/>
      <c r="Y3494" s="75"/>
    </row>
    <row r="3495" spans="1:25" x14ac:dyDescent="0.25">
      <c r="A3495" s="75"/>
      <c r="C3495" s="81"/>
      <c r="D3495" s="81"/>
      <c r="I3495" s="81"/>
      <c r="K3495" s="82"/>
      <c r="L3495" s="123"/>
      <c r="M3495" s="3"/>
      <c r="N3495" s="3"/>
      <c r="O3495" s="3"/>
      <c r="P3495" s="125"/>
      <c r="Q3495" s="125"/>
      <c r="R3495" s="127"/>
      <c r="S3495" s="123"/>
      <c r="T3495" s="3"/>
      <c r="W3495" s="86"/>
      <c r="Y3495" s="75"/>
    </row>
    <row r="3496" spans="1:25" x14ac:dyDescent="0.25">
      <c r="A3496" s="75"/>
      <c r="C3496" s="81"/>
      <c r="D3496" s="81"/>
      <c r="I3496" s="81"/>
      <c r="K3496" s="82"/>
      <c r="L3496" s="123"/>
      <c r="M3496" s="3"/>
      <c r="N3496" s="3"/>
      <c r="O3496" s="3"/>
      <c r="P3496" s="125"/>
      <c r="Q3496" s="125"/>
      <c r="R3496" s="127"/>
      <c r="S3496" s="123"/>
      <c r="T3496" s="3"/>
      <c r="W3496" s="86"/>
      <c r="Y3496" s="75"/>
    </row>
    <row r="3497" spans="1:25" x14ac:dyDescent="0.25">
      <c r="A3497" s="75"/>
      <c r="C3497" s="81"/>
      <c r="D3497" s="81"/>
      <c r="I3497" s="81"/>
      <c r="K3497" s="82"/>
      <c r="L3497" s="123"/>
      <c r="M3497" s="3"/>
      <c r="N3497" s="3"/>
      <c r="O3497" s="3"/>
      <c r="P3497" s="125"/>
      <c r="Q3497" s="125"/>
      <c r="R3497" s="127"/>
      <c r="S3497" s="123"/>
      <c r="T3497" s="3"/>
      <c r="W3497" s="86"/>
      <c r="Y3497" s="75"/>
    </row>
    <row r="3498" spans="1:25" x14ac:dyDescent="0.25">
      <c r="A3498" s="75"/>
      <c r="C3498" s="81"/>
      <c r="D3498" s="81"/>
      <c r="I3498" s="81"/>
      <c r="K3498" s="82"/>
      <c r="L3498" s="123"/>
      <c r="M3498" s="3"/>
      <c r="N3498" s="3"/>
      <c r="O3498" s="3"/>
      <c r="P3498" s="125"/>
      <c r="Q3498" s="125"/>
      <c r="R3498" s="127"/>
      <c r="S3498" s="123"/>
      <c r="T3498" s="3"/>
      <c r="W3498" s="86"/>
      <c r="Y3498" s="75"/>
    </row>
    <row r="3499" spans="1:25" x14ac:dyDescent="0.25">
      <c r="A3499" s="75"/>
      <c r="C3499" s="81"/>
      <c r="D3499" s="81"/>
      <c r="I3499" s="81"/>
      <c r="K3499" s="82"/>
      <c r="L3499" s="123"/>
      <c r="M3499" s="3"/>
      <c r="N3499" s="3"/>
      <c r="O3499" s="3"/>
      <c r="P3499" s="125"/>
      <c r="Q3499" s="125"/>
      <c r="R3499" s="127"/>
      <c r="S3499" s="123"/>
      <c r="T3499" s="3"/>
      <c r="W3499" s="86"/>
      <c r="Y3499" s="75"/>
    </row>
    <row r="3500" spans="1:25" x14ac:dyDescent="0.25">
      <c r="A3500" s="75"/>
      <c r="C3500" s="81"/>
      <c r="D3500" s="81"/>
      <c r="I3500" s="81"/>
      <c r="K3500" s="82"/>
      <c r="L3500" s="123"/>
      <c r="M3500" s="3"/>
      <c r="N3500" s="3"/>
      <c r="O3500" s="3"/>
      <c r="P3500" s="125"/>
      <c r="Q3500" s="125"/>
      <c r="R3500" s="127"/>
      <c r="S3500" s="123"/>
      <c r="T3500" s="3"/>
      <c r="W3500" s="86"/>
      <c r="Y3500" s="75"/>
    </row>
    <row r="3501" spans="1:25" x14ac:dyDescent="0.25">
      <c r="A3501" s="75"/>
      <c r="C3501" s="81"/>
      <c r="D3501" s="81"/>
      <c r="I3501" s="81"/>
      <c r="K3501" s="82"/>
      <c r="L3501" s="123"/>
      <c r="M3501" s="3"/>
      <c r="N3501" s="3"/>
      <c r="O3501" s="3"/>
      <c r="P3501" s="125"/>
      <c r="Q3501" s="125"/>
      <c r="R3501" s="127"/>
      <c r="S3501" s="123"/>
      <c r="T3501" s="3"/>
      <c r="W3501" s="86"/>
      <c r="Y3501" s="75"/>
    </row>
    <row r="3502" spans="1:25" x14ac:dyDescent="0.25">
      <c r="A3502" s="75"/>
      <c r="C3502" s="81"/>
      <c r="D3502" s="81"/>
      <c r="I3502" s="81"/>
      <c r="K3502" s="82"/>
      <c r="L3502" s="123"/>
      <c r="M3502" s="3"/>
      <c r="N3502" s="3"/>
      <c r="O3502" s="3"/>
      <c r="P3502" s="125"/>
      <c r="Q3502" s="125"/>
      <c r="R3502" s="127"/>
      <c r="S3502" s="123"/>
      <c r="T3502" s="3"/>
      <c r="W3502" s="86"/>
      <c r="Y3502" s="75"/>
    </row>
    <row r="3503" spans="1:25" x14ac:dyDescent="0.25">
      <c r="A3503" s="75"/>
      <c r="C3503" s="81"/>
      <c r="D3503" s="81"/>
      <c r="I3503" s="81"/>
      <c r="K3503" s="82"/>
      <c r="L3503" s="123"/>
      <c r="M3503" s="3"/>
      <c r="N3503" s="3"/>
      <c r="O3503" s="3"/>
      <c r="P3503" s="125"/>
      <c r="Q3503" s="125"/>
      <c r="R3503" s="127"/>
      <c r="S3503" s="123"/>
      <c r="T3503" s="3"/>
      <c r="W3503" s="86"/>
      <c r="Y3503" s="75"/>
    </row>
    <row r="3504" spans="1:25" x14ac:dyDescent="0.25">
      <c r="A3504" s="75"/>
      <c r="C3504" s="81"/>
      <c r="D3504" s="81"/>
      <c r="I3504" s="81"/>
      <c r="K3504" s="82"/>
      <c r="L3504" s="123"/>
      <c r="M3504" s="3"/>
      <c r="N3504" s="3"/>
      <c r="O3504" s="3"/>
      <c r="P3504" s="125"/>
      <c r="Q3504" s="125"/>
      <c r="R3504" s="127"/>
      <c r="S3504" s="123"/>
      <c r="T3504" s="3"/>
      <c r="W3504" s="86"/>
      <c r="Y3504" s="75"/>
    </row>
    <row r="3505" spans="1:25" x14ac:dyDescent="0.25">
      <c r="A3505" s="75"/>
      <c r="C3505" s="81"/>
      <c r="D3505" s="81"/>
      <c r="I3505" s="81"/>
      <c r="K3505" s="82"/>
      <c r="L3505" s="123"/>
      <c r="M3505" s="3"/>
      <c r="N3505" s="3"/>
      <c r="O3505" s="3"/>
      <c r="P3505" s="125"/>
      <c r="Q3505" s="125"/>
      <c r="R3505" s="127"/>
      <c r="S3505" s="123"/>
      <c r="T3505" s="3"/>
      <c r="W3505" s="86"/>
      <c r="Y3505" s="75"/>
    </row>
    <row r="3506" spans="1:25" x14ac:dyDescent="0.25">
      <c r="A3506" s="75"/>
      <c r="C3506" s="81"/>
      <c r="D3506" s="81"/>
      <c r="I3506" s="81"/>
      <c r="K3506" s="82"/>
      <c r="L3506" s="123"/>
      <c r="M3506" s="3"/>
      <c r="N3506" s="3"/>
      <c r="O3506" s="3"/>
      <c r="P3506" s="125"/>
      <c r="Q3506" s="125"/>
      <c r="R3506" s="127"/>
      <c r="S3506" s="123"/>
      <c r="T3506" s="3"/>
      <c r="W3506" s="86"/>
      <c r="Y3506" s="75"/>
    </row>
    <row r="3507" spans="1:25" x14ac:dyDescent="0.25">
      <c r="A3507" s="75"/>
      <c r="C3507" s="81"/>
      <c r="D3507" s="81"/>
      <c r="I3507" s="81"/>
      <c r="K3507" s="82"/>
      <c r="L3507" s="123"/>
      <c r="M3507" s="3"/>
      <c r="N3507" s="3"/>
      <c r="O3507" s="3"/>
      <c r="P3507" s="125"/>
      <c r="Q3507" s="125"/>
      <c r="R3507" s="127"/>
      <c r="S3507" s="123"/>
      <c r="T3507" s="3"/>
      <c r="W3507" s="86"/>
      <c r="Y3507" s="75"/>
    </row>
    <row r="3508" spans="1:25" x14ac:dyDescent="0.25">
      <c r="A3508" s="75"/>
      <c r="C3508" s="81"/>
      <c r="D3508" s="81"/>
      <c r="I3508" s="81"/>
      <c r="K3508" s="82"/>
      <c r="L3508" s="123"/>
      <c r="M3508" s="3"/>
      <c r="N3508" s="3"/>
      <c r="O3508" s="3"/>
      <c r="P3508" s="125"/>
      <c r="Q3508" s="125"/>
      <c r="R3508" s="127"/>
      <c r="S3508" s="123"/>
      <c r="T3508" s="3"/>
      <c r="W3508" s="86"/>
      <c r="Y3508" s="75"/>
    </row>
    <row r="3509" spans="1:25" x14ac:dyDescent="0.25">
      <c r="A3509" s="75"/>
      <c r="C3509" s="81"/>
      <c r="D3509" s="81"/>
      <c r="I3509" s="81"/>
      <c r="K3509" s="82"/>
      <c r="L3509" s="123"/>
      <c r="M3509" s="3"/>
      <c r="N3509" s="3"/>
      <c r="O3509" s="3"/>
      <c r="P3509" s="125"/>
      <c r="Q3509" s="125"/>
      <c r="R3509" s="127"/>
      <c r="S3509" s="123"/>
      <c r="T3509" s="3"/>
      <c r="W3509" s="86"/>
      <c r="Y3509" s="75"/>
    </row>
    <row r="3510" spans="1:25" x14ac:dyDescent="0.25">
      <c r="A3510" s="75"/>
      <c r="C3510" s="81"/>
      <c r="D3510" s="81"/>
      <c r="I3510" s="81"/>
      <c r="K3510" s="82"/>
      <c r="L3510" s="123"/>
      <c r="M3510" s="3"/>
      <c r="N3510" s="3"/>
      <c r="O3510" s="3"/>
      <c r="P3510" s="125"/>
      <c r="Q3510" s="125"/>
      <c r="R3510" s="127"/>
      <c r="S3510" s="123"/>
      <c r="T3510" s="3"/>
      <c r="W3510" s="86"/>
      <c r="Y3510" s="75"/>
    </row>
    <row r="3511" spans="1:25" x14ac:dyDescent="0.25">
      <c r="A3511" s="75"/>
      <c r="C3511" s="81"/>
      <c r="D3511" s="81"/>
      <c r="I3511" s="81"/>
      <c r="K3511" s="82"/>
      <c r="L3511" s="123"/>
      <c r="M3511" s="3"/>
      <c r="N3511" s="3"/>
      <c r="O3511" s="3"/>
      <c r="P3511" s="125"/>
      <c r="Q3511" s="125"/>
      <c r="R3511" s="127"/>
      <c r="S3511" s="123"/>
      <c r="T3511" s="3"/>
      <c r="W3511" s="86"/>
      <c r="Y3511" s="75"/>
    </row>
    <row r="3512" spans="1:25" x14ac:dyDescent="0.25">
      <c r="A3512" s="75"/>
      <c r="C3512" s="81"/>
      <c r="D3512" s="81"/>
      <c r="I3512" s="81"/>
      <c r="K3512" s="82"/>
      <c r="L3512" s="123"/>
      <c r="M3512" s="3"/>
      <c r="N3512" s="3"/>
      <c r="O3512" s="3"/>
      <c r="P3512" s="125"/>
      <c r="Q3512" s="125"/>
      <c r="R3512" s="127"/>
      <c r="S3512" s="123"/>
      <c r="T3512" s="3"/>
      <c r="W3512" s="86"/>
      <c r="Y3512" s="75"/>
    </row>
    <row r="3513" spans="1:25" x14ac:dyDescent="0.25">
      <c r="A3513" s="75"/>
      <c r="C3513" s="81"/>
      <c r="D3513" s="81"/>
      <c r="I3513" s="81"/>
      <c r="K3513" s="82"/>
      <c r="L3513" s="123"/>
      <c r="M3513" s="3"/>
      <c r="N3513" s="3"/>
      <c r="O3513" s="3"/>
      <c r="P3513" s="125"/>
      <c r="Q3513" s="125"/>
      <c r="R3513" s="127"/>
      <c r="S3513" s="123"/>
      <c r="T3513" s="3"/>
      <c r="W3513" s="86"/>
      <c r="Y3513" s="75"/>
    </row>
    <row r="3514" spans="1:25" x14ac:dyDescent="0.25">
      <c r="A3514" s="75"/>
      <c r="C3514" s="81"/>
      <c r="D3514" s="81"/>
      <c r="I3514" s="81"/>
      <c r="K3514" s="82"/>
      <c r="L3514" s="123"/>
      <c r="M3514" s="3"/>
      <c r="N3514" s="3"/>
      <c r="O3514" s="3"/>
      <c r="P3514" s="125"/>
      <c r="Q3514" s="125"/>
      <c r="R3514" s="127"/>
      <c r="S3514" s="123"/>
      <c r="T3514" s="3"/>
      <c r="W3514" s="86"/>
      <c r="Y3514" s="75"/>
    </row>
    <row r="3515" spans="1:25" x14ac:dyDescent="0.25">
      <c r="A3515" s="75"/>
      <c r="C3515" s="81"/>
      <c r="D3515" s="81"/>
      <c r="I3515" s="81"/>
      <c r="K3515" s="82"/>
      <c r="L3515" s="123"/>
      <c r="M3515" s="3"/>
      <c r="N3515" s="3"/>
      <c r="O3515" s="3"/>
      <c r="P3515" s="125"/>
      <c r="Q3515" s="125"/>
      <c r="R3515" s="127"/>
      <c r="S3515" s="123"/>
      <c r="T3515" s="3"/>
      <c r="W3515" s="86"/>
      <c r="Y3515" s="75"/>
    </row>
    <row r="3516" spans="1:25" x14ac:dyDescent="0.25">
      <c r="A3516" s="75"/>
      <c r="C3516" s="81"/>
      <c r="D3516" s="81"/>
      <c r="I3516" s="81"/>
      <c r="K3516" s="82"/>
      <c r="L3516" s="123"/>
      <c r="M3516" s="3"/>
      <c r="N3516" s="3"/>
      <c r="O3516" s="3"/>
      <c r="P3516" s="125"/>
      <c r="Q3516" s="125"/>
      <c r="R3516" s="127"/>
      <c r="S3516" s="123"/>
      <c r="T3516" s="3"/>
      <c r="W3516" s="86"/>
      <c r="Y3516" s="75"/>
    </row>
    <row r="3517" spans="1:25" x14ac:dyDescent="0.25">
      <c r="A3517" s="75"/>
      <c r="C3517" s="81"/>
      <c r="D3517" s="81"/>
      <c r="I3517" s="81"/>
      <c r="K3517" s="82"/>
      <c r="L3517" s="123"/>
      <c r="M3517" s="3"/>
      <c r="N3517" s="3"/>
      <c r="O3517" s="3"/>
      <c r="P3517" s="125"/>
      <c r="Q3517" s="125"/>
      <c r="R3517" s="127"/>
      <c r="S3517" s="123"/>
      <c r="T3517" s="3"/>
      <c r="W3517" s="86"/>
      <c r="Y3517" s="75"/>
    </row>
    <row r="3518" spans="1:25" x14ac:dyDescent="0.25">
      <c r="A3518" s="75"/>
      <c r="C3518" s="81"/>
      <c r="D3518" s="81"/>
      <c r="I3518" s="81"/>
      <c r="K3518" s="82"/>
      <c r="L3518" s="123"/>
      <c r="M3518" s="3"/>
      <c r="N3518" s="3"/>
      <c r="O3518" s="3"/>
      <c r="P3518" s="125"/>
      <c r="Q3518" s="125"/>
      <c r="R3518" s="127"/>
      <c r="S3518" s="123"/>
      <c r="T3518" s="3"/>
      <c r="W3518" s="86"/>
      <c r="Y3518" s="75"/>
    </row>
    <row r="3519" spans="1:25" x14ac:dyDescent="0.25">
      <c r="A3519" s="75"/>
      <c r="C3519" s="81"/>
      <c r="D3519" s="81"/>
      <c r="I3519" s="81"/>
      <c r="K3519" s="82"/>
      <c r="L3519" s="123"/>
      <c r="M3519" s="3"/>
      <c r="N3519" s="3"/>
      <c r="O3519" s="3"/>
      <c r="P3519" s="125"/>
      <c r="Q3519" s="125"/>
      <c r="R3519" s="127"/>
      <c r="S3519" s="123"/>
      <c r="T3519" s="3"/>
      <c r="W3519" s="86"/>
      <c r="Y3519" s="75"/>
    </row>
    <row r="3520" spans="1:25" x14ac:dyDescent="0.25">
      <c r="A3520" s="75"/>
      <c r="C3520" s="81"/>
      <c r="D3520" s="81"/>
      <c r="I3520" s="81"/>
      <c r="K3520" s="82"/>
      <c r="L3520" s="123"/>
      <c r="M3520" s="3"/>
      <c r="N3520" s="3"/>
      <c r="O3520" s="3"/>
      <c r="P3520" s="125"/>
      <c r="Q3520" s="125"/>
      <c r="R3520" s="127"/>
      <c r="S3520" s="123"/>
      <c r="T3520" s="3"/>
      <c r="W3520" s="86"/>
      <c r="Y3520" s="75"/>
    </row>
    <row r="3521" spans="1:25" x14ac:dyDescent="0.25">
      <c r="A3521" s="75"/>
      <c r="C3521" s="81"/>
      <c r="D3521" s="81"/>
      <c r="I3521" s="81"/>
      <c r="K3521" s="82"/>
      <c r="L3521" s="123"/>
      <c r="M3521" s="3"/>
      <c r="N3521" s="3"/>
      <c r="O3521" s="3"/>
      <c r="P3521" s="125"/>
      <c r="Q3521" s="125"/>
      <c r="R3521" s="127"/>
      <c r="S3521" s="123"/>
      <c r="T3521" s="3"/>
      <c r="W3521" s="86"/>
      <c r="Y3521" s="75"/>
    </row>
    <row r="3522" spans="1:25" x14ac:dyDescent="0.25">
      <c r="A3522" s="75"/>
      <c r="C3522" s="81"/>
      <c r="D3522" s="81"/>
      <c r="I3522" s="81"/>
      <c r="K3522" s="82"/>
      <c r="L3522" s="123"/>
      <c r="M3522" s="3"/>
      <c r="N3522" s="3"/>
      <c r="O3522" s="3"/>
      <c r="P3522" s="125"/>
      <c r="Q3522" s="125"/>
      <c r="R3522" s="127"/>
      <c r="S3522" s="123"/>
      <c r="T3522" s="3"/>
      <c r="W3522" s="86"/>
      <c r="Y3522" s="75"/>
    </row>
    <row r="3523" spans="1:25" x14ac:dyDescent="0.25">
      <c r="A3523" s="75"/>
      <c r="C3523" s="81"/>
      <c r="D3523" s="81"/>
      <c r="I3523" s="81"/>
      <c r="K3523" s="82"/>
      <c r="L3523" s="123"/>
      <c r="M3523" s="3"/>
      <c r="N3523" s="3"/>
      <c r="O3523" s="3"/>
      <c r="P3523" s="125"/>
      <c r="Q3523" s="125"/>
      <c r="R3523" s="127"/>
      <c r="S3523" s="123"/>
      <c r="T3523" s="3"/>
      <c r="W3523" s="86"/>
      <c r="Y3523" s="75"/>
    </row>
    <row r="3524" spans="1:25" x14ac:dyDescent="0.25">
      <c r="A3524" s="75"/>
      <c r="C3524" s="81"/>
      <c r="D3524" s="81"/>
      <c r="I3524" s="81"/>
      <c r="K3524" s="82"/>
      <c r="L3524" s="123"/>
      <c r="M3524" s="3"/>
      <c r="N3524" s="3"/>
      <c r="O3524" s="3"/>
      <c r="P3524" s="125"/>
      <c r="Q3524" s="125"/>
      <c r="R3524" s="127"/>
      <c r="S3524" s="123"/>
      <c r="T3524" s="3"/>
      <c r="W3524" s="86"/>
      <c r="Y3524" s="75"/>
    </row>
    <row r="3525" spans="1:25" x14ac:dyDescent="0.25">
      <c r="A3525" s="75"/>
      <c r="C3525" s="81"/>
      <c r="D3525" s="81"/>
      <c r="I3525" s="81"/>
      <c r="K3525" s="82"/>
      <c r="L3525" s="123"/>
      <c r="M3525" s="3"/>
      <c r="N3525" s="3"/>
      <c r="O3525" s="3"/>
      <c r="P3525" s="125"/>
      <c r="Q3525" s="125"/>
      <c r="R3525" s="127"/>
      <c r="S3525" s="123"/>
      <c r="T3525" s="3"/>
      <c r="W3525" s="86"/>
      <c r="Y3525" s="75"/>
    </row>
    <row r="3526" spans="1:25" x14ac:dyDescent="0.25">
      <c r="A3526" s="75"/>
      <c r="C3526" s="81"/>
      <c r="D3526" s="81"/>
      <c r="I3526" s="81"/>
      <c r="K3526" s="82"/>
      <c r="L3526" s="123"/>
      <c r="M3526" s="3"/>
      <c r="N3526" s="3"/>
      <c r="O3526" s="3"/>
      <c r="P3526" s="125"/>
      <c r="Q3526" s="125"/>
      <c r="R3526" s="127"/>
      <c r="S3526" s="123"/>
      <c r="T3526" s="3"/>
      <c r="W3526" s="86"/>
      <c r="Y3526" s="75"/>
    </row>
    <row r="3527" spans="1:25" x14ac:dyDescent="0.25">
      <c r="A3527" s="75"/>
      <c r="C3527" s="81"/>
      <c r="D3527" s="81"/>
      <c r="I3527" s="81"/>
      <c r="K3527" s="82"/>
      <c r="L3527" s="123"/>
      <c r="M3527" s="3"/>
      <c r="N3527" s="3"/>
      <c r="O3527" s="3"/>
      <c r="P3527" s="125"/>
      <c r="Q3527" s="125"/>
      <c r="R3527" s="127"/>
      <c r="S3527" s="123"/>
      <c r="T3527" s="3"/>
      <c r="W3527" s="86"/>
      <c r="Y3527" s="75"/>
    </row>
    <row r="3528" spans="1:25" x14ac:dyDescent="0.25">
      <c r="A3528" s="75"/>
      <c r="C3528" s="81"/>
      <c r="D3528" s="81"/>
      <c r="I3528" s="81"/>
      <c r="K3528" s="82"/>
      <c r="L3528" s="123"/>
      <c r="M3528" s="3"/>
      <c r="N3528" s="3"/>
      <c r="O3528" s="3"/>
      <c r="P3528" s="125"/>
      <c r="Q3528" s="125"/>
      <c r="R3528" s="127"/>
      <c r="S3528" s="123"/>
      <c r="T3528" s="3"/>
      <c r="W3528" s="86"/>
      <c r="Y3528" s="75"/>
    </row>
    <row r="3529" spans="1:25" x14ac:dyDescent="0.25">
      <c r="A3529" s="75"/>
      <c r="C3529" s="81"/>
      <c r="D3529" s="81"/>
      <c r="I3529" s="81"/>
      <c r="K3529" s="82"/>
      <c r="L3529" s="123"/>
      <c r="M3529" s="3"/>
      <c r="N3529" s="3"/>
      <c r="O3529" s="3"/>
      <c r="P3529" s="125"/>
      <c r="Q3529" s="125"/>
      <c r="R3529" s="127"/>
      <c r="S3529" s="123"/>
      <c r="T3529" s="3"/>
      <c r="W3529" s="86"/>
      <c r="Y3529" s="75"/>
    </row>
    <row r="3530" spans="1:25" x14ac:dyDescent="0.25">
      <c r="A3530" s="75"/>
      <c r="C3530" s="81"/>
      <c r="D3530" s="81"/>
      <c r="I3530" s="81"/>
      <c r="K3530" s="82"/>
      <c r="L3530" s="123"/>
      <c r="M3530" s="3"/>
      <c r="N3530" s="3"/>
      <c r="O3530" s="3"/>
      <c r="P3530" s="125"/>
      <c r="Q3530" s="125"/>
      <c r="R3530" s="127"/>
      <c r="S3530" s="123"/>
      <c r="T3530" s="3"/>
      <c r="W3530" s="86"/>
      <c r="Y3530" s="75"/>
    </row>
    <row r="3531" spans="1:25" x14ac:dyDescent="0.25">
      <c r="A3531" s="75"/>
      <c r="C3531" s="81"/>
      <c r="D3531" s="81"/>
      <c r="I3531" s="81"/>
      <c r="K3531" s="82"/>
      <c r="L3531" s="123"/>
      <c r="M3531" s="3"/>
      <c r="N3531" s="3"/>
      <c r="O3531" s="3"/>
      <c r="P3531" s="125"/>
      <c r="Q3531" s="125"/>
      <c r="R3531" s="127"/>
      <c r="S3531" s="123"/>
      <c r="T3531" s="3"/>
      <c r="W3531" s="86"/>
      <c r="Y3531" s="75"/>
    </row>
    <row r="3532" spans="1:25" x14ac:dyDescent="0.25">
      <c r="A3532" s="75"/>
      <c r="C3532" s="81"/>
      <c r="D3532" s="81"/>
      <c r="I3532" s="81"/>
      <c r="K3532" s="82"/>
      <c r="L3532" s="123"/>
      <c r="M3532" s="3"/>
      <c r="N3532" s="3"/>
      <c r="O3532" s="3"/>
      <c r="P3532" s="125"/>
      <c r="Q3532" s="125"/>
      <c r="R3532" s="127"/>
      <c r="S3532" s="123"/>
      <c r="T3532" s="3"/>
      <c r="W3532" s="86"/>
      <c r="Y3532" s="75"/>
    </row>
    <row r="3533" spans="1:25" x14ac:dyDescent="0.25">
      <c r="A3533" s="75"/>
      <c r="C3533" s="81"/>
      <c r="D3533" s="81"/>
      <c r="I3533" s="81"/>
      <c r="K3533" s="82"/>
      <c r="L3533" s="123"/>
      <c r="M3533" s="3"/>
      <c r="N3533" s="3"/>
      <c r="O3533" s="3"/>
      <c r="P3533" s="125"/>
      <c r="Q3533" s="125"/>
      <c r="R3533" s="127"/>
      <c r="S3533" s="123"/>
      <c r="T3533" s="3"/>
      <c r="W3533" s="86"/>
      <c r="Y3533" s="75"/>
    </row>
    <row r="3534" spans="1:25" x14ac:dyDescent="0.25">
      <c r="A3534" s="75"/>
      <c r="C3534" s="81"/>
      <c r="D3534" s="81"/>
      <c r="I3534" s="81"/>
      <c r="K3534" s="82"/>
      <c r="L3534" s="123"/>
      <c r="M3534" s="3"/>
      <c r="N3534" s="3"/>
      <c r="O3534" s="3"/>
      <c r="P3534" s="125"/>
      <c r="Q3534" s="125"/>
      <c r="R3534" s="127"/>
      <c r="S3534" s="123"/>
      <c r="T3534" s="3"/>
      <c r="W3534" s="86"/>
      <c r="Y3534" s="75"/>
    </row>
    <row r="3535" spans="1:25" x14ac:dyDescent="0.25">
      <c r="A3535" s="75"/>
      <c r="C3535" s="81"/>
      <c r="D3535" s="81"/>
      <c r="I3535" s="81"/>
      <c r="K3535" s="82"/>
      <c r="L3535" s="123"/>
      <c r="M3535" s="3"/>
      <c r="N3535" s="3"/>
      <c r="O3535" s="3"/>
      <c r="P3535" s="125"/>
      <c r="Q3535" s="125"/>
      <c r="R3535" s="127"/>
      <c r="S3535" s="123"/>
      <c r="T3535" s="3"/>
      <c r="W3535" s="86"/>
      <c r="Y3535" s="75"/>
    </row>
    <row r="3536" spans="1:25" x14ac:dyDescent="0.25">
      <c r="A3536" s="75"/>
      <c r="C3536" s="81"/>
      <c r="D3536" s="81"/>
      <c r="I3536" s="81"/>
      <c r="K3536" s="82"/>
      <c r="L3536" s="123"/>
      <c r="M3536" s="3"/>
      <c r="N3536" s="3"/>
      <c r="O3536" s="3"/>
      <c r="P3536" s="125"/>
      <c r="Q3536" s="125"/>
      <c r="R3536" s="127"/>
      <c r="S3536" s="123"/>
      <c r="T3536" s="3"/>
      <c r="W3536" s="86"/>
      <c r="Y3536" s="75"/>
    </row>
    <row r="3537" spans="1:25" x14ac:dyDescent="0.25">
      <c r="A3537" s="75"/>
      <c r="C3537" s="81"/>
      <c r="D3537" s="81"/>
      <c r="I3537" s="81"/>
      <c r="K3537" s="82"/>
      <c r="L3537" s="123"/>
      <c r="M3537" s="3"/>
      <c r="N3537" s="3"/>
      <c r="O3537" s="3"/>
      <c r="P3537" s="125"/>
      <c r="Q3537" s="125"/>
      <c r="R3537" s="127"/>
      <c r="S3537" s="123"/>
      <c r="T3537" s="3"/>
      <c r="W3537" s="86"/>
      <c r="Y3537" s="75"/>
    </row>
    <row r="3538" spans="1:25" x14ac:dyDescent="0.25">
      <c r="A3538" s="75"/>
      <c r="C3538" s="81"/>
      <c r="D3538" s="81"/>
      <c r="I3538" s="81"/>
      <c r="K3538" s="82"/>
      <c r="L3538" s="123"/>
      <c r="M3538" s="3"/>
      <c r="N3538" s="3"/>
      <c r="O3538" s="3"/>
      <c r="P3538" s="125"/>
      <c r="Q3538" s="125"/>
      <c r="R3538" s="127"/>
      <c r="S3538" s="123"/>
      <c r="T3538" s="3"/>
      <c r="W3538" s="86"/>
      <c r="Y3538" s="75"/>
    </row>
    <row r="3539" spans="1:25" x14ac:dyDescent="0.25">
      <c r="A3539" s="75"/>
      <c r="C3539" s="81"/>
      <c r="D3539" s="81"/>
      <c r="I3539" s="81"/>
      <c r="K3539" s="82"/>
      <c r="L3539" s="123"/>
      <c r="M3539" s="3"/>
      <c r="N3539" s="3"/>
      <c r="O3539" s="3"/>
      <c r="P3539" s="125"/>
      <c r="Q3539" s="125"/>
      <c r="R3539" s="127"/>
      <c r="S3539" s="123"/>
      <c r="T3539" s="3"/>
      <c r="W3539" s="86"/>
      <c r="Y3539" s="75"/>
    </row>
    <row r="3540" spans="1:25" x14ac:dyDescent="0.25">
      <c r="A3540" s="75"/>
      <c r="C3540" s="81"/>
      <c r="D3540" s="81"/>
      <c r="I3540" s="81"/>
      <c r="K3540" s="82"/>
      <c r="L3540" s="123"/>
      <c r="M3540" s="3"/>
      <c r="N3540" s="3"/>
      <c r="O3540" s="3"/>
      <c r="P3540" s="125"/>
      <c r="Q3540" s="125"/>
      <c r="R3540" s="127"/>
      <c r="S3540" s="123"/>
      <c r="T3540" s="3"/>
      <c r="W3540" s="86"/>
      <c r="Y3540" s="75"/>
    </row>
    <row r="3541" spans="1:25" x14ac:dyDescent="0.25">
      <c r="A3541" s="75"/>
      <c r="C3541" s="81"/>
      <c r="D3541" s="81"/>
      <c r="I3541" s="81"/>
      <c r="K3541" s="82"/>
      <c r="L3541" s="123"/>
      <c r="M3541" s="3"/>
      <c r="N3541" s="3"/>
      <c r="O3541" s="3"/>
      <c r="P3541" s="125"/>
      <c r="Q3541" s="125"/>
      <c r="R3541" s="127"/>
      <c r="S3541" s="123"/>
      <c r="T3541" s="3"/>
      <c r="W3541" s="86"/>
      <c r="Y3541" s="75"/>
    </row>
    <row r="3542" spans="1:25" x14ac:dyDescent="0.25">
      <c r="A3542" s="75"/>
      <c r="C3542" s="81"/>
      <c r="D3542" s="81"/>
      <c r="I3542" s="81"/>
      <c r="K3542" s="82"/>
      <c r="L3542" s="123"/>
      <c r="M3542" s="3"/>
      <c r="N3542" s="3"/>
      <c r="O3542" s="3"/>
      <c r="P3542" s="125"/>
      <c r="Q3542" s="125"/>
      <c r="R3542" s="127"/>
      <c r="S3542" s="123"/>
      <c r="T3542" s="3"/>
      <c r="W3542" s="86"/>
      <c r="Y3542" s="75"/>
    </row>
    <row r="3543" spans="1:25" x14ac:dyDescent="0.25">
      <c r="A3543" s="75"/>
      <c r="C3543" s="81"/>
      <c r="D3543" s="81"/>
      <c r="I3543" s="81"/>
      <c r="K3543" s="82"/>
      <c r="L3543" s="123"/>
      <c r="M3543" s="3"/>
      <c r="N3543" s="3"/>
      <c r="O3543" s="3"/>
      <c r="P3543" s="125"/>
      <c r="Q3543" s="125"/>
      <c r="R3543" s="127"/>
      <c r="S3543" s="123"/>
      <c r="T3543" s="3"/>
      <c r="W3543" s="86"/>
      <c r="Y3543" s="75"/>
    </row>
    <row r="3544" spans="1:25" x14ac:dyDescent="0.25">
      <c r="A3544" s="75"/>
      <c r="C3544" s="81"/>
      <c r="D3544" s="81"/>
      <c r="I3544" s="81"/>
      <c r="K3544" s="82"/>
      <c r="L3544" s="123"/>
      <c r="M3544" s="3"/>
      <c r="N3544" s="3"/>
      <c r="O3544" s="3"/>
      <c r="P3544" s="125"/>
      <c r="Q3544" s="125"/>
      <c r="R3544" s="127"/>
      <c r="S3544" s="123"/>
      <c r="T3544" s="3"/>
      <c r="W3544" s="86"/>
      <c r="Y3544" s="75"/>
    </row>
    <row r="3545" spans="1:25" x14ac:dyDescent="0.25">
      <c r="A3545" s="75"/>
      <c r="C3545" s="81"/>
      <c r="D3545" s="81"/>
      <c r="I3545" s="81"/>
      <c r="K3545" s="82"/>
      <c r="L3545" s="123"/>
      <c r="M3545" s="3"/>
      <c r="N3545" s="3"/>
      <c r="O3545" s="3"/>
      <c r="P3545" s="125"/>
      <c r="Q3545" s="125"/>
      <c r="R3545" s="127"/>
      <c r="S3545" s="123"/>
      <c r="T3545" s="3"/>
      <c r="W3545" s="86"/>
      <c r="Y3545" s="75"/>
    </row>
    <row r="3546" spans="1:25" x14ac:dyDescent="0.25">
      <c r="A3546" s="75"/>
      <c r="C3546" s="81"/>
      <c r="D3546" s="81"/>
      <c r="I3546" s="81"/>
      <c r="K3546" s="82"/>
      <c r="L3546" s="123"/>
      <c r="M3546" s="3"/>
      <c r="N3546" s="3"/>
      <c r="O3546" s="3"/>
      <c r="P3546" s="125"/>
      <c r="Q3546" s="125"/>
      <c r="R3546" s="127"/>
      <c r="S3546" s="123"/>
      <c r="T3546" s="3"/>
      <c r="W3546" s="86"/>
      <c r="Y3546" s="75"/>
    </row>
    <row r="3547" spans="1:25" x14ac:dyDescent="0.25">
      <c r="A3547" s="75"/>
      <c r="C3547" s="81"/>
      <c r="D3547" s="81"/>
      <c r="I3547" s="81"/>
      <c r="K3547" s="82"/>
      <c r="L3547" s="123"/>
      <c r="M3547" s="3"/>
      <c r="N3547" s="3"/>
      <c r="O3547" s="3"/>
      <c r="P3547" s="125"/>
      <c r="Q3547" s="125"/>
      <c r="R3547" s="127"/>
      <c r="S3547" s="123"/>
      <c r="T3547" s="3"/>
      <c r="W3547" s="86"/>
      <c r="Y3547" s="75"/>
    </row>
    <row r="3548" spans="1:25" x14ac:dyDescent="0.25">
      <c r="A3548" s="75"/>
      <c r="C3548" s="81"/>
      <c r="D3548" s="81"/>
      <c r="I3548" s="81"/>
      <c r="K3548" s="82"/>
      <c r="L3548" s="123"/>
      <c r="M3548" s="3"/>
      <c r="N3548" s="3"/>
      <c r="O3548" s="3"/>
      <c r="P3548" s="125"/>
      <c r="Q3548" s="125"/>
      <c r="R3548" s="127"/>
      <c r="S3548" s="123"/>
      <c r="T3548" s="3"/>
      <c r="W3548" s="86"/>
      <c r="Y3548" s="75"/>
    </row>
    <row r="3549" spans="1:25" x14ac:dyDescent="0.25">
      <c r="A3549" s="75"/>
      <c r="C3549" s="81"/>
      <c r="D3549" s="81"/>
      <c r="I3549" s="81"/>
      <c r="K3549" s="82"/>
      <c r="L3549" s="123"/>
      <c r="M3549" s="3"/>
      <c r="N3549" s="3"/>
      <c r="O3549" s="3"/>
      <c r="P3549" s="125"/>
      <c r="Q3549" s="125"/>
      <c r="R3549" s="127"/>
      <c r="S3549" s="123"/>
      <c r="T3549" s="3"/>
      <c r="W3549" s="86"/>
      <c r="Y3549" s="75"/>
    </row>
    <row r="3550" spans="1:25" x14ac:dyDescent="0.25">
      <c r="A3550" s="75"/>
      <c r="C3550" s="81"/>
      <c r="D3550" s="81"/>
      <c r="I3550" s="81"/>
      <c r="K3550" s="82"/>
      <c r="L3550" s="123"/>
      <c r="M3550" s="3"/>
      <c r="N3550" s="3"/>
      <c r="O3550" s="3"/>
      <c r="P3550" s="125"/>
      <c r="Q3550" s="125"/>
      <c r="R3550" s="127"/>
      <c r="S3550" s="123"/>
      <c r="T3550" s="3"/>
      <c r="W3550" s="86"/>
      <c r="Y3550" s="75"/>
    </row>
    <row r="3551" spans="1:25" x14ac:dyDescent="0.25">
      <c r="A3551" s="75"/>
      <c r="C3551" s="81"/>
      <c r="D3551" s="81"/>
      <c r="I3551" s="81"/>
      <c r="K3551" s="82"/>
      <c r="L3551" s="123"/>
      <c r="M3551" s="3"/>
      <c r="N3551" s="3"/>
      <c r="O3551" s="3"/>
      <c r="P3551" s="125"/>
      <c r="Q3551" s="125"/>
      <c r="R3551" s="127"/>
      <c r="S3551" s="123"/>
      <c r="T3551" s="3"/>
      <c r="W3551" s="86"/>
      <c r="Y3551" s="75"/>
    </row>
    <row r="3552" spans="1:25" x14ac:dyDescent="0.25">
      <c r="A3552" s="75"/>
      <c r="C3552" s="81"/>
      <c r="D3552" s="81"/>
      <c r="I3552" s="81"/>
      <c r="K3552" s="82"/>
      <c r="L3552" s="123"/>
      <c r="M3552" s="3"/>
      <c r="N3552" s="3"/>
      <c r="O3552" s="3"/>
      <c r="P3552" s="125"/>
      <c r="Q3552" s="125"/>
      <c r="R3552" s="127"/>
      <c r="S3552" s="123"/>
      <c r="T3552" s="3"/>
      <c r="W3552" s="86"/>
      <c r="Y3552" s="75"/>
    </row>
    <row r="3553" spans="1:25" x14ac:dyDescent="0.25">
      <c r="A3553" s="75"/>
      <c r="C3553" s="81"/>
      <c r="D3553" s="81"/>
      <c r="I3553" s="81"/>
      <c r="K3553" s="82"/>
      <c r="L3553" s="123"/>
      <c r="M3553" s="3"/>
      <c r="N3553" s="3"/>
      <c r="O3553" s="3"/>
      <c r="P3553" s="125"/>
      <c r="Q3553" s="125"/>
      <c r="R3553" s="127"/>
      <c r="S3553" s="123"/>
      <c r="T3553" s="3"/>
      <c r="W3553" s="86"/>
      <c r="Y3553" s="75"/>
    </row>
    <row r="3554" spans="1:25" x14ac:dyDescent="0.25">
      <c r="A3554" s="75"/>
      <c r="C3554" s="81"/>
      <c r="D3554" s="81"/>
      <c r="I3554" s="81"/>
      <c r="K3554" s="82"/>
      <c r="L3554" s="123"/>
      <c r="M3554" s="3"/>
      <c r="N3554" s="3"/>
      <c r="O3554" s="3"/>
      <c r="P3554" s="125"/>
      <c r="Q3554" s="125"/>
      <c r="R3554" s="127"/>
      <c r="S3554" s="123"/>
      <c r="T3554" s="3"/>
      <c r="W3554" s="86"/>
      <c r="Y3554" s="75"/>
    </row>
    <row r="3555" spans="1:25" x14ac:dyDescent="0.25">
      <c r="A3555" s="75"/>
      <c r="C3555" s="81"/>
      <c r="D3555" s="81"/>
      <c r="I3555" s="81"/>
      <c r="K3555" s="82"/>
      <c r="L3555" s="123"/>
      <c r="M3555" s="3"/>
      <c r="N3555" s="3"/>
      <c r="O3555" s="3"/>
      <c r="P3555" s="125"/>
      <c r="Q3555" s="125"/>
      <c r="R3555" s="127"/>
      <c r="S3555" s="123"/>
      <c r="T3555" s="3"/>
      <c r="W3555" s="86"/>
      <c r="Y3555" s="75"/>
    </row>
    <row r="3556" spans="1:25" x14ac:dyDescent="0.25">
      <c r="A3556" s="75"/>
      <c r="C3556" s="81"/>
      <c r="D3556" s="81"/>
      <c r="I3556" s="81"/>
      <c r="K3556" s="82"/>
      <c r="L3556" s="123"/>
      <c r="M3556" s="3"/>
      <c r="N3556" s="3"/>
      <c r="O3556" s="3"/>
      <c r="P3556" s="125"/>
      <c r="Q3556" s="125"/>
      <c r="R3556" s="127"/>
      <c r="S3556" s="123"/>
      <c r="T3556" s="3"/>
      <c r="W3556" s="86"/>
      <c r="Y3556" s="75"/>
    </row>
    <row r="3557" spans="1:25" x14ac:dyDescent="0.25">
      <c r="A3557" s="75"/>
      <c r="C3557" s="81"/>
      <c r="D3557" s="81"/>
      <c r="I3557" s="81"/>
      <c r="K3557" s="82"/>
      <c r="L3557" s="123"/>
      <c r="M3557" s="3"/>
      <c r="N3557" s="3"/>
      <c r="O3557" s="3"/>
      <c r="P3557" s="125"/>
      <c r="Q3557" s="125"/>
      <c r="R3557" s="127"/>
      <c r="S3557" s="123"/>
      <c r="T3557" s="3"/>
      <c r="W3557" s="86"/>
      <c r="Y3557" s="75"/>
    </row>
    <row r="3558" spans="1:25" x14ac:dyDescent="0.25">
      <c r="A3558" s="75"/>
      <c r="C3558" s="81"/>
      <c r="D3558" s="81"/>
      <c r="I3558" s="81"/>
      <c r="K3558" s="82"/>
      <c r="L3558" s="123"/>
      <c r="M3558" s="3"/>
      <c r="N3558" s="3"/>
      <c r="O3558" s="3"/>
      <c r="P3558" s="125"/>
      <c r="Q3558" s="125"/>
      <c r="R3558" s="127"/>
      <c r="S3558" s="123"/>
      <c r="T3558" s="3"/>
      <c r="W3558" s="86"/>
      <c r="Y3558" s="75"/>
    </row>
    <row r="3559" spans="1:25" x14ac:dyDescent="0.25">
      <c r="A3559" s="75"/>
      <c r="C3559" s="81"/>
      <c r="D3559" s="81"/>
      <c r="I3559" s="81"/>
      <c r="K3559" s="82"/>
      <c r="L3559" s="123"/>
      <c r="M3559" s="3"/>
      <c r="N3559" s="3"/>
      <c r="O3559" s="3"/>
      <c r="P3559" s="125"/>
      <c r="Q3559" s="125"/>
      <c r="R3559" s="127"/>
      <c r="S3559" s="123"/>
      <c r="T3559" s="3"/>
      <c r="W3559" s="86"/>
      <c r="Y3559" s="75"/>
    </row>
    <row r="3560" spans="1:25" x14ac:dyDescent="0.25">
      <c r="A3560" s="75"/>
      <c r="C3560" s="81"/>
      <c r="D3560" s="81"/>
      <c r="I3560" s="81"/>
      <c r="K3560" s="82"/>
      <c r="L3560" s="123"/>
      <c r="M3560" s="3"/>
      <c r="N3560" s="3"/>
      <c r="O3560" s="3"/>
      <c r="P3560" s="125"/>
      <c r="Q3560" s="125"/>
      <c r="R3560" s="127"/>
      <c r="S3560" s="123"/>
      <c r="T3560" s="3"/>
      <c r="W3560" s="86"/>
      <c r="Y3560" s="75"/>
    </row>
    <row r="3561" spans="1:25" x14ac:dyDescent="0.25">
      <c r="A3561" s="75"/>
      <c r="C3561" s="81"/>
      <c r="D3561" s="81"/>
      <c r="I3561" s="81"/>
      <c r="K3561" s="82"/>
      <c r="L3561" s="123"/>
      <c r="M3561" s="3"/>
      <c r="N3561" s="3"/>
      <c r="O3561" s="3"/>
      <c r="P3561" s="125"/>
      <c r="Q3561" s="125"/>
      <c r="R3561" s="127"/>
      <c r="S3561" s="123"/>
      <c r="T3561" s="3"/>
      <c r="W3561" s="86"/>
      <c r="Y3561" s="75"/>
    </row>
    <row r="3562" spans="1:25" x14ac:dyDescent="0.25">
      <c r="A3562" s="75"/>
      <c r="C3562" s="81"/>
      <c r="D3562" s="81"/>
      <c r="I3562" s="81"/>
      <c r="K3562" s="82"/>
      <c r="L3562" s="123"/>
      <c r="M3562" s="3"/>
      <c r="N3562" s="3"/>
      <c r="O3562" s="3"/>
      <c r="P3562" s="125"/>
      <c r="Q3562" s="125"/>
      <c r="R3562" s="127"/>
      <c r="S3562" s="123"/>
      <c r="T3562" s="3"/>
      <c r="W3562" s="86"/>
      <c r="Y3562" s="75"/>
    </row>
    <row r="3563" spans="1:25" x14ac:dyDescent="0.25">
      <c r="A3563" s="75"/>
      <c r="C3563" s="81"/>
      <c r="D3563" s="81"/>
      <c r="I3563" s="81"/>
      <c r="K3563" s="82"/>
      <c r="L3563" s="123"/>
      <c r="M3563" s="3"/>
      <c r="N3563" s="3"/>
      <c r="O3563" s="3"/>
      <c r="P3563" s="125"/>
      <c r="Q3563" s="125"/>
      <c r="R3563" s="127"/>
      <c r="S3563" s="123"/>
      <c r="T3563" s="3"/>
      <c r="W3563" s="86"/>
      <c r="Y3563" s="75"/>
    </row>
    <row r="3564" spans="1:25" x14ac:dyDescent="0.25">
      <c r="A3564" s="75"/>
      <c r="C3564" s="81"/>
      <c r="D3564" s="81"/>
      <c r="I3564" s="81"/>
      <c r="K3564" s="82"/>
      <c r="L3564" s="123"/>
      <c r="M3564" s="3"/>
      <c r="N3564" s="3"/>
      <c r="O3564" s="3"/>
      <c r="P3564" s="125"/>
      <c r="Q3564" s="125"/>
      <c r="R3564" s="127"/>
      <c r="S3564" s="123"/>
      <c r="T3564" s="3"/>
      <c r="W3564" s="86"/>
      <c r="Y3564" s="75"/>
    </row>
    <row r="3565" spans="1:25" x14ac:dyDescent="0.25">
      <c r="A3565" s="75"/>
      <c r="C3565" s="81"/>
      <c r="D3565" s="81"/>
      <c r="I3565" s="81"/>
      <c r="K3565" s="82"/>
      <c r="L3565" s="123"/>
      <c r="M3565" s="3"/>
      <c r="N3565" s="3"/>
      <c r="O3565" s="3"/>
      <c r="P3565" s="125"/>
      <c r="Q3565" s="125"/>
      <c r="R3565" s="127"/>
      <c r="S3565" s="123"/>
      <c r="T3565" s="3"/>
      <c r="W3565" s="86"/>
      <c r="Y3565" s="75"/>
    </row>
    <row r="3566" spans="1:25" x14ac:dyDescent="0.25">
      <c r="A3566" s="75"/>
      <c r="C3566" s="81"/>
      <c r="D3566" s="81"/>
      <c r="I3566" s="81"/>
      <c r="K3566" s="82"/>
      <c r="L3566" s="123"/>
      <c r="M3566" s="3"/>
      <c r="N3566" s="3"/>
      <c r="O3566" s="3"/>
      <c r="P3566" s="125"/>
      <c r="Q3566" s="125"/>
      <c r="R3566" s="127"/>
      <c r="S3566" s="123"/>
      <c r="T3566" s="3"/>
      <c r="W3566" s="86"/>
      <c r="Y3566" s="75"/>
    </row>
    <row r="3567" spans="1:25" x14ac:dyDescent="0.25">
      <c r="A3567" s="75"/>
      <c r="C3567" s="81"/>
      <c r="D3567" s="81"/>
      <c r="I3567" s="81"/>
      <c r="K3567" s="82"/>
      <c r="L3567" s="123"/>
      <c r="M3567" s="3"/>
      <c r="N3567" s="3"/>
      <c r="O3567" s="3"/>
      <c r="P3567" s="125"/>
      <c r="Q3567" s="125"/>
      <c r="R3567" s="127"/>
      <c r="S3567" s="123"/>
      <c r="T3567" s="3"/>
      <c r="W3567" s="86"/>
      <c r="Y3567" s="75"/>
    </row>
    <row r="3568" spans="1:25" x14ac:dyDescent="0.25">
      <c r="A3568" s="75"/>
      <c r="C3568" s="81"/>
      <c r="D3568" s="81"/>
      <c r="I3568" s="81"/>
      <c r="K3568" s="82"/>
      <c r="L3568" s="123"/>
      <c r="M3568" s="3"/>
      <c r="N3568" s="3"/>
      <c r="O3568" s="3"/>
      <c r="P3568" s="125"/>
      <c r="Q3568" s="125"/>
      <c r="R3568" s="127"/>
      <c r="S3568" s="123"/>
      <c r="T3568" s="3"/>
      <c r="W3568" s="86"/>
      <c r="Y3568" s="75"/>
    </row>
    <row r="3569" spans="1:25" x14ac:dyDescent="0.25">
      <c r="A3569" s="75"/>
      <c r="C3569" s="81"/>
      <c r="D3569" s="81"/>
      <c r="I3569" s="81"/>
      <c r="K3569" s="82"/>
      <c r="L3569" s="123"/>
      <c r="M3569" s="3"/>
      <c r="N3569" s="3"/>
      <c r="O3569" s="3"/>
      <c r="P3569" s="125"/>
      <c r="Q3569" s="125"/>
      <c r="R3569" s="127"/>
      <c r="S3569" s="123"/>
      <c r="T3569" s="3"/>
      <c r="W3569" s="86"/>
      <c r="Y3569" s="75"/>
    </row>
    <row r="3570" spans="1:25" x14ac:dyDescent="0.25">
      <c r="A3570" s="75"/>
      <c r="C3570" s="81"/>
      <c r="D3570" s="81"/>
      <c r="I3570" s="81"/>
      <c r="K3570" s="82"/>
      <c r="L3570" s="123"/>
      <c r="M3570" s="3"/>
      <c r="N3570" s="3"/>
      <c r="O3570" s="3"/>
      <c r="P3570" s="125"/>
      <c r="Q3570" s="125"/>
      <c r="R3570" s="127"/>
      <c r="S3570" s="123"/>
      <c r="T3570" s="3"/>
      <c r="W3570" s="86"/>
      <c r="Y3570" s="75"/>
    </row>
    <row r="3571" spans="1:25" x14ac:dyDescent="0.25">
      <c r="A3571" s="75"/>
      <c r="C3571" s="81"/>
      <c r="D3571" s="81"/>
      <c r="I3571" s="81"/>
      <c r="K3571" s="82"/>
      <c r="L3571" s="123"/>
      <c r="M3571" s="3"/>
      <c r="N3571" s="3"/>
      <c r="O3571" s="3"/>
      <c r="P3571" s="125"/>
      <c r="Q3571" s="125"/>
      <c r="R3571" s="127"/>
      <c r="S3571" s="123"/>
      <c r="T3571" s="3"/>
      <c r="W3571" s="86"/>
      <c r="Y3571" s="75"/>
    </row>
    <row r="3572" spans="1:25" x14ac:dyDescent="0.25">
      <c r="A3572" s="75"/>
      <c r="C3572" s="81"/>
      <c r="D3572" s="81"/>
      <c r="I3572" s="81"/>
      <c r="K3572" s="82"/>
      <c r="L3572" s="123"/>
      <c r="M3572" s="3"/>
      <c r="N3572" s="3"/>
      <c r="O3572" s="3"/>
      <c r="P3572" s="125"/>
      <c r="Q3572" s="125"/>
      <c r="R3572" s="127"/>
      <c r="S3572" s="123"/>
      <c r="T3572" s="3"/>
      <c r="W3572" s="86"/>
      <c r="Y3572" s="75"/>
    </row>
    <row r="3573" spans="1:25" x14ac:dyDescent="0.25">
      <c r="A3573" s="75"/>
      <c r="C3573" s="81"/>
      <c r="D3573" s="81"/>
      <c r="I3573" s="81"/>
      <c r="K3573" s="82"/>
      <c r="L3573" s="123"/>
      <c r="M3573" s="3"/>
      <c r="N3573" s="3"/>
      <c r="O3573" s="3"/>
      <c r="P3573" s="125"/>
      <c r="Q3573" s="125"/>
      <c r="R3573" s="127"/>
      <c r="S3573" s="123"/>
      <c r="T3573" s="3"/>
      <c r="W3573" s="86"/>
      <c r="Y3573" s="75"/>
    </row>
    <row r="3574" spans="1:25" x14ac:dyDescent="0.25">
      <c r="A3574" s="75"/>
      <c r="C3574" s="81"/>
      <c r="D3574" s="81"/>
      <c r="I3574" s="81"/>
      <c r="K3574" s="82"/>
      <c r="L3574" s="123"/>
      <c r="M3574" s="3"/>
      <c r="N3574" s="3"/>
      <c r="O3574" s="3"/>
      <c r="P3574" s="125"/>
      <c r="Q3574" s="125"/>
      <c r="R3574" s="127"/>
      <c r="S3574" s="123"/>
      <c r="T3574" s="3"/>
      <c r="W3574" s="86"/>
      <c r="Y3574" s="75"/>
    </row>
    <row r="3575" spans="1:25" x14ac:dyDescent="0.25">
      <c r="A3575" s="75"/>
      <c r="C3575" s="81"/>
      <c r="D3575" s="81"/>
      <c r="I3575" s="81"/>
      <c r="K3575" s="82"/>
      <c r="L3575" s="123"/>
      <c r="M3575" s="3"/>
      <c r="N3575" s="3"/>
      <c r="O3575" s="3"/>
      <c r="P3575" s="125"/>
      <c r="Q3575" s="125"/>
      <c r="R3575" s="127"/>
      <c r="S3575" s="123"/>
      <c r="T3575" s="3"/>
      <c r="W3575" s="86"/>
      <c r="Y3575" s="75"/>
    </row>
    <row r="3576" spans="1:25" x14ac:dyDescent="0.25">
      <c r="A3576" s="75"/>
      <c r="C3576" s="81"/>
      <c r="D3576" s="81"/>
      <c r="I3576" s="81"/>
      <c r="K3576" s="82"/>
      <c r="L3576" s="123"/>
      <c r="M3576" s="3"/>
      <c r="N3576" s="3"/>
      <c r="O3576" s="3"/>
      <c r="P3576" s="125"/>
      <c r="Q3576" s="125"/>
      <c r="R3576" s="127"/>
      <c r="S3576" s="123"/>
      <c r="T3576" s="3"/>
      <c r="W3576" s="86"/>
      <c r="Y3576" s="75"/>
    </row>
    <row r="3577" spans="1:25" x14ac:dyDescent="0.25">
      <c r="A3577" s="75"/>
      <c r="C3577" s="81"/>
      <c r="D3577" s="81"/>
      <c r="I3577" s="81"/>
      <c r="K3577" s="82"/>
      <c r="L3577" s="123"/>
      <c r="M3577" s="3"/>
      <c r="N3577" s="3"/>
      <c r="O3577" s="3"/>
      <c r="P3577" s="125"/>
      <c r="Q3577" s="125"/>
      <c r="R3577" s="127"/>
      <c r="S3577" s="123"/>
      <c r="T3577" s="3"/>
      <c r="W3577" s="86"/>
      <c r="Y3577" s="75"/>
    </row>
    <row r="3578" spans="1:25" x14ac:dyDescent="0.25">
      <c r="A3578" s="75"/>
      <c r="C3578" s="81"/>
      <c r="D3578" s="81"/>
      <c r="I3578" s="81"/>
      <c r="K3578" s="82"/>
      <c r="L3578" s="123"/>
      <c r="M3578" s="3"/>
      <c r="N3578" s="3"/>
      <c r="O3578" s="3"/>
      <c r="P3578" s="125"/>
      <c r="Q3578" s="125"/>
      <c r="R3578" s="127"/>
      <c r="S3578" s="123"/>
      <c r="T3578" s="3"/>
      <c r="W3578" s="86"/>
      <c r="Y3578" s="75"/>
    </row>
    <row r="3579" spans="1:25" x14ac:dyDescent="0.25">
      <c r="A3579" s="75"/>
      <c r="C3579" s="81"/>
      <c r="D3579" s="81"/>
      <c r="I3579" s="81"/>
      <c r="K3579" s="82"/>
      <c r="L3579" s="123"/>
      <c r="M3579" s="3"/>
      <c r="N3579" s="3"/>
      <c r="O3579" s="3"/>
      <c r="P3579" s="125"/>
      <c r="Q3579" s="125"/>
      <c r="R3579" s="127"/>
      <c r="S3579" s="123"/>
      <c r="T3579" s="3"/>
      <c r="W3579" s="86"/>
      <c r="Y3579" s="75"/>
    </row>
    <row r="3580" spans="1:25" x14ac:dyDescent="0.25">
      <c r="A3580" s="75"/>
      <c r="C3580" s="81"/>
      <c r="D3580" s="81"/>
      <c r="I3580" s="81"/>
      <c r="K3580" s="82"/>
      <c r="L3580" s="123"/>
      <c r="M3580" s="3"/>
      <c r="N3580" s="3"/>
      <c r="O3580" s="3"/>
      <c r="P3580" s="125"/>
      <c r="Q3580" s="125"/>
      <c r="R3580" s="127"/>
      <c r="S3580" s="123"/>
      <c r="T3580" s="3"/>
      <c r="W3580" s="86"/>
      <c r="Y3580" s="75"/>
    </row>
    <row r="3581" spans="1:25" x14ac:dyDescent="0.25">
      <c r="A3581" s="75"/>
      <c r="C3581" s="81"/>
      <c r="D3581" s="81"/>
      <c r="I3581" s="81"/>
      <c r="K3581" s="82"/>
      <c r="L3581" s="123"/>
      <c r="M3581" s="3"/>
      <c r="N3581" s="3"/>
      <c r="O3581" s="3"/>
      <c r="P3581" s="125"/>
      <c r="Q3581" s="125"/>
      <c r="R3581" s="127"/>
      <c r="S3581" s="123"/>
      <c r="T3581" s="3"/>
      <c r="W3581" s="86"/>
      <c r="Y3581" s="75"/>
    </row>
    <row r="3582" spans="1:25" x14ac:dyDescent="0.25">
      <c r="A3582" s="75"/>
      <c r="C3582" s="81"/>
      <c r="D3582" s="81"/>
      <c r="I3582" s="81"/>
      <c r="K3582" s="82"/>
      <c r="L3582" s="123"/>
      <c r="M3582" s="3"/>
      <c r="N3582" s="3"/>
      <c r="O3582" s="3"/>
      <c r="P3582" s="125"/>
      <c r="Q3582" s="125"/>
      <c r="R3582" s="127"/>
      <c r="S3582" s="123"/>
      <c r="T3582" s="3"/>
      <c r="W3582" s="86"/>
      <c r="Y3582" s="75"/>
    </row>
    <row r="3583" spans="1:25" x14ac:dyDescent="0.25">
      <c r="A3583" s="75"/>
      <c r="C3583" s="81"/>
      <c r="D3583" s="81"/>
      <c r="I3583" s="81"/>
      <c r="K3583" s="82"/>
      <c r="L3583" s="123"/>
      <c r="M3583" s="3"/>
      <c r="N3583" s="3"/>
      <c r="O3583" s="3"/>
      <c r="P3583" s="125"/>
      <c r="Q3583" s="125"/>
      <c r="R3583" s="127"/>
      <c r="S3583" s="123"/>
      <c r="T3583" s="3"/>
      <c r="W3583" s="86"/>
      <c r="Y3583" s="75"/>
    </row>
    <row r="3584" spans="1:25" x14ac:dyDescent="0.25">
      <c r="A3584" s="75"/>
      <c r="C3584" s="81"/>
      <c r="D3584" s="81"/>
      <c r="I3584" s="81"/>
      <c r="K3584" s="82"/>
      <c r="L3584" s="123"/>
      <c r="M3584" s="3"/>
      <c r="N3584" s="3"/>
      <c r="O3584" s="3"/>
      <c r="P3584" s="125"/>
      <c r="Q3584" s="125"/>
      <c r="R3584" s="127"/>
      <c r="S3584" s="123"/>
      <c r="T3584" s="3"/>
      <c r="W3584" s="86"/>
      <c r="Y3584" s="75"/>
    </row>
    <row r="3585" spans="1:25" x14ac:dyDescent="0.25">
      <c r="A3585" s="75"/>
      <c r="C3585" s="81"/>
      <c r="D3585" s="81"/>
      <c r="I3585" s="81"/>
      <c r="K3585" s="82"/>
      <c r="L3585" s="123"/>
      <c r="M3585" s="3"/>
      <c r="N3585" s="3"/>
      <c r="O3585" s="3"/>
      <c r="P3585" s="125"/>
      <c r="Q3585" s="125"/>
      <c r="R3585" s="127"/>
      <c r="S3585" s="123"/>
      <c r="T3585" s="3"/>
      <c r="W3585" s="86"/>
      <c r="Y3585" s="75"/>
    </row>
    <row r="3586" spans="1:25" x14ac:dyDescent="0.25">
      <c r="A3586" s="75"/>
      <c r="C3586" s="81"/>
      <c r="D3586" s="81"/>
      <c r="I3586" s="81"/>
      <c r="K3586" s="82"/>
      <c r="L3586" s="123"/>
      <c r="M3586" s="3"/>
      <c r="N3586" s="3"/>
      <c r="O3586" s="3"/>
      <c r="P3586" s="125"/>
      <c r="Q3586" s="125"/>
      <c r="R3586" s="127"/>
      <c r="S3586" s="123"/>
      <c r="T3586" s="3"/>
      <c r="W3586" s="86"/>
      <c r="Y3586" s="75"/>
    </row>
    <row r="3587" spans="1:25" x14ac:dyDescent="0.25">
      <c r="A3587" s="75"/>
      <c r="C3587" s="81"/>
      <c r="D3587" s="81"/>
      <c r="I3587" s="81"/>
      <c r="K3587" s="82"/>
      <c r="L3587" s="123"/>
      <c r="M3587" s="3"/>
      <c r="N3587" s="3"/>
      <c r="O3587" s="3"/>
      <c r="P3587" s="125"/>
      <c r="Q3587" s="125"/>
      <c r="R3587" s="127"/>
      <c r="S3587" s="123"/>
      <c r="T3587" s="3"/>
      <c r="W3587" s="86"/>
      <c r="Y3587" s="75"/>
    </row>
    <row r="3588" spans="1:25" x14ac:dyDescent="0.25">
      <c r="A3588" s="75"/>
      <c r="C3588" s="81"/>
      <c r="D3588" s="81"/>
      <c r="I3588" s="81"/>
      <c r="K3588" s="82"/>
      <c r="L3588" s="123"/>
      <c r="M3588" s="3"/>
      <c r="N3588" s="3"/>
      <c r="O3588" s="3"/>
      <c r="P3588" s="125"/>
      <c r="Q3588" s="125"/>
      <c r="R3588" s="127"/>
      <c r="S3588" s="123"/>
      <c r="T3588" s="3"/>
      <c r="W3588" s="86"/>
      <c r="Y3588" s="75"/>
    </row>
    <row r="3589" spans="1:25" x14ac:dyDescent="0.25">
      <c r="A3589" s="75"/>
      <c r="C3589" s="81"/>
      <c r="D3589" s="81"/>
      <c r="I3589" s="81"/>
      <c r="K3589" s="82"/>
      <c r="L3589" s="123"/>
      <c r="M3589" s="3"/>
      <c r="N3589" s="3"/>
      <c r="O3589" s="3"/>
      <c r="P3589" s="125"/>
      <c r="Q3589" s="125"/>
      <c r="R3589" s="127"/>
      <c r="S3589" s="123"/>
      <c r="T3589" s="3"/>
      <c r="W3589" s="86"/>
      <c r="Y3589" s="75"/>
    </row>
    <row r="3590" spans="1:25" x14ac:dyDescent="0.25">
      <c r="A3590" s="75"/>
      <c r="C3590" s="81"/>
      <c r="D3590" s="81"/>
      <c r="I3590" s="81"/>
      <c r="K3590" s="82"/>
      <c r="L3590" s="123"/>
      <c r="M3590" s="3"/>
      <c r="N3590" s="3"/>
      <c r="O3590" s="3"/>
      <c r="P3590" s="125"/>
      <c r="Q3590" s="125"/>
      <c r="R3590" s="127"/>
      <c r="S3590" s="123"/>
      <c r="T3590" s="3"/>
      <c r="W3590" s="86"/>
      <c r="Y3590" s="75"/>
    </row>
    <row r="3591" spans="1:25" x14ac:dyDescent="0.25">
      <c r="A3591" s="75"/>
      <c r="C3591" s="81"/>
      <c r="D3591" s="81"/>
      <c r="I3591" s="81"/>
      <c r="K3591" s="82"/>
      <c r="L3591" s="123"/>
      <c r="M3591" s="3"/>
      <c r="N3591" s="3"/>
      <c r="O3591" s="3"/>
      <c r="P3591" s="125"/>
      <c r="Q3591" s="125"/>
      <c r="R3591" s="127"/>
      <c r="S3591" s="123"/>
      <c r="T3591" s="3"/>
      <c r="W3591" s="86"/>
      <c r="Y3591" s="75"/>
    </row>
    <row r="3592" spans="1:25" x14ac:dyDescent="0.25">
      <c r="A3592" s="75"/>
      <c r="C3592" s="81"/>
      <c r="D3592" s="81"/>
      <c r="I3592" s="81"/>
      <c r="K3592" s="82"/>
      <c r="L3592" s="123"/>
      <c r="M3592" s="3"/>
      <c r="N3592" s="3"/>
      <c r="O3592" s="3"/>
      <c r="P3592" s="125"/>
      <c r="Q3592" s="125"/>
      <c r="R3592" s="127"/>
      <c r="S3592" s="123"/>
      <c r="T3592" s="3"/>
      <c r="W3592" s="86"/>
      <c r="Y3592" s="75"/>
    </row>
    <row r="3593" spans="1:25" x14ac:dyDescent="0.25">
      <c r="A3593" s="75"/>
      <c r="C3593" s="81"/>
      <c r="D3593" s="81"/>
      <c r="I3593" s="81"/>
      <c r="K3593" s="82"/>
      <c r="L3593" s="123"/>
      <c r="M3593" s="3"/>
      <c r="N3593" s="3"/>
      <c r="O3593" s="3"/>
      <c r="P3593" s="125"/>
      <c r="Q3593" s="125"/>
      <c r="R3593" s="127"/>
      <c r="S3593" s="123"/>
      <c r="T3593" s="3"/>
      <c r="W3593" s="86"/>
      <c r="Y3593" s="75"/>
    </row>
    <row r="3594" spans="1:25" x14ac:dyDescent="0.25">
      <c r="A3594" s="75"/>
      <c r="C3594" s="81"/>
      <c r="D3594" s="81"/>
      <c r="I3594" s="81"/>
      <c r="K3594" s="82"/>
      <c r="L3594" s="123"/>
      <c r="M3594" s="3"/>
      <c r="N3594" s="3"/>
      <c r="O3594" s="3"/>
      <c r="P3594" s="125"/>
      <c r="Q3594" s="125"/>
      <c r="R3594" s="127"/>
      <c r="S3594" s="123"/>
      <c r="T3594" s="3"/>
      <c r="W3594" s="86"/>
      <c r="Y3594" s="75"/>
    </row>
    <row r="3595" spans="1:25" x14ac:dyDescent="0.25">
      <c r="A3595" s="75"/>
      <c r="C3595" s="81"/>
      <c r="D3595" s="81"/>
      <c r="I3595" s="81"/>
      <c r="K3595" s="82"/>
      <c r="L3595" s="123"/>
      <c r="M3595" s="3"/>
      <c r="N3595" s="3"/>
      <c r="O3595" s="3"/>
      <c r="P3595" s="125"/>
      <c r="Q3595" s="125"/>
      <c r="R3595" s="127"/>
      <c r="S3595" s="123"/>
      <c r="T3595" s="3"/>
      <c r="W3595" s="86"/>
      <c r="Y3595" s="75"/>
    </row>
    <row r="3596" spans="1:25" x14ac:dyDescent="0.25">
      <c r="A3596" s="75"/>
      <c r="C3596" s="81"/>
      <c r="D3596" s="81"/>
      <c r="I3596" s="81"/>
      <c r="K3596" s="82"/>
      <c r="L3596" s="123"/>
      <c r="M3596" s="3"/>
      <c r="N3596" s="3"/>
      <c r="O3596" s="3"/>
      <c r="P3596" s="125"/>
      <c r="Q3596" s="125"/>
      <c r="R3596" s="127"/>
      <c r="S3596" s="123"/>
      <c r="T3596" s="3"/>
      <c r="W3596" s="86"/>
      <c r="Y3596" s="75"/>
    </row>
    <row r="3597" spans="1:25" x14ac:dyDescent="0.25">
      <c r="A3597" s="75"/>
      <c r="C3597" s="81"/>
      <c r="D3597" s="81"/>
      <c r="I3597" s="81"/>
      <c r="K3597" s="82"/>
      <c r="L3597" s="123"/>
      <c r="M3597" s="3"/>
      <c r="N3597" s="3"/>
      <c r="O3597" s="3"/>
      <c r="P3597" s="125"/>
      <c r="Q3597" s="125"/>
      <c r="R3597" s="127"/>
      <c r="S3597" s="123"/>
      <c r="T3597" s="3"/>
      <c r="W3597" s="86"/>
      <c r="Y3597" s="75"/>
    </row>
    <row r="3598" spans="1:25" x14ac:dyDescent="0.25">
      <c r="A3598" s="75"/>
      <c r="C3598" s="81"/>
      <c r="D3598" s="81"/>
      <c r="I3598" s="81"/>
      <c r="K3598" s="82"/>
      <c r="L3598" s="123"/>
      <c r="M3598" s="3"/>
      <c r="N3598" s="3"/>
      <c r="O3598" s="3"/>
      <c r="P3598" s="125"/>
      <c r="Q3598" s="125"/>
      <c r="R3598" s="127"/>
      <c r="S3598" s="123"/>
      <c r="T3598" s="3"/>
      <c r="W3598" s="86"/>
      <c r="Y3598" s="75"/>
    </row>
    <row r="3599" spans="1:25" x14ac:dyDescent="0.25">
      <c r="A3599" s="75"/>
      <c r="C3599" s="81"/>
      <c r="D3599" s="81"/>
      <c r="I3599" s="81"/>
      <c r="K3599" s="82"/>
      <c r="L3599" s="123"/>
      <c r="M3599" s="3"/>
      <c r="N3599" s="3"/>
      <c r="O3599" s="3"/>
      <c r="P3599" s="125"/>
      <c r="Q3599" s="125"/>
      <c r="R3599" s="127"/>
      <c r="S3599" s="123"/>
      <c r="T3599" s="3"/>
      <c r="W3599" s="86"/>
      <c r="Y3599" s="75"/>
    </row>
    <row r="3600" spans="1:25" x14ac:dyDescent="0.25">
      <c r="A3600" s="75"/>
      <c r="C3600" s="81"/>
      <c r="D3600" s="81"/>
      <c r="I3600" s="81"/>
      <c r="K3600" s="82"/>
      <c r="L3600" s="123"/>
      <c r="M3600" s="3"/>
      <c r="N3600" s="3"/>
      <c r="O3600" s="3"/>
      <c r="P3600" s="125"/>
      <c r="Q3600" s="125"/>
      <c r="R3600" s="127"/>
      <c r="S3600" s="123"/>
      <c r="T3600" s="3"/>
      <c r="W3600" s="86"/>
      <c r="Y3600" s="75"/>
    </row>
    <row r="3601" spans="1:25" x14ac:dyDescent="0.25">
      <c r="A3601" s="75"/>
      <c r="C3601" s="81"/>
      <c r="D3601" s="81"/>
      <c r="I3601" s="81"/>
      <c r="K3601" s="82"/>
      <c r="L3601" s="123"/>
      <c r="M3601" s="3"/>
      <c r="N3601" s="3"/>
      <c r="O3601" s="3"/>
      <c r="P3601" s="125"/>
      <c r="Q3601" s="125"/>
      <c r="R3601" s="127"/>
      <c r="S3601" s="123"/>
      <c r="T3601" s="3"/>
      <c r="W3601" s="86"/>
      <c r="Y3601" s="75"/>
    </row>
    <row r="3602" spans="1:25" x14ac:dyDescent="0.25">
      <c r="A3602" s="75"/>
      <c r="C3602" s="81"/>
      <c r="D3602" s="81"/>
      <c r="I3602" s="81"/>
      <c r="K3602" s="82"/>
      <c r="L3602" s="123"/>
      <c r="M3602" s="3"/>
      <c r="N3602" s="3"/>
      <c r="O3602" s="3"/>
      <c r="P3602" s="125"/>
      <c r="Q3602" s="125"/>
      <c r="R3602" s="127"/>
      <c r="S3602" s="123"/>
      <c r="T3602" s="3"/>
      <c r="W3602" s="86"/>
      <c r="Y3602" s="75"/>
    </row>
    <row r="3603" spans="1:25" x14ac:dyDescent="0.25">
      <c r="A3603" s="75"/>
      <c r="C3603" s="81"/>
      <c r="D3603" s="81"/>
      <c r="I3603" s="81"/>
      <c r="K3603" s="82"/>
      <c r="L3603" s="123"/>
      <c r="M3603" s="3"/>
      <c r="N3603" s="3"/>
      <c r="O3603" s="3"/>
      <c r="P3603" s="125"/>
      <c r="Q3603" s="125"/>
      <c r="R3603" s="127"/>
      <c r="S3603" s="123"/>
      <c r="T3603" s="3"/>
      <c r="W3603" s="86"/>
      <c r="Y3603" s="75"/>
    </row>
    <row r="3604" spans="1:25" x14ac:dyDescent="0.25">
      <c r="A3604" s="75"/>
      <c r="C3604" s="81"/>
      <c r="D3604" s="81"/>
      <c r="I3604" s="81"/>
      <c r="K3604" s="82"/>
      <c r="L3604" s="123"/>
      <c r="M3604" s="3"/>
      <c r="N3604" s="3"/>
      <c r="O3604" s="3"/>
      <c r="P3604" s="125"/>
      <c r="Q3604" s="125"/>
      <c r="R3604" s="127"/>
      <c r="S3604" s="123"/>
      <c r="T3604" s="3"/>
      <c r="W3604" s="86"/>
      <c r="Y3604" s="75"/>
    </row>
    <row r="3605" spans="1:25" x14ac:dyDescent="0.25">
      <c r="A3605" s="75"/>
      <c r="C3605" s="81"/>
      <c r="D3605" s="81"/>
      <c r="I3605" s="81"/>
      <c r="K3605" s="82"/>
      <c r="L3605" s="123"/>
      <c r="M3605" s="3"/>
      <c r="N3605" s="3"/>
      <c r="O3605" s="3"/>
      <c r="P3605" s="125"/>
      <c r="Q3605" s="125"/>
      <c r="R3605" s="127"/>
      <c r="S3605" s="123"/>
      <c r="T3605" s="3"/>
      <c r="W3605" s="86"/>
      <c r="Y3605" s="75"/>
    </row>
    <row r="3606" spans="1:25" x14ac:dyDescent="0.25">
      <c r="A3606" s="75"/>
      <c r="C3606" s="81"/>
      <c r="D3606" s="81"/>
      <c r="I3606" s="81"/>
      <c r="K3606" s="82"/>
      <c r="L3606" s="123"/>
      <c r="M3606" s="3"/>
      <c r="N3606" s="3"/>
      <c r="O3606" s="3"/>
      <c r="P3606" s="125"/>
      <c r="Q3606" s="125"/>
      <c r="R3606" s="127"/>
      <c r="S3606" s="123"/>
      <c r="T3606" s="3"/>
      <c r="W3606" s="86"/>
      <c r="Y3606" s="75"/>
    </row>
    <row r="3607" spans="1:25" x14ac:dyDescent="0.25">
      <c r="A3607" s="75"/>
      <c r="C3607" s="81"/>
      <c r="D3607" s="81"/>
      <c r="I3607" s="81"/>
      <c r="K3607" s="82"/>
      <c r="L3607" s="123"/>
      <c r="M3607" s="3"/>
      <c r="N3607" s="3"/>
      <c r="O3607" s="3"/>
      <c r="P3607" s="125"/>
      <c r="Q3607" s="125"/>
      <c r="R3607" s="127"/>
      <c r="S3607" s="123"/>
      <c r="T3607" s="3"/>
      <c r="W3607" s="86"/>
      <c r="Y3607" s="75"/>
    </row>
    <row r="3608" spans="1:25" x14ac:dyDescent="0.25">
      <c r="A3608" s="75"/>
      <c r="C3608" s="81"/>
      <c r="D3608" s="81"/>
      <c r="I3608" s="81"/>
      <c r="K3608" s="82"/>
      <c r="L3608" s="123"/>
      <c r="M3608" s="3"/>
      <c r="N3608" s="3"/>
      <c r="O3608" s="3"/>
      <c r="P3608" s="125"/>
      <c r="Q3608" s="125"/>
      <c r="R3608" s="127"/>
      <c r="S3608" s="123"/>
      <c r="T3608" s="3"/>
      <c r="W3608" s="86"/>
      <c r="Y3608" s="75"/>
    </row>
    <row r="3609" spans="1:25" x14ac:dyDescent="0.25">
      <c r="A3609" s="75"/>
      <c r="C3609" s="81"/>
      <c r="D3609" s="81"/>
      <c r="I3609" s="81"/>
      <c r="K3609" s="82"/>
      <c r="L3609" s="123"/>
      <c r="M3609" s="3"/>
      <c r="N3609" s="3"/>
      <c r="O3609" s="3"/>
      <c r="P3609" s="125"/>
      <c r="Q3609" s="125"/>
      <c r="R3609" s="127"/>
      <c r="S3609" s="123"/>
      <c r="T3609" s="3"/>
      <c r="W3609" s="86"/>
      <c r="Y3609" s="75"/>
    </row>
    <row r="3610" spans="1:25" x14ac:dyDescent="0.25">
      <c r="A3610" s="75"/>
      <c r="C3610" s="81"/>
      <c r="D3610" s="81"/>
      <c r="I3610" s="81"/>
      <c r="K3610" s="82"/>
      <c r="L3610" s="123"/>
      <c r="M3610" s="3"/>
      <c r="N3610" s="3"/>
      <c r="O3610" s="3"/>
      <c r="P3610" s="125"/>
      <c r="Q3610" s="125"/>
      <c r="R3610" s="127"/>
      <c r="S3610" s="123"/>
      <c r="T3610" s="3"/>
      <c r="W3610" s="86"/>
      <c r="Y3610" s="75"/>
    </row>
    <row r="3611" spans="1:25" x14ac:dyDescent="0.25">
      <c r="A3611" s="75"/>
      <c r="C3611" s="81"/>
      <c r="D3611" s="81"/>
      <c r="I3611" s="81"/>
      <c r="K3611" s="82"/>
      <c r="L3611" s="123"/>
      <c r="M3611" s="3"/>
      <c r="N3611" s="3"/>
      <c r="O3611" s="3"/>
      <c r="P3611" s="125"/>
      <c r="Q3611" s="125"/>
      <c r="R3611" s="127"/>
      <c r="S3611" s="123"/>
      <c r="T3611" s="3"/>
      <c r="W3611" s="86"/>
      <c r="Y3611" s="75"/>
    </row>
    <row r="3612" spans="1:25" x14ac:dyDescent="0.25">
      <c r="A3612" s="75"/>
      <c r="C3612" s="81"/>
      <c r="D3612" s="81"/>
      <c r="I3612" s="81"/>
      <c r="K3612" s="82"/>
      <c r="L3612" s="123"/>
      <c r="M3612" s="3"/>
      <c r="N3612" s="3"/>
      <c r="O3612" s="3"/>
      <c r="P3612" s="125"/>
      <c r="Q3612" s="125"/>
      <c r="R3612" s="127"/>
      <c r="S3612" s="123"/>
      <c r="T3612" s="3"/>
      <c r="W3612" s="86"/>
      <c r="Y3612" s="75"/>
    </row>
    <row r="3613" spans="1:25" x14ac:dyDescent="0.25">
      <c r="A3613" s="75"/>
      <c r="C3613" s="81"/>
      <c r="D3613" s="81"/>
      <c r="I3613" s="81"/>
      <c r="K3613" s="82"/>
      <c r="L3613" s="123"/>
      <c r="M3613" s="3"/>
      <c r="N3613" s="3"/>
      <c r="O3613" s="3"/>
      <c r="P3613" s="125"/>
      <c r="Q3613" s="125"/>
      <c r="R3613" s="127"/>
      <c r="S3613" s="123"/>
      <c r="T3613" s="3"/>
      <c r="W3613" s="86"/>
      <c r="Y3613" s="75"/>
    </row>
    <row r="3614" spans="1:25" x14ac:dyDescent="0.25">
      <c r="A3614" s="75"/>
      <c r="C3614" s="81"/>
      <c r="D3614" s="81"/>
      <c r="I3614" s="81"/>
      <c r="K3614" s="82"/>
      <c r="L3614" s="123"/>
      <c r="M3614" s="3"/>
      <c r="N3614" s="3"/>
      <c r="O3614" s="3"/>
      <c r="P3614" s="125"/>
      <c r="Q3614" s="125"/>
      <c r="R3614" s="127"/>
      <c r="S3614" s="123"/>
      <c r="T3614" s="3"/>
      <c r="W3614" s="86"/>
      <c r="Y3614" s="75"/>
    </row>
    <row r="3615" spans="1:25" x14ac:dyDescent="0.25">
      <c r="A3615" s="75"/>
      <c r="C3615" s="81"/>
      <c r="D3615" s="81"/>
      <c r="I3615" s="81"/>
      <c r="K3615" s="82"/>
      <c r="L3615" s="123"/>
      <c r="M3615" s="3"/>
      <c r="N3615" s="3"/>
      <c r="O3615" s="3"/>
      <c r="P3615" s="125"/>
      <c r="Q3615" s="125"/>
      <c r="R3615" s="127"/>
      <c r="S3615" s="123"/>
      <c r="T3615" s="3"/>
      <c r="W3615" s="86"/>
      <c r="Y3615" s="75"/>
    </row>
    <row r="3616" spans="1:25" x14ac:dyDescent="0.25">
      <c r="A3616" s="75"/>
      <c r="C3616" s="81"/>
      <c r="D3616" s="81"/>
      <c r="I3616" s="81"/>
      <c r="K3616" s="82"/>
      <c r="L3616" s="123"/>
      <c r="M3616" s="3"/>
      <c r="N3616" s="3"/>
      <c r="O3616" s="3"/>
      <c r="P3616" s="125"/>
      <c r="Q3616" s="125"/>
      <c r="R3616" s="127"/>
      <c r="S3616" s="123"/>
      <c r="T3616" s="3"/>
      <c r="W3616" s="86"/>
      <c r="Y3616" s="75"/>
    </row>
    <row r="3617" spans="1:25" x14ac:dyDescent="0.25">
      <c r="A3617" s="75"/>
      <c r="C3617" s="81"/>
      <c r="D3617" s="81"/>
      <c r="I3617" s="81"/>
      <c r="K3617" s="82"/>
      <c r="L3617" s="123"/>
      <c r="M3617" s="3"/>
      <c r="N3617" s="3"/>
      <c r="O3617" s="3"/>
      <c r="P3617" s="125"/>
      <c r="Q3617" s="125"/>
      <c r="R3617" s="127"/>
      <c r="S3617" s="123"/>
      <c r="T3617" s="3"/>
      <c r="W3617" s="86"/>
      <c r="Y3617" s="75"/>
    </row>
    <row r="3618" spans="1:25" x14ac:dyDescent="0.25">
      <c r="A3618" s="75"/>
      <c r="C3618" s="81"/>
      <c r="D3618" s="81"/>
      <c r="I3618" s="81"/>
      <c r="K3618" s="82"/>
      <c r="L3618" s="123"/>
      <c r="M3618" s="3"/>
      <c r="N3618" s="3"/>
      <c r="O3618" s="3"/>
      <c r="P3618" s="125"/>
      <c r="Q3618" s="125"/>
      <c r="R3618" s="127"/>
      <c r="S3618" s="123"/>
      <c r="T3618" s="3"/>
      <c r="W3618" s="86"/>
      <c r="Y3618" s="75"/>
    </row>
    <row r="3619" spans="1:25" x14ac:dyDescent="0.25">
      <c r="A3619" s="75"/>
      <c r="C3619" s="81"/>
      <c r="D3619" s="81"/>
      <c r="I3619" s="81"/>
      <c r="K3619" s="82"/>
      <c r="L3619" s="123"/>
      <c r="M3619" s="3"/>
      <c r="N3619" s="3"/>
      <c r="O3619" s="3"/>
      <c r="P3619" s="125"/>
      <c r="Q3619" s="125"/>
      <c r="R3619" s="127"/>
      <c r="S3619" s="123"/>
      <c r="T3619" s="3"/>
      <c r="W3619" s="86"/>
      <c r="Y3619" s="75"/>
    </row>
    <row r="3620" spans="1:25" x14ac:dyDescent="0.25">
      <c r="A3620" s="75"/>
      <c r="C3620" s="81"/>
      <c r="D3620" s="81"/>
      <c r="I3620" s="81"/>
      <c r="K3620" s="82"/>
      <c r="L3620" s="123"/>
      <c r="M3620" s="3"/>
      <c r="N3620" s="3"/>
      <c r="O3620" s="3"/>
      <c r="P3620" s="125"/>
      <c r="Q3620" s="125"/>
      <c r="R3620" s="127"/>
      <c r="S3620" s="123"/>
      <c r="T3620" s="3"/>
      <c r="W3620" s="86"/>
      <c r="Y3620" s="75"/>
    </row>
    <row r="3621" spans="1:25" x14ac:dyDescent="0.25">
      <c r="A3621" s="75"/>
      <c r="C3621" s="81"/>
      <c r="D3621" s="81"/>
      <c r="I3621" s="81"/>
      <c r="K3621" s="82"/>
      <c r="L3621" s="123"/>
      <c r="M3621" s="3"/>
      <c r="N3621" s="3"/>
      <c r="O3621" s="3"/>
      <c r="P3621" s="125"/>
      <c r="Q3621" s="125"/>
      <c r="R3621" s="127"/>
      <c r="S3621" s="123"/>
      <c r="T3621" s="3"/>
      <c r="W3621" s="86"/>
      <c r="Y3621" s="75"/>
    </row>
    <row r="3622" spans="1:25" x14ac:dyDescent="0.25">
      <c r="A3622" s="75"/>
      <c r="C3622" s="81"/>
      <c r="D3622" s="81"/>
      <c r="I3622" s="81"/>
      <c r="K3622" s="82"/>
      <c r="L3622" s="123"/>
      <c r="M3622" s="3"/>
      <c r="N3622" s="3"/>
      <c r="O3622" s="3"/>
      <c r="P3622" s="125"/>
      <c r="Q3622" s="125"/>
      <c r="R3622" s="127"/>
      <c r="S3622" s="123"/>
      <c r="T3622" s="3"/>
      <c r="W3622" s="86"/>
      <c r="Y3622" s="75"/>
    </row>
    <row r="3623" spans="1:25" x14ac:dyDescent="0.25">
      <c r="A3623" s="75"/>
      <c r="C3623" s="81"/>
      <c r="D3623" s="81"/>
      <c r="I3623" s="81"/>
      <c r="K3623" s="82"/>
      <c r="L3623" s="123"/>
      <c r="M3623" s="3"/>
      <c r="N3623" s="3"/>
      <c r="O3623" s="3"/>
      <c r="P3623" s="125"/>
      <c r="Q3623" s="125"/>
      <c r="R3623" s="127"/>
      <c r="S3623" s="123"/>
      <c r="T3623" s="3"/>
      <c r="W3623" s="86"/>
      <c r="Y3623" s="75"/>
    </row>
    <row r="3624" spans="1:25" x14ac:dyDescent="0.25">
      <c r="A3624" s="75"/>
      <c r="C3624" s="81"/>
      <c r="D3624" s="81"/>
      <c r="I3624" s="81"/>
      <c r="K3624" s="82"/>
      <c r="L3624" s="123"/>
      <c r="M3624" s="3"/>
      <c r="N3624" s="3"/>
      <c r="O3624" s="3"/>
      <c r="P3624" s="125"/>
      <c r="Q3624" s="125"/>
      <c r="R3624" s="127"/>
      <c r="S3624" s="123"/>
      <c r="T3624" s="3"/>
      <c r="W3624" s="86"/>
      <c r="Y3624" s="75"/>
    </row>
    <row r="3625" spans="1:25" x14ac:dyDescent="0.25">
      <c r="A3625" s="75"/>
      <c r="C3625" s="81"/>
      <c r="D3625" s="81"/>
      <c r="I3625" s="81"/>
      <c r="K3625" s="82"/>
      <c r="L3625" s="123"/>
      <c r="M3625" s="3"/>
      <c r="N3625" s="3"/>
      <c r="O3625" s="3"/>
      <c r="P3625" s="125"/>
      <c r="Q3625" s="125"/>
      <c r="R3625" s="127"/>
      <c r="S3625" s="123"/>
      <c r="T3625" s="3"/>
      <c r="W3625" s="86"/>
      <c r="Y3625" s="75"/>
    </row>
    <row r="3626" spans="1:25" x14ac:dyDescent="0.25">
      <c r="A3626" s="75"/>
      <c r="C3626" s="81"/>
      <c r="D3626" s="81"/>
      <c r="I3626" s="81"/>
      <c r="K3626" s="82"/>
      <c r="L3626" s="123"/>
      <c r="M3626" s="3"/>
      <c r="N3626" s="3"/>
      <c r="O3626" s="3"/>
      <c r="P3626" s="125"/>
      <c r="Q3626" s="125"/>
      <c r="R3626" s="127"/>
      <c r="S3626" s="123"/>
      <c r="T3626" s="3"/>
      <c r="W3626" s="86"/>
      <c r="Y3626" s="75"/>
    </row>
    <row r="3627" spans="1:25" x14ac:dyDescent="0.25">
      <c r="A3627" s="75"/>
      <c r="C3627" s="81"/>
      <c r="D3627" s="81"/>
      <c r="I3627" s="81"/>
      <c r="K3627" s="82"/>
      <c r="L3627" s="123"/>
      <c r="M3627" s="3"/>
      <c r="N3627" s="3"/>
      <c r="O3627" s="3"/>
      <c r="P3627" s="125"/>
      <c r="Q3627" s="125"/>
      <c r="R3627" s="127"/>
      <c r="S3627" s="123"/>
      <c r="T3627" s="3"/>
      <c r="W3627" s="86"/>
      <c r="Y3627" s="75"/>
    </row>
    <row r="3628" spans="1:25" x14ac:dyDescent="0.25">
      <c r="A3628" s="75"/>
      <c r="C3628" s="81"/>
      <c r="D3628" s="81"/>
      <c r="I3628" s="81"/>
      <c r="K3628" s="82"/>
      <c r="L3628" s="123"/>
      <c r="M3628" s="3"/>
      <c r="N3628" s="3"/>
      <c r="O3628" s="3"/>
      <c r="P3628" s="125"/>
      <c r="Q3628" s="125"/>
      <c r="R3628" s="127"/>
      <c r="S3628" s="123"/>
      <c r="T3628" s="3"/>
      <c r="W3628" s="86"/>
      <c r="Y3628" s="75"/>
    </row>
    <row r="3629" spans="1:25" x14ac:dyDescent="0.25">
      <c r="A3629" s="75"/>
      <c r="C3629" s="81"/>
      <c r="D3629" s="81"/>
      <c r="I3629" s="81"/>
      <c r="K3629" s="82"/>
      <c r="L3629" s="123"/>
      <c r="M3629" s="3"/>
      <c r="N3629" s="3"/>
      <c r="O3629" s="3"/>
      <c r="P3629" s="125"/>
      <c r="Q3629" s="125"/>
      <c r="R3629" s="127"/>
      <c r="S3629" s="123"/>
      <c r="T3629" s="3"/>
      <c r="W3629" s="86"/>
      <c r="Y3629" s="75"/>
    </row>
    <row r="3630" spans="1:25" x14ac:dyDescent="0.25">
      <c r="A3630" s="75"/>
      <c r="C3630" s="81"/>
      <c r="D3630" s="81"/>
      <c r="I3630" s="81"/>
      <c r="K3630" s="82"/>
      <c r="L3630" s="123"/>
      <c r="M3630" s="3"/>
      <c r="N3630" s="3"/>
      <c r="O3630" s="3"/>
      <c r="P3630" s="125"/>
      <c r="Q3630" s="125"/>
      <c r="R3630" s="127"/>
      <c r="S3630" s="123"/>
      <c r="T3630" s="3"/>
      <c r="W3630" s="86"/>
      <c r="Y3630" s="75"/>
    </row>
    <row r="3631" spans="1:25" x14ac:dyDescent="0.25">
      <c r="A3631" s="75"/>
      <c r="C3631" s="81"/>
      <c r="D3631" s="81"/>
      <c r="I3631" s="81"/>
      <c r="K3631" s="82"/>
      <c r="L3631" s="123"/>
      <c r="M3631" s="3"/>
      <c r="N3631" s="3"/>
      <c r="O3631" s="3"/>
      <c r="P3631" s="125"/>
      <c r="Q3631" s="125"/>
      <c r="R3631" s="127"/>
      <c r="S3631" s="123"/>
      <c r="T3631" s="3"/>
      <c r="W3631" s="86"/>
      <c r="Y3631" s="75"/>
    </row>
    <row r="3632" spans="1:25" x14ac:dyDescent="0.25">
      <c r="A3632" s="75"/>
      <c r="C3632" s="81"/>
      <c r="D3632" s="81"/>
      <c r="I3632" s="81"/>
      <c r="K3632" s="82"/>
      <c r="L3632" s="123"/>
      <c r="M3632" s="3"/>
      <c r="N3632" s="3"/>
      <c r="O3632" s="3"/>
      <c r="P3632" s="125"/>
      <c r="Q3632" s="125"/>
      <c r="R3632" s="127"/>
      <c r="S3632" s="123"/>
      <c r="T3632" s="3"/>
      <c r="W3632" s="86"/>
      <c r="Y3632" s="75"/>
    </row>
    <row r="3633" spans="1:25" x14ac:dyDescent="0.25">
      <c r="A3633" s="75"/>
      <c r="C3633" s="81"/>
      <c r="D3633" s="81"/>
      <c r="I3633" s="81"/>
      <c r="K3633" s="82"/>
      <c r="L3633" s="123"/>
      <c r="M3633" s="3"/>
      <c r="N3633" s="3"/>
      <c r="O3633" s="3"/>
      <c r="P3633" s="125"/>
      <c r="Q3633" s="125"/>
      <c r="R3633" s="127"/>
      <c r="S3633" s="123"/>
      <c r="T3633" s="3"/>
      <c r="W3633" s="86"/>
      <c r="Y3633" s="75"/>
    </row>
    <row r="3634" spans="1:25" x14ac:dyDescent="0.25">
      <c r="A3634" s="75"/>
      <c r="C3634" s="81"/>
      <c r="D3634" s="81"/>
      <c r="I3634" s="81"/>
      <c r="K3634" s="82"/>
      <c r="L3634" s="123"/>
      <c r="M3634" s="3"/>
      <c r="N3634" s="3"/>
      <c r="O3634" s="3"/>
      <c r="P3634" s="125"/>
      <c r="Q3634" s="125"/>
      <c r="R3634" s="127"/>
      <c r="S3634" s="123"/>
      <c r="T3634" s="3"/>
      <c r="W3634" s="86"/>
      <c r="Y3634" s="75"/>
    </row>
    <row r="3635" spans="1:25" x14ac:dyDescent="0.25">
      <c r="A3635" s="75"/>
      <c r="C3635" s="81"/>
      <c r="D3635" s="81"/>
      <c r="I3635" s="81"/>
      <c r="K3635" s="82"/>
      <c r="L3635" s="123"/>
      <c r="M3635" s="3"/>
      <c r="N3635" s="3"/>
      <c r="O3635" s="3"/>
      <c r="P3635" s="125"/>
      <c r="Q3635" s="125"/>
      <c r="R3635" s="127"/>
      <c r="S3635" s="123"/>
      <c r="T3635" s="3"/>
      <c r="W3635" s="86"/>
      <c r="Y3635" s="75"/>
    </row>
    <row r="3636" spans="1:25" x14ac:dyDescent="0.25">
      <c r="A3636" s="75"/>
      <c r="C3636" s="81"/>
      <c r="D3636" s="81"/>
      <c r="I3636" s="81"/>
      <c r="K3636" s="82"/>
      <c r="L3636" s="123"/>
      <c r="M3636" s="3"/>
      <c r="N3636" s="3"/>
      <c r="O3636" s="3"/>
      <c r="P3636" s="125"/>
      <c r="Q3636" s="125"/>
      <c r="R3636" s="127"/>
      <c r="S3636" s="123"/>
      <c r="T3636" s="3"/>
      <c r="W3636" s="86"/>
      <c r="Y3636" s="75"/>
    </row>
    <row r="3637" spans="1:25" x14ac:dyDescent="0.25">
      <c r="A3637" s="75"/>
      <c r="C3637" s="81"/>
      <c r="D3637" s="81"/>
      <c r="I3637" s="81"/>
      <c r="K3637" s="82"/>
      <c r="L3637" s="123"/>
      <c r="M3637" s="3"/>
      <c r="N3637" s="3"/>
      <c r="O3637" s="3"/>
      <c r="P3637" s="125"/>
      <c r="Q3637" s="125"/>
      <c r="R3637" s="127"/>
      <c r="S3637" s="123"/>
      <c r="T3637" s="3"/>
      <c r="W3637" s="86"/>
      <c r="Y3637" s="75"/>
    </row>
    <row r="3638" spans="1:25" x14ac:dyDescent="0.25">
      <c r="A3638" s="75"/>
      <c r="C3638" s="81"/>
      <c r="D3638" s="81"/>
      <c r="I3638" s="81"/>
      <c r="K3638" s="82"/>
      <c r="L3638" s="123"/>
      <c r="M3638" s="3"/>
      <c r="N3638" s="3"/>
      <c r="O3638" s="3"/>
      <c r="P3638" s="125"/>
      <c r="Q3638" s="125"/>
      <c r="R3638" s="127"/>
      <c r="S3638" s="123"/>
      <c r="T3638" s="3"/>
      <c r="W3638" s="86"/>
      <c r="Y3638" s="75"/>
    </row>
    <row r="3639" spans="1:25" x14ac:dyDescent="0.25">
      <c r="A3639" s="75"/>
      <c r="C3639" s="81"/>
      <c r="D3639" s="81"/>
      <c r="I3639" s="81"/>
      <c r="K3639" s="82"/>
      <c r="L3639" s="123"/>
      <c r="M3639" s="3"/>
      <c r="N3639" s="3"/>
      <c r="O3639" s="3"/>
      <c r="P3639" s="125"/>
      <c r="Q3639" s="125"/>
      <c r="R3639" s="127"/>
      <c r="S3639" s="123"/>
      <c r="T3639" s="3"/>
      <c r="W3639" s="86"/>
      <c r="Y3639" s="75"/>
    </row>
    <row r="3640" spans="1:25" x14ac:dyDescent="0.25">
      <c r="A3640" s="75"/>
      <c r="C3640" s="81"/>
      <c r="D3640" s="81"/>
      <c r="I3640" s="81"/>
      <c r="K3640" s="82"/>
      <c r="L3640" s="123"/>
      <c r="M3640" s="3"/>
      <c r="N3640" s="3"/>
      <c r="O3640" s="3"/>
      <c r="P3640" s="125"/>
      <c r="Q3640" s="125"/>
      <c r="R3640" s="127"/>
      <c r="S3640" s="123"/>
      <c r="T3640" s="3"/>
      <c r="W3640" s="86"/>
      <c r="Y3640" s="75"/>
    </row>
    <row r="3641" spans="1:25" x14ac:dyDescent="0.25">
      <c r="A3641" s="75"/>
      <c r="C3641" s="81"/>
      <c r="D3641" s="81"/>
      <c r="I3641" s="81"/>
      <c r="K3641" s="82"/>
      <c r="L3641" s="123"/>
      <c r="M3641" s="3"/>
      <c r="N3641" s="3"/>
      <c r="O3641" s="3"/>
      <c r="P3641" s="125"/>
      <c r="Q3641" s="125"/>
      <c r="R3641" s="127"/>
      <c r="S3641" s="123"/>
      <c r="T3641" s="3"/>
      <c r="W3641" s="86"/>
      <c r="Y3641" s="75"/>
    </row>
    <row r="3642" spans="1:25" x14ac:dyDescent="0.25">
      <c r="A3642" s="75"/>
      <c r="C3642" s="81"/>
      <c r="D3642" s="81"/>
      <c r="I3642" s="81"/>
      <c r="K3642" s="82"/>
      <c r="L3642" s="123"/>
      <c r="M3642" s="3"/>
      <c r="N3642" s="3"/>
      <c r="O3642" s="3"/>
      <c r="P3642" s="125"/>
      <c r="Q3642" s="125"/>
      <c r="R3642" s="127"/>
      <c r="S3642" s="123"/>
      <c r="T3642" s="3"/>
      <c r="W3642" s="86"/>
      <c r="Y3642" s="75"/>
    </row>
    <row r="3643" spans="1:25" x14ac:dyDescent="0.25">
      <c r="A3643" s="75"/>
      <c r="C3643" s="81"/>
      <c r="D3643" s="81"/>
      <c r="I3643" s="81"/>
      <c r="K3643" s="82"/>
      <c r="L3643" s="123"/>
      <c r="M3643" s="3"/>
      <c r="N3643" s="3"/>
      <c r="O3643" s="3"/>
      <c r="P3643" s="125"/>
      <c r="Q3643" s="125"/>
      <c r="R3643" s="127"/>
      <c r="S3643" s="123"/>
      <c r="T3643" s="3"/>
      <c r="W3643" s="86"/>
      <c r="Y3643" s="75"/>
    </row>
    <row r="3644" spans="1:25" x14ac:dyDescent="0.25">
      <c r="A3644" s="75"/>
      <c r="C3644" s="81"/>
      <c r="D3644" s="81"/>
      <c r="I3644" s="81"/>
      <c r="K3644" s="82"/>
      <c r="L3644" s="123"/>
      <c r="M3644" s="3"/>
      <c r="N3644" s="3"/>
      <c r="O3644" s="3"/>
      <c r="P3644" s="125"/>
      <c r="Q3644" s="125"/>
      <c r="R3644" s="127"/>
      <c r="S3644" s="123"/>
      <c r="T3644" s="3"/>
      <c r="W3644" s="86"/>
      <c r="Y3644" s="75"/>
    </row>
    <row r="3645" spans="1:25" x14ac:dyDescent="0.25">
      <c r="A3645" s="75"/>
      <c r="C3645" s="81"/>
      <c r="D3645" s="81"/>
      <c r="I3645" s="81"/>
      <c r="K3645" s="82"/>
      <c r="L3645" s="123"/>
      <c r="M3645" s="3"/>
      <c r="N3645" s="3"/>
      <c r="O3645" s="3"/>
      <c r="P3645" s="125"/>
      <c r="Q3645" s="125"/>
      <c r="R3645" s="127"/>
      <c r="S3645" s="123"/>
      <c r="T3645" s="3"/>
      <c r="W3645" s="86"/>
      <c r="Y3645" s="75"/>
    </row>
    <row r="3646" spans="1:25" x14ac:dyDescent="0.25">
      <c r="A3646" s="75"/>
      <c r="C3646" s="81"/>
      <c r="D3646" s="81"/>
      <c r="I3646" s="81"/>
      <c r="K3646" s="82"/>
      <c r="L3646" s="123"/>
      <c r="M3646" s="3"/>
      <c r="N3646" s="3"/>
      <c r="O3646" s="3"/>
      <c r="P3646" s="125"/>
      <c r="Q3646" s="125"/>
      <c r="R3646" s="127"/>
      <c r="S3646" s="123"/>
      <c r="T3646" s="3"/>
      <c r="W3646" s="86"/>
      <c r="Y3646" s="75"/>
    </row>
    <row r="3647" spans="1:25" x14ac:dyDescent="0.25">
      <c r="A3647" s="75"/>
      <c r="C3647" s="81"/>
      <c r="D3647" s="81"/>
      <c r="I3647" s="81"/>
      <c r="K3647" s="82"/>
      <c r="L3647" s="123"/>
      <c r="M3647" s="3"/>
      <c r="N3647" s="3"/>
      <c r="O3647" s="3"/>
      <c r="P3647" s="125"/>
      <c r="Q3647" s="125"/>
      <c r="R3647" s="127"/>
      <c r="S3647" s="123"/>
      <c r="T3647" s="3"/>
      <c r="W3647" s="86"/>
      <c r="Y3647" s="75"/>
    </row>
    <row r="3648" spans="1:25" x14ac:dyDescent="0.25">
      <c r="A3648" s="75"/>
      <c r="C3648" s="81"/>
      <c r="D3648" s="81"/>
      <c r="I3648" s="81"/>
      <c r="K3648" s="82"/>
      <c r="L3648" s="123"/>
      <c r="M3648" s="3"/>
      <c r="N3648" s="3"/>
      <c r="O3648" s="3"/>
      <c r="P3648" s="125"/>
      <c r="Q3648" s="125"/>
      <c r="R3648" s="127"/>
      <c r="S3648" s="123"/>
      <c r="T3648" s="3"/>
      <c r="W3648" s="86"/>
      <c r="Y3648" s="75"/>
    </row>
    <row r="3649" spans="1:25" x14ac:dyDescent="0.25">
      <c r="A3649" s="75"/>
      <c r="C3649" s="81"/>
      <c r="D3649" s="81"/>
      <c r="I3649" s="81"/>
      <c r="K3649" s="82"/>
      <c r="L3649" s="123"/>
      <c r="M3649" s="3"/>
      <c r="N3649" s="3"/>
      <c r="O3649" s="3"/>
      <c r="P3649" s="125"/>
      <c r="Q3649" s="125"/>
      <c r="R3649" s="127"/>
      <c r="S3649" s="123"/>
      <c r="T3649" s="3"/>
      <c r="W3649" s="86"/>
      <c r="Y3649" s="75"/>
    </row>
    <row r="3650" spans="1:25" x14ac:dyDescent="0.25">
      <c r="A3650" s="75"/>
      <c r="C3650" s="81"/>
      <c r="D3650" s="81"/>
      <c r="I3650" s="81"/>
      <c r="K3650" s="82"/>
      <c r="L3650" s="123"/>
      <c r="M3650" s="3"/>
      <c r="N3650" s="3"/>
      <c r="O3650" s="3"/>
      <c r="P3650" s="125"/>
      <c r="Q3650" s="125"/>
      <c r="R3650" s="127"/>
      <c r="S3650" s="123"/>
      <c r="T3650" s="3"/>
      <c r="W3650" s="86"/>
      <c r="Y3650" s="75"/>
    </row>
    <row r="3651" spans="1:25" x14ac:dyDescent="0.25">
      <c r="A3651" s="75"/>
      <c r="C3651" s="81"/>
      <c r="D3651" s="81"/>
      <c r="I3651" s="81"/>
      <c r="K3651" s="82"/>
      <c r="L3651" s="123"/>
      <c r="M3651" s="3"/>
      <c r="N3651" s="3"/>
      <c r="O3651" s="3"/>
      <c r="P3651" s="125"/>
      <c r="Q3651" s="125"/>
      <c r="R3651" s="127"/>
      <c r="S3651" s="123"/>
      <c r="T3651" s="3"/>
      <c r="W3651" s="86"/>
      <c r="Y3651" s="75"/>
    </row>
    <row r="3652" spans="1:25" x14ac:dyDescent="0.25">
      <c r="A3652" s="75"/>
      <c r="C3652" s="81"/>
      <c r="D3652" s="81"/>
      <c r="I3652" s="81"/>
      <c r="K3652" s="82"/>
      <c r="L3652" s="123"/>
      <c r="M3652" s="3"/>
      <c r="N3652" s="3"/>
      <c r="O3652" s="3"/>
      <c r="P3652" s="125"/>
      <c r="Q3652" s="125"/>
      <c r="R3652" s="127"/>
      <c r="S3652" s="123"/>
      <c r="T3652" s="3"/>
      <c r="W3652" s="86"/>
      <c r="Y3652" s="75"/>
    </row>
    <row r="3653" spans="1:25" x14ac:dyDescent="0.25">
      <c r="A3653" s="75"/>
      <c r="C3653" s="81"/>
      <c r="D3653" s="81"/>
      <c r="I3653" s="81"/>
      <c r="K3653" s="82"/>
      <c r="L3653" s="123"/>
      <c r="M3653" s="3"/>
      <c r="N3653" s="3"/>
      <c r="O3653" s="3"/>
      <c r="P3653" s="125"/>
      <c r="Q3653" s="125"/>
      <c r="R3653" s="127"/>
      <c r="S3653" s="123"/>
      <c r="T3653" s="3"/>
      <c r="W3653" s="86"/>
      <c r="Y3653" s="75"/>
    </row>
    <row r="3654" spans="1:25" x14ac:dyDescent="0.25">
      <c r="A3654" s="75"/>
      <c r="C3654" s="81"/>
      <c r="D3654" s="81"/>
      <c r="I3654" s="81"/>
      <c r="K3654" s="82"/>
      <c r="L3654" s="123"/>
      <c r="M3654" s="3"/>
      <c r="N3654" s="3"/>
      <c r="O3654" s="3"/>
      <c r="P3654" s="125"/>
      <c r="Q3654" s="125"/>
      <c r="R3654" s="127"/>
      <c r="S3654" s="123"/>
      <c r="T3654" s="3"/>
      <c r="W3654" s="86"/>
      <c r="Y3654" s="75"/>
    </row>
    <row r="3655" spans="1:25" x14ac:dyDescent="0.25">
      <c r="A3655" s="75"/>
      <c r="C3655" s="81"/>
      <c r="D3655" s="81"/>
      <c r="I3655" s="81"/>
      <c r="K3655" s="82"/>
      <c r="L3655" s="123"/>
      <c r="M3655" s="3"/>
      <c r="N3655" s="3"/>
      <c r="O3655" s="3"/>
      <c r="P3655" s="125"/>
      <c r="Q3655" s="125"/>
      <c r="R3655" s="127"/>
      <c r="S3655" s="123"/>
      <c r="T3655" s="3"/>
      <c r="W3655" s="86"/>
      <c r="Y3655" s="75"/>
    </row>
    <row r="3656" spans="1:25" x14ac:dyDescent="0.25">
      <c r="A3656" s="75"/>
      <c r="C3656" s="81"/>
      <c r="D3656" s="81"/>
      <c r="I3656" s="81"/>
      <c r="K3656" s="82"/>
      <c r="L3656" s="123"/>
      <c r="M3656" s="3"/>
      <c r="N3656" s="3"/>
      <c r="O3656" s="3"/>
      <c r="P3656" s="125"/>
      <c r="Q3656" s="125"/>
      <c r="R3656" s="127"/>
      <c r="S3656" s="123"/>
      <c r="T3656" s="3"/>
      <c r="W3656" s="86"/>
      <c r="Y3656" s="75"/>
    </row>
    <row r="3657" spans="1:25" x14ac:dyDescent="0.25">
      <c r="A3657" s="75"/>
      <c r="C3657" s="81"/>
      <c r="D3657" s="81"/>
      <c r="I3657" s="81"/>
      <c r="K3657" s="82"/>
      <c r="L3657" s="123"/>
      <c r="M3657" s="3"/>
      <c r="N3657" s="3"/>
      <c r="O3657" s="3"/>
      <c r="P3657" s="125"/>
      <c r="Q3657" s="125"/>
      <c r="R3657" s="127"/>
      <c r="S3657" s="123"/>
      <c r="T3657" s="3"/>
      <c r="W3657" s="86"/>
      <c r="Y3657" s="75"/>
    </row>
    <row r="3658" spans="1:25" x14ac:dyDescent="0.25">
      <c r="A3658" s="75"/>
      <c r="C3658" s="81"/>
      <c r="D3658" s="81"/>
      <c r="I3658" s="81"/>
      <c r="K3658" s="82"/>
      <c r="L3658" s="123"/>
      <c r="M3658" s="3"/>
      <c r="N3658" s="3"/>
      <c r="O3658" s="3"/>
      <c r="P3658" s="125"/>
      <c r="Q3658" s="125"/>
      <c r="R3658" s="127"/>
      <c r="S3658" s="123"/>
      <c r="T3658" s="3"/>
      <c r="W3658" s="86"/>
      <c r="Y3658" s="75"/>
    </row>
    <row r="3659" spans="1:25" x14ac:dyDescent="0.25">
      <c r="A3659" s="75"/>
      <c r="C3659" s="81"/>
      <c r="D3659" s="81"/>
      <c r="I3659" s="81"/>
      <c r="K3659" s="82"/>
      <c r="L3659" s="123"/>
      <c r="M3659" s="3"/>
      <c r="N3659" s="3"/>
      <c r="O3659" s="3"/>
      <c r="P3659" s="125"/>
      <c r="Q3659" s="125"/>
      <c r="R3659" s="127"/>
      <c r="S3659" s="123"/>
      <c r="T3659" s="3"/>
      <c r="W3659" s="86"/>
      <c r="Y3659" s="75"/>
    </row>
    <row r="3660" spans="1:25" x14ac:dyDescent="0.25">
      <c r="A3660" s="75"/>
      <c r="C3660" s="81"/>
      <c r="D3660" s="81"/>
      <c r="I3660" s="81"/>
      <c r="K3660" s="82"/>
      <c r="L3660" s="123"/>
      <c r="M3660" s="3"/>
      <c r="N3660" s="3"/>
      <c r="O3660" s="3"/>
      <c r="P3660" s="125"/>
      <c r="Q3660" s="125"/>
      <c r="R3660" s="127"/>
      <c r="S3660" s="123"/>
      <c r="T3660" s="3"/>
      <c r="W3660" s="86"/>
      <c r="Y3660" s="75"/>
    </row>
    <row r="3661" spans="1:25" x14ac:dyDescent="0.25">
      <c r="A3661" s="75"/>
      <c r="C3661" s="81"/>
      <c r="D3661" s="81"/>
      <c r="I3661" s="81"/>
      <c r="K3661" s="82"/>
      <c r="L3661" s="123"/>
      <c r="M3661" s="3"/>
      <c r="N3661" s="3"/>
      <c r="O3661" s="3"/>
      <c r="P3661" s="125"/>
      <c r="Q3661" s="125"/>
      <c r="R3661" s="127"/>
      <c r="S3661" s="123"/>
      <c r="T3661" s="3"/>
      <c r="W3661" s="86"/>
      <c r="Y3661" s="75"/>
    </row>
    <row r="3662" spans="1:25" x14ac:dyDescent="0.25">
      <c r="A3662" s="75"/>
      <c r="C3662" s="81"/>
      <c r="D3662" s="81"/>
      <c r="I3662" s="81"/>
      <c r="K3662" s="82"/>
      <c r="L3662" s="123"/>
      <c r="M3662" s="3"/>
      <c r="N3662" s="3"/>
      <c r="O3662" s="3"/>
      <c r="P3662" s="125"/>
      <c r="Q3662" s="125"/>
      <c r="R3662" s="127"/>
      <c r="S3662" s="123"/>
      <c r="T3662" s="3"/>
      <c r="W3662" s="86"/>
      <c r="Y3662" s="75"/>
    </row>
    <row r="3663" spans="1:25" x14ac:dyDescent="0.25">
      <c r="A3663" s="75"/>
      <c r="C3663" s="81"/>
      <c r="D3663" s="81"/>
      <c r="I3663" s="81"/>
      <c r="K3663" s="82"/>
      <c r="L3663" s="123"/>
      <c r="M3663" s="3"/>
      <c r="N3663" s="3"/>
      <c r="O3663" s="3"/>
      <c r="P3663" s="125"/>
      <c r="Q3663" s="125"/>
      <c r="R3663" s="127"/>
      <c r="S3663" s="123"/>
      <c r="T3663" s="3"/>
      <c r="W3663" s="86"/>
      <c r="Y3663" s="75"/>
    </row>
    <row r="3664" spans="1:25" x14ac:dyDescent="0.25">
      <c r="A3664" s="75"/>
      <c r="C3664" s="81"/>
      <c r="D3664" s="81"/>
      <c r="I3664" s="81"/>
      <c r="K3664" s="82"/>
      <c r="L3664" s="123"/>
      <c r="M3664" s="3"/>
      <c r="N3664" s="3"/>
      <c r="O3664" s="3"/>
      <c r="P3664" s="125"/>
      <c r="Q3664" s="125"/>
      <c r="R3664" s="127"/>
      <c r="S3664" s="123"/>
      <c r="T3664" s="3"/>
      <c r="W3664" s="86"/>
      <c r="Y3664" s="75"/>
    </row>
    <row r="3665" spans="1:25" x14ac:dyDescent="0.25">
      <c r="A3665" s="75"/>
      <c r="C3665" s="81"/>
      <c r="D3665" s="81"/>
      <c r="I3665" s="81"/>
      <c r="K3665" s="82"/>
      <c r="L3665" s="123"/>
      <c r="M3665" s="3"/>
      <c r="N3665" s="3"/>
      <c r="O3665" s="3"/>
      <c r="P3665" s="125"/>
      <c r="Q3665" s="125"/>
      <c r="R3665" s="127"/>
      <c r="S3665" s="123"/>
      <c r="T3665" s="3"/>
      <c r="W3665" s="86"/>
      <c r="Y3665" s="75"/>
    </row>
    <row r="3666" spans="1:25" x14ac:dyDescent="0.25">
      <c r="A3666" s="75"/>
      <c r="C3666" s="81"/>
      <c r="D3666" s="81"/>
      <c r="I3666" s="81"/>
      <c r="K3666" s="82"/>
      <c r="L3666" s="123"/>
      <c r="M3666" s="3"/>
      <c r="N3666" s="3"/>
      <c r="O3666" s="3"/>
      <c r="P3666" s="125"/>
      <c r="Q3666" s="125"/>
      <c r="R3666" s="127"/>
      <c r="S3666" s="123"/>
      <c r="T3666" s="3"/>
      <c r="W3666" s="86"/>
      <c r="Y3666" s="75"/>
    </row>
    <row r="3667" spans="1:25" x14ac:dyDescent="0.25">
      <c r="A3667" s="75"/>
      <c r="C3667" s="81"/>
      <c r="D3667" s="81"/>
      <c r="I3667" s="81"/>
      <c r="K3667" s="82"/>
      <c r="L3667" s="123"/>
      <c r="M3667" s="3"/>
      <c r="N3667" s="3"/>
      <c r="O3667" s="3"/>
      <c r="P3667" s="125"/>
      <c r="Q3667" s="125"/>
      <c r="R3667" s="127"/>
      <c r="S3667" s="123"/>
      <c r="T3667" s="3"/>
      <c r="W3667" s="86"/>
      <c r="Y3667" s="75"/>
    </row>
    <row r="3668" spans="1:25" x14ac:dyDescent="0.25">
      <c r="A3668" s="75"/>
      <c r="C3668" s="81"/>
      <c r="D3668" s="81"/>
      <c r="I3668" s="81"/>
      <c r="K3668" s="82"/>
      <c r="L3668" s="123"/>
      <c r="M3668" s="3"/>
      <c r="N3668" s="3"/>
      <c r="O3668" s="3"/>
      <c r="P3668" s="125"/>
      <c r="Q3668" s="125"/>
      <c r="R3668" s="127"/>
      <c r="S3668" s="123"/>
      <c r="T3668" s="3"/>
      <c r="W3668" s="86"/>
      <c r="Y3668" s="75"/>
    </row>
    <row r="3669" spans="1:25" x14ac:dyDescent="0.25">
      <c r="A3669" s="75"/>
      <c r="C3669" s="81"/>
      <c r="D3669" s="81"/>
      <c r="I3669" s="81"/>
      <c r="K3669" s="82"/>
      <c r="L3669" s="123"/>
      <c r="M3669" s="3"/>
      <c r="N3669" s="3"/>
      <c r="O3669" s="3"/>
      <c r="P3669" s="125"/>
      <c r="Q3669" s="125"/>
      <c r="R3669" s="127"/>
      <c r="S3669" s="123"/>
      <c r="T3669" s="3"/>
      <c r="W3669" s="86"/>
      <c r="Y3669" s="75"/>
    </row>
    <row r="3670" spans="1:25" x14ac:dyDescent="0.25">
      <c r="A3670" s="75"/>
      <c r="C3670" s="81"/>
      <c r="D3670" s="81"/>
      <c r="I3670" s="81"/>
      <c r="K3670" s="82"/>
      <c r="L3670" s="123"/>
      <c r="M3670" s="3"/>
      <c r="N3670" s="3"/>
      <c r="O3670" s="3"/>
      <c r="P3670" s="125"/>
      <c r="Q3670" s="125"/>
      <c r="R3670" s="127"/>
      <c r="S3670" s="123"/>
      <c r="T3670" s="3"/>
      <c r="W3670" s="86"/>
      <c r="Y3670" s="75"/>
    </row>
    <row r="3671" spans="1:25" x14ac:dyDescent="0.25">
      <c r="A3671" s="75"/>
      <c r="C3671" s="81"/>
      <c r="D3671" s="81"/>
      <c r="I3671" s="81"/>
      <c r="K3671" s="82"/>
      <c r="L3671" s="123"/>
      <c r="M3671" s="3"/>
      <c r="N3671" s="3"/>
      <c r="O3671" s="3"/>
      <c r="P3671" s="125"/>
      <c r="Q3671" s="125"/>
      <c r="R3671" s="127"/>
      <c r="S3671" s="123"/>
      <c r="T3671" s="3"/>
      <c r="W3671" s="86"/>
      <c r="Y3671" s="75"/>
    </row>
    <row r="3672" spans="1:25" x14ac:dyDescent="0.25">
      <c r="A3672" s="75"/>
      <c r="C3672" s="81"/>
      <c r="D3672" s="81"/>
      <c r="I3672" s="81"/>
      <c r="K3672" s="82"/>
      <c r="L3672" s="123"/>
      <c r="M3672" s="3"/>
      <c r="N3672" s="3"/>
      <c r="O3672" s="3"/>
      <c r="P3672" s="125"/>
      <c r="Q3672" s="125"/>
      <c r="R3672" s="127"/>
      <c r="S3672" s="123"/>
      <c r="T3672" s="3"/>
      <c r="W3672" s="86"/>
      <c r="Y3672" s="75"/>
    </row>
    <row r="3673" spans="1:25" x14ac:dyDescent="0.25">
      <c r="A3673" s="75"/>
      <c r="C3673" s="81"/>
      <c r="D3673" s="81"/>
      <c r="I3673" s="81"/>
      <c r="K3673" s="82"/>
      <c r="L3673" s="123"/>
      <c r="M3673" s="3"/>
      <c r="N3673" s="3"/>
      <c r="O3673" s="3"/>
      <c r="P3673" s="125"/>
      <c r="Q3673" s="125"/>
      <c r="R3673" s="127"/>
      <c r="S3673" s="123"/>
      <c r="T3673" s="3"/>
      <c r="W3673" s="86"/>
      <c r="Y3673" s="75"/>
    </row>
    <row r="3674" spans="1:25" x14ac:dyDescent="0.25">
      <c r="A3674" s="75"/>
      <c r="C3674" s="81"/>
      <c r="D3674" s="81"/>
      <c r="I3674" s="81"/>
      <c r="K3674" s="82"/>
      <c r="L3674" s="123"/>
      <c r="M3674" s="3"/>
      <c r="N3674" s="3"/>
      <c r="O3674" s="3"/>
      <c r="P3674" s="125"/>
      <c r="Q3674" s="125"/>
      <c r="R3674" s="127"/>
      <c r="S3674" s="123"/>
      <c r="T3674" s="3"/>
      <c r="W3674" s="86"/>
      <c r="Y3674" s="75"/>
    </row>
    <row r="3675" spans="1:25" x14ac:dyDescent="0.25">
      <c r="A3675" s="75"/>
      <c r="C3675" s="81"/>
      <c r="D3675" s="81"/>
      <c r="I3675" s="81"/>
      <c r="K3675" s="82"/>
      <c r="L3675" s="123"/>
      <c r="M3675" s="3"/>
      <c r="N3675" s="3"/>
      <c r="O3675" s="3"/>
      <c r="P3675" s="125"/>
      <c r="Q3675" s="125"/>
      <c r="R3675" s="127"/>
      <c r="S3675" s="123"/>
      <c r="T3675" s="3"/>
      <c r="W3675" s="86"/>
      <c r="Y3675" s="75"/>
    </row>
    <row r="3676" spans="1:25" x14ac:dyDescent="0.25">
      <c r="A3676" s="75"/>
      <c r="C3676" s="81"/>
      <c r="D3676" s="81"/>
      <c r="I3676" s="81"/>
      <c r="K3676" s="82"/>
      <c r="L3676" s="123"/>
      <c r="M3676" s="3"/>
      <c r="N3676" s="3"/>
      <c r="O3676" s="3"/>
      <c r="P3676" s="125"/>
      <c r="Q3676" s="125"/>
      <c r="R3676" s="127"/>
      <c r="S3676" s="123"/>
      <c r="T3676" s="3"/>
      <c r="W3676" s="86"/>
      <c r="Y3676" s="75"/>
    </row>
    <row r="3677" spans="1:25" x14ac:dyDescent="0.25">
      <c r="A3677" s="75"/>
      <c r="C3677" s="81"/>
      <c r="D3677" s="81"/>
      <c r="I3677" s="81"/>
      <c r="K3677" s="82"/>
      <c r="L3677" s="123"/>
      <c r="M3677" s="3"/>
      <c r="N3677" s="3"/>
      <c r="O3677" s="3"/>
      <c r="P3677" s="125"/>
      <c r="Q3677" s="125"/>
      <c r="R3677" s="127"/>
      <c r="S3677" s="123"/>
      <c r="T3677" s="3"/>
      <c r="W3677" s="86"/>
      <c r="Y3677" s="75"/>
    </row>
    <row r="3678" spans="1:25" x14ac:dyDescent="0.25">
      <c r="A3678" s="75"/>
      <c r="C3678" s="81"/>
      <c r="D3678" s="81"/>
      <c r="I3678" s="81"/>
      <c r="K3678" s="82"/>
      <c r="L3678" s="123"/>
      <c r="M3678" s="3"/>
      <c r="N3678" s="3"/>
      <c r="O3678" s="3"/>
      <c r="P3678" s="125"/>
      <c r="Q3678" s="125"/>
      <c r="R3678" s="127"/>
      <c r="S3678" s="123"/>
      <c r="T3678" s="3"/>
      <c r="W3678" s="86"/>
      <c r="Y3678" s="75"/>
    </row>
    <row r="3679" spans="1:25" x14ac:dyDescent="0.25">
      <c r="A3679" s="75"/>
      <c r="C3679" s="81"/>
      <c r="D3679" s="81"/>
      <c r="I3679" s="81"/>
      <c r="K3679" s="82"/>
      <c r="L3679" s="123"/>
      <c r="M3679" s="3"/>
      <c r="N3679" s="3"/>
      <c r="O3679" s="3"/>
      <c r="P3679" s="125"/>
      <c r="Q3679" s="125"/>
      <c r="R3679" s="127"/>
      <c r="S3679" s="123"/>
      <c r="T3679" s="3"/>
      <c r="W3679" s="86"/>
      <c r="Y3679" s="75"/>
    </row>
    <row r="3680" spans="1:25" x14ac:dyDescent="0.25">
      <c r="A3680" s="75"/>
      <c r="C3680" s="81"/>
      <c r="D3680" s="81"/>
      <c r="I3680" s="81"/>
      <c r="K3680" s="82"/>
      <c r="L3680" s="123"/>
      <c r="M3680" s="3"/>
      <c r="N3680" s="3"/>
      <c r="O3680" s="3"/>
      <c r="P3680" s="125"/>
      <c r="Q3680" s="125"/>
      <c r="R3680" s="127"/>
      <c r="S3680" s="123"/>
      <c r="T3680" s="3"/>
      <c r="W3680" s="86"/>
      <c r="Y3680" s="75"/>
    </row>
    <row r="3681" spans="1:25" x14ac:dyDescent="0.25">
      <c r="A3681" s="75"/>
      <c r="C3681" s="81"/>
      <c r="D3681" s="81"/>
      <c r="I3681" s="81"/>
      <c r="K3681" s="82"/>
      <c r="L3681" s="123"/>
      <c r="M3681" s="3"/>
      <c r="N3681" s="3"/>
      <c r="O3681" s="3"/>
      <c r="P3681" s="125"/>
      <c r="Q3681" s="125"/>
      <c r="R3681" s="127"/>
      <c r="S3681" s="123"/>
      <c r="T3681" s="3"/>
      <c r="W3681" s="86"/>
      <c r="Y3681" s="75"/>
    </row>
    <row r="3682" spans="1:25" x14ac:dyDescent="0.25">
      <c r="A3682" s="75"/>
      <c r="C3682" s="81"/>
      <c r="D3682" s="81"/>
      <c r="I3682" s="81"/>
      <c r="K3682" s="82"/>
      <c r="L3682" s="123"/>
      <c r="M3682" s="3"/>
      <c r="N3682" s="3"/>
      <c r="O3682" s="3"/>
      <c r="P3682" s="125"/>
      <c r="Q3682" s="125"/>
      <c r="R3682" s="127"/>
      <c r="S3682" s="123"/>
      <c r="T3682" s="3"/>
      <c r="W3682" s="86"/>
      <c r="Y3682" s="75"/>
    </row>
    <row r="3683" spans="1:25" x14ac:dyDescent="0.25">
      <c r="A3683" s="75"/>
      <c r="C3683" s="81"/>
      <c r="D3683" s="81"/>
      <c r="I3683" s="81"/>
      <c r="K3683" s="82"/>
      <c r="L3683" s="123"/>
      <c r="M3683" s="3"/>
      <c r="N3683" s="3"/>
      <c r="O3683" s="3"/>
      <c r="P3683" s="125"/>
      <c r="Q3683" s="125"/>
      <c r="R3683" s="127"/>
      <c r="S3683" s="123"/>
      <c r="T3683" s="3"/>
      <c r="W3683" s="86"/>
      <c r="Y3683" s="75"/>
    </row>
    <row r="3684" spans="1:25" x14ac:dyDescent="0.25">
      <c r="A3684" s="75"/>
      <c r="C3684" s="81"/>
      <c r="D3684" s="81"/>
      <c r="I3684" s="81"/>
      <c r="K3684" s="82"/>
      <c r="L3684" s="123"/>
      <c r="M3684" s="3"/>
      <c r="N3684" s="3"/>
      <c r="O3684" s="3"/>
      <c r="P3684" s="125"/>
      <c r="Q3684" s="125"/>
      <c r="R3684" s="127"/>
      <c r="S3684" s="123"/>
      <c r="T3684" s="3"/>
      <c r="W3684" s="86"/>
      <c r="Y3684" s="75"/>
    </row>
    <row r="3685" spans="1:25" x14ac:dyDescent="0.25">
      <c r="A3685" s="75"/>
      <c r="C3685" s="81"/>
      <c r="D3685" s="81"/>
      <c r="I3685" s="81"/>
      <c r="K3685" s="82"/>
      <c r="L3685" s="123"/>
      <c r="M3685" s="3"/>
      <c r="N3685" s="3"/>
      <c r="O3685" s="3"/>
      <c r="P3685" s="125"/>
      <c r="Q3685" s="125"/>
      <c r="R3685" s="127"/>
      <c r="S3685" s="123"/>
      <c r="T3685" s="3"/>
      <c r="W3685" s="86"/>
      <c r="Y3685" s="75"/>
    </row>
    <row r="3686" spans="1:25" x14ac:dyDescent="0.25">
      <c r="A3686" s="75"/>
      <c r="C3686" s="81"/>
      <c r="D3686" s="81"/>
      <c r="I3686" s="81"/>
      <c r="K3686" s="82"/>
      <c r="L3686" s="123"/>
      <c r="M3686" s="3"/>
      <c r="N3686" s="3"/>
      <c r="O3686" s="3"/>
      <c r="P3686" s="125"/>
      <c r="Q3686" s="125"/>
      <c r="R3686" s="127"/>
      <c r="S3686" s="123"/>
      <c r="T3686" s="3"/>
      <c r="W3686" s="86"/>
      <c r="Y3686" s="75"/>
    </row>
    <row r="3687" spans="1:25" x14ac:dyDescent="0.25">
      <c r="A3687" s="75"/>
      <c r="C3687" s="81"/>
      <c r="D3687" s="81"/>
      <c r="I3687" s="81"/>
      <c r="K3687" s="82"/>
      <c r="L3687" s="123"/>
      <c r="M3687" s="3"/>
      <c r="N3687" s="3"/>
      <c r="O3687" s="3"/>
      <c r="P3687" s="125"/>
      <c r="Q3687" s="125"/>
      <c r="R3687" s="127"/>
      <c r="S3687" s="123"/>
      <c r="T3687" s="3"/>
      <c r="W3687" s="86"/>
      <c r="Y3687" s="75"/>
    </row>
    <row r="3688" spans="1:25" x14ac:dyDescent="0.25">
      <c r="A3688" s="75"/>
      <c r="C3688" s="81"/>
      <c r="D3688" s="81"/>
      <c r="I3688" s="81"/>
      <c r="K3688" s="82"/>
      <c r="L3688" s="123"/>
      <c r="M3688" s="3"/>
      <c r="N3688" s="3"/>
      <c r="O3688" s="3"/>
      <c r="P3688" s="125"/>
      <c r="Q3688" s="125"/>
      <c r="R3688" s="127"/>
      <c r="S3688" s="123"/>
      <c r="T3688" s="3"/>
      <c r="W3688" s="86"/>
      <c r="Y3688" s="75"/>
    </row>
    <row r="3689" spans="1:25" x14ac:dyDescent="0.25">
      <c r="A3689" s="75"/>
      <c r="C3689" s="81"/>
      <c r="D3689" s="81"/>
      <c r="I3689" s="81"/>
      <c r="K3689" s="82"/>
      <c r="L3689" s="123"/>
      <c r="M3689" s="3"/>
      <c r="N3689" s="3"/>
      <c r="O3689" s="3"/>
      <c r="P3689" s="125"/>
      <c r="Q3689" s="125"/>
      <c r="R3689" s="127"/>
      <c r="S3689" s="123"/>
      <c r="T3689" s="3"/>
      <c r="W3689" s="86"/>
      <c r="Y3689" s="75"/>
    </row>
    <row r="3690" spans="1:25" x14ac:dyDescent="0.25">
      <c r="A3690" s="75"/>
      <c r="C3690" s="81"/>
      <c r="D3690" s="81"/>
      <c r="I3690" s="81"/>
      <c r="K3690" s="82"/>
      <c r="L3690" s="123"/>
      <c r="M3690" s="3"/>
      <c r="N3690" s="3"/>
      <c r="O3690" s="3"/>
      <c r="P3690" s="125"/>
      <c r="Q3690" s="125"/>
      <c r="R3690" s="127"/>
      <c r="S3690" s="123"/>
      <c r="T3690" s="3"/>
      <c r="W3690" s="86"/>
      <c r="Y3690" s="75"/>
    </row>
    <row r="3691" spans="1:25" x14ac:dyDescent="0.25">
      <c r="A3691" s="75"/>
      <c r="C3691" s="81"/>
      <c r="D3691" s="81"/>
      <c r="I3691" s="81"/>
      <c r="K3691" s="82"/>
      <c r="L3691" s="123"/>
      <c r="M3691" s="3"/>
      <c r="N3691" s="3"/>
      <c r="O3691" s="3"/>
      <c r="P3691" s="125"/>
      <c r="Q3691" s="125"/>
      <c r="R3691" s="127"/>
      <c r="S3691" s="123"/>
      <c r="T3691" s="3"/>
      <c r="W3691" s="86"/>
      <c r="Y3691" s="75"/>
    </row>
    <row r="3692" spans="1:25" x14ac:dyDescent="0.25">
      <c r="A3692" s="75"/>
      <c r="C3692" s="81"/>
      <c r="D3692" s="81"/>
      <c r="I3692" s="81"/>
      <c r="K3692" s="82"/>
      <c r="L3692" s="123"/>
      <c r="M3692" s="3"/>
      <c r="N3692" s="3"/>
      <c r="O3692" s="3"/>
      <c r="P3692" s="125"/>
      <c r="Q3692" s="125"/>
      <c r="R3692" s="127"/>
      <c r="S3692" s="123"/>
      <c r="T3692" s="3"/>
      <c r="W3692" s="86"/>
      <c r="Y3692" s="75"/>
    </row>
    <row r="3693" spans="1:25" x14ac:dyDescent="0.25">
      <c r="A3693" s="75"/>
      <c r="C3693" s="81"/>
      <c r="D3693" s="81"/>
      <c r="I3693" s="81"/>
      <c r="K3693" s="82"/>
      <c r="L3693" s="123"/>
      <c r="M3693" s="3"/>
      <c r="N3693" s="3"/>
      <c r="O3693" s="3"/>
      <c r="P3693" s="125"/>
      <c r="Q3693" s="125"/>
      <c r="R3693" s="127"/>
      <c r="S3693" s="123"/>
      <c r="T3693" s="3"/>
      <c r="W3693" s="86"/>
      <c r="Y3693" s="75"/>
    </row>
    <row r="3694" spans="1:25" x14ac:dyDescent="0.25">
      <c r="A3694" s="75"/>
      <c r="C3694" s="81"/>
      <c r="D3694" s="81"/>
      <c r="I3694" s="81"/>
      <c r="K3694" s="82"/>
      <c r="L3694" s="123"/>
      <c r="M3694" s="3"/>
      <c r="N3694" s="3"/>
      <c r="O3694" s="3"/>
      <c r="P3694" s="125"/>
      <c r="Q3694" s="125"/>
      <c r="R3694" s="127"/>
      <c r="S3694" s="123"/>
      <c r="T3694" s="3"/>
      <c r="W3694" s="86"/>
      <c r="Y3694" s="75"/>
    </row>
    <row r="3695" spans="1:25" x14ac:dyDescent="0.25">
      <c r="A3695" s="75"/>
      <c r="C3695" s="81"/>
      <c r="D3695" s="81"/>
      <c r="I3695" s="81"/>
      <c r="K3695" s="82"/>
      <c r="L3695" s="123"/>
      <c r="M3695" s="3"/>
      <c r="N3695" s="3"/>
      <c r="O3695" s="3"/>
      <c r="P3695" s="125"/>
      <c r="Q3695" s="125"/>
      <c r="R3695" s="127"/>
      <c r="S3695" s="123"/>
      <c r="T3695" s="3"/>
      <c r="W3695" s="86"/>
      <c r="Y3695" s="75"/>
    </row>
    <row r="3696" spans="1:25" x14ac:dyDescent="0.25">
      <c r="A3696" s="75"/>
      <c r="C3696" s="81"/>
      <c r="D3696" s="81"/>
      <c r="I3696" s="81"/>
      <c r="K3696" s="82"/>
      <c r="L3696" s="123"/>
      <c r="M3696" s="3"/>
      <c r="N3696" s="3"/>
      <c r="O3696" s="3"/>
      <c r="P3696" s="125"/>
      <c r="Q3696" s="125"/>
      <c r="R3696" s="127"/>
      <c r="S3696" s="123"/>
      <c r="T3696" s="3"/>
      <c r="W3696" s="86"/>
      <c r="Y3696" s="75"/>
    </row>
    <row r="3697" spans="1:25" x14ac:dyDescent="0.25">
      <c r="A3697" s="75"/>
      <c r="C3697" s="81"/>
      <c r="D3697" s="81"/>
      <c r="I3697" s="81"/>
      <c r="K3697" s="82"/>
      <c r="L3697" s="123"/>
      <c r="M3697" s="3"/>
      <c r="N3697" s="3"/>
      <c r="O3697" s="3"/>
      <c r="P3697" s="125"/>
      <c r="Q3697" s="125"/>
      <c r="R3697" s="127"/>
      <c r="S3697" s="123"/>
      <c r="T3697" s="3"/>
      <c r="W3697" s="86"/>
      <c r="Y3697" s="75"/>
    </row>
    <row r="3698" spans="1:25" x14ac:dyDescent="0.25">
      <c r="A3698" s="75"/>
      <c r="C3698" s="81"/>
      <c r="D3698" s="81"/>
      <c r="I3698" s="81"/>
      <c r="K3698" s="82"/>
      <c r="L3698" s="123"/>
      <c r="M3698" s="3"/>
      <c r="N3698" s="3"/>
      <c r="O3698" s="3"/>
      <c r="P3698" s="125"/>
      <c r="Q3698" s="125"/>
      <c r="R3698" s="127"/>
      <c r="S3698" s="123"/>
      <c r="T3698" s="3"/>
      <c r="W3698" s="86"/>
      <c r="Y3698" s="75"/>
    </row>
    <row r="3699" spans="1:25" x14ac:dyDescent="0.25">
      <c r="A3699" s="75"/>
      <c r="C3699" s="81"/>
      <c r="D3699" s="81"/>
      <c r="I3699" s="81"/>
      <c r="K3699" s="82"/>
      <c r="L3699" s="123"/>
      <c r="M3699" s="3"/>
      <c r="N3699" s="3"/>
      <c r="O3699" s="3"/>
      <c r="P3699" s="125"/>
      <c r="Q3699" s="125"/>
      <c r="R3699" s="127"/>
      <c r="S3699" s="123"/>
      <c r="T3699" s="3"/>
      <c r="W3699" s="86"/>
      <c r="Y3699" s="75"/>
    </row>
    <row r="3700" spans="1:25" x14ac:dyDescent="0.25">
      <c r="A3700" s="75"/>
      <c r="C3700" s="81"/>
      <c r="D3700" s="81"/>
      <c r="I3700" s="81"/>
      <c r="K3700" s="82"/>
      <c r="L3700" s="123"/>
      <c r="M3700" s="3"/>
      <c r="N3700" s="3"/>
      <c r="O3700" s="3"/>
      <c r="P3700" s="125"/>
      <c r="Q3700" s="125"/>
      <c r="R3700" s="127"/>
      <c r="S3700" s="123"/>
      <c r="T3700" s="3"/>
      <c r="W3700" s="86"/>
      <c r="Y3700" s="75"/>
    </row>
    <row r="3701" spans="1:25" x14ac:dyDescent="0.25">
      <c r="A3701" s="75"/>
      <c r="C3701" s="81"/>
      <c r="D3701" s="81"/>
      <c r="I3701" s="81"/>
      <c r="K3701" s="82"/>
      <c r="L3701" s="123"/>
      <c r="M3701" s="3"/>
      <c r="N3701" s="3"/>
      <c r="O3701" s="3"/>
      <c r="P3701" s="125"/>
      <c r="Q3701" s="125"/>
      <c r="R3701" s="127"/>
      <c r="S3701" s="123"/>
      <c r="T3701" s="3"/>
      <c r="W3701" s="86"/>
      <c r="Y3701" s="75"/>
    </row>
    <row r="3702" spans="1:25" x14ac:dyDescent="0.25">
      <c r="A3702" s="75"/>
      <c r="C3702" s="81"/>
      <c r="D3702" s="81"/>
      <c r="I3702" s="81"/>
      <c r="K3702" s="82"/>
      <c r="L3702" s="123"/>
      <c r="M3702" s="3"/>
      <c r="N3702" s="3"/>
      <c r="O3702" s="3"/>
      <c r="P3702" s="125"/>
      <c r="Q3702" s="125"/>
      <c r="R3702" s="127"/>
      <c r="S3702" s="123"/>
      <c r="T3702" s="3"/>
      <c r="W3702" s="86"/>
      <c r="Y3702" s="75"/>
    </row>
    <row r="3703" spans="1:25" x14ac:dyDescent="0.25">
      <c r="A3703" s="75"/>
      <c r="C3703" s="81"/>
      <c r="D3703" s="81"/>
      <c r="I3703" s="81"/>
      <c r="K3703" s="82"/>
      <c r="L3703" s="123"/>
      <c r="M3703" s="3"/>
      <c r="N3703" s="3"/>
      <c r="O3703" s="3"/>
      <c r="P3703" s="125"/>
      <c r="Q3703" s="125"/>
      <c r="R3703" s="127"/>
      <c r="S3703" s="123"/>
      <c r="T3703" s="3"/>
      <c r="W3703" s="86"/>
      <c r="Y3703" s="75"/>
    </row>
    <row r="3704" spans="1:25" x14ac:dyDescent="0.25">
      <c r="A3704" s="75"/>
      <c r="C3704" s="81"/>
      <c r="D3704" s="81"/>
      <c r="I3704" s="81"/>
      <c r="K3704" s="82"/>
      <c r="L3704" s="123"/>
      <c r="M3704" s="3"/>
      <c r="N3704" s="3"/>
      <c r="O3704" s="3"/>
      <c r="P3704" s="125"/>
      <c r="Q3704" s="125"/>
      <c r="R3704" s="127"/>
      <c r="S3704" s="123"/>
      <c r="T3704" s="3"/>
      <c r="W3704" s="86"/>
      <c r="Y3704" s="75"/>
    </row>
    <row r="3705" spans="1:25" x14ac:dyDescent="0.25">
      <c r="A3705" s="75"/>
      <c r="C3705" s="81"/>
      <c r="D3705" s="81"/>
      <c r="I3705" s="81"/>
      <c r="K3705" s="82"/>
      <c r="L3705" s="123"/>
      <c r="M3705" s="3"/>
      <c r="N3705" s="3"/>
      <c r="O3705" s="3"/>
      <c r="P3705" s="125"/>
      <c r="Q3705" s="125"/>
      <c r="R3705" s="127"/>
      <c r="S3705" s="123"/>
      <c r="T3705" s="3"/>
      <c r="W3705" s="86"/>
      <c r="Y3705" s="75"/>
    </row>
    <row r="3706" spans="1:25" x14ac:dyDescent="0.25">
      <c r="A3706" s="75"/>
      <c r="C3706" s="81"/>
      <c r="D3706" s="81"/>
      <c r="I3706" s="81"/>
      <c r="K3706" s="82"/>
      <c r="L3706" s="123"/>
      <c r="M3706" s="3"/>
      <c r="N3706" s="3"/>
      <c r="O3706" s="3"/>
      <c r="P3706" s="125"/>
      <c r="Q3706" s="125"/>
      <c r="R3706" s="127"/>
      <c r="S3706" s="123"/>
      <c r="T3706" s="3"/>
      <c r="W3706" s="86"/>
      <c r="Y3706" s="75"/>
    </row>
    <row r="3707" spans="1:25" x14ac:dyDescent="0.25">
      <c r="A3707" s="75"/>
      <c r="C3707" s="81"/>
      <c r="D3707" s="81"/>
      <c r="I3707" s="81"/>
      <c r="K3707" s="82"/>
      <c r="L3707" s="123"/>
      <c r="M3707" s="3"/>
      <c r="N3707" s="3"/>
      <c r="O3707" s="3"/>
      <c r="P3707" s="125"/>
      <c r="Q3707" s="125"/>
      <c r="R3707" s="127"/>
      <c r="S3707" s="123"/>
      <c r="T3707" s="3"/>
      <c r="W3707" s="86"/>
      <c r="Y3707" s="75"/>
    </row>
    <row r="3708" spans="1:25" x14ac:dyDescent="0.25">
      <c r="A3708" s="75"/>
      <c r="C3708" s="81"/>
      <c r="D3708" s="81"/>
      <c r="I3708" s="81"/>
      <c r="K3708" s="82"/>
      <c r="L3708" s="123"/>
      <c r="M3708" s="3"/>
      <c r="N3708" s="3"/>
      <c r="O3708" s="3"/>
      <c r="P3708" s="125"/>
      <c r="Q3708" s="125"/>
      <c r="R3708" s="127"/>
      <c r="S3708" s="123"/>
      <c r="T3708" s="3"/>
      <c r="W3708" s="86"/>
      <c r="Y3708" s="75"/>
    </row>
    <row r="3709" spans="1:25" x14ac:dyDescent="0.25">
      <c r="A3709" s="75"/>
      <c r="C3709" s="81"/>
      <c r="D3709" s="81"/>
      <c r="I3709" s="81"/>
      <c r="K3709" s="82"/>
      <c r="L3709" s="123"/>
      <c r="M3709" s="3"/>
      <c r="N3709" s="3"/>
      <c r="O3709" s="3"/>
      <c r="P3709" s="125"/>
      <c r="Q3709" s="125"/>
      <c r="R3709" s="127"/>
      <c r="S3709" s="123"/>
      <c r="T3709" s="3"/>
      <c r="W3709" s="86"/>
      <c r="Y3709" s="75"/>
    </row>
    <row r="3710" spans="1:25" x14ac:dyDescent="0.25">
      <c r="A3710" s="75"/>
      <c r="C3710" s="81"/>
      <c r="D3710" s="81"/>
      <c r="I3710" s="81"/>
      <c r="K3710" s="82"/>
      <c r="L3710" s="123"/>
      <c r="M3710" s="3"/>
      <c r="N3710" s="3"/>
      <c r="O3710" s="3"/>
      <c r="P3710" s="125"/>
      <c r="Q3710" s="125"/>
      <c r="R3710" s="127"/>
      <c r="S3710" s="123"/>
      <c r="T3710" s="3"/>
      <c r="W3710" s="86"/>
      <c r="Y3710" s="75"/>
    </row>
    <row r="3711" spans="1:25" x14ac:dyDescent="0.25">
      <c r="A3711" s="75"/>
      <c r="C3711" s="81"/>
      <c r="D3711" s="81"/>
      <c r="I3711" s="81"/>
      <c r="K3711" s="82"/>
      <c r="L3711" s="123"/>
      <c r="M3711" s="3"/>
      <c r="N3711" s="3"/>
      <c r="O3711" s="3"/>
      <c r="P3711" s="125"/>
      <c r="Q3711" s="125"/>
      <c r="R3711" s="127"/>
      <c r="S3711" s="123"/>
      <c r="T3711" s="3"/>
      <c r="W3711" s="86"/>
      <c r="Y3711" s="75"/>
    </row>
    <row r="3712" spans="1:25" x14ac:dyDescent="0.25">
      <c r="A3712" s="75"/>
      <c r="C3712" s="81"/>
      <c r="D3712" s="81"/>
      <c r="I3712" s="81"/>
      <c r="K3712" s="82"/>
      <c r="L3712" s="123"/>
      <c r="M3712" s="3"/>
      <c r="N3712" s="3"/>
      <c r="O3712" s="3"/>
      <c r="P3712" s="125"/>
      <c r="Q3712" s="125"/>
      <c r="R3712" s="127"/>
      <c r="S3712" s="123"/>
      <c r="T3712" s="3"/>
      <c r="W3712" s="86"/>
      <c r="Y3712" s="75"/>
    </row>
    <row r="3713" spans="1:25" x14ac:dyDescent="0.25">
      <c r="A3713" s="75"/>
      <c r="C3713" s="81"/>
      <c r="D3713" s="81"/>
      <c r="I3713" s="81"/>
      <c r="K3713" s="82"/>
      <c r="L3713" s="123"/>
      <c r="M3713" s="3"/>
      <c r="N3713" s="3"/>
      <c r="O3713" s="3"/>
      <c r="P3713" s="125"/>
      <c r="Q3713" s="125"/>
      <c r="R3713" s="127"/>
      <c r="S3713" s="123"/>
      <c r="T3713" s="3"/>
      <c r="W3713" s="86"/>
      <c r="Y3713" s="75"/>
    </row>
    <row r="3714" spans="1:25" x14ac:dyDescent="0.25">
      <c r="A3714" s="75"/>
      <c r="C3714" s="81"/>
      <c r="D3714" s="81"/>
      <c r="I3714" s="81"/>
      <c r="K3714" s="82"/>
      <c r="L3714" s="123"/>
      <c r="M3714" s="3"/>
      <c r="N3714" s="3"/>
      <c r="O3714" s="3"/>
      <c r="P3714" s="125"/>
      <c r="Q3714" s="125"/>
      <c r="R3714" s="127"/>
      <c r="S3714" s="123"/>
      <c r="T3714" s="3"/>
      <c r="W3714" s="86"/>
      <c r="Y3714" s="75"/>
    </row>
    <row r="3715" spans="1:25" x14ac:dyDescent="0.25">
      <c r="A3715" s="75"/>
      <c r="C3715" s="81"/>
      <c r="D3715" s="81"/>
      <c r="I3715" s="81"/>
      <c r="K3715" s="82"/>
      <c r="L3715" s="123"/>
      <c r="M3715" s="3"/>
      <c r="N3715" s="3"/>
      <c r="O3715" s="3"/>
      <c r="P3715" s="125"/>
      <c r="Q3715" s="125"/>
      <c r="R3715" s="127"/>
      <c r="S3715" s="123"/>
      <c r="T3715" s="3"/>
      <c r="W3715" s="86"/>
      <c r="Y3715" s="75"/>
    </row>
    <row r="3716" spans="1:25" x14ac:dyDescent="0.25">
      <c r="A3716" s="75"/>
      <c r="C3716" s="81"/>
      <c r="D3716" s="81"/>
      <c r="I3716" s="81"/>
      <c r="K3716" s="82"/>
      <c r="L3716" s="123"/>
      <c r="M3716" s="3"/>
      <c r="N3716" s="3"/>
      <c r="O3716" s="3"/>
      <c r="P3716" s="125"/>
      <c r="Q3716" s="125"/>
      <c r="R3716" s="127"/>
      <c r="S3716" s="123"/>
      <c r="T3716" s="3"/>
      <c r="W3716" s="86"/>
      <c r="Y3716" s="75"/>
    </row>
    <row r="3717" spans="1:25" x14ac:dyDescent="0.25">
      <c r="A3717" s="75"/>
      <c r="C3717" s="81"/>
      <c r="D3717" s="81"/>
      <c r="I3717" s="81"/>
      <c r="K3717" s="82"/>
      <c r="L3717" s="123"/>
      <c r="M3717" s="3"/>
      <c r="N3717" s="3"/>
      <c r="O3717" s="3"/>
      <c r="P3717" s="125"/>
      <c r="Q3717" s="125"/>
      <c r="R3717" s="127"/>
      <c r="S3717" s="123"/>
      <c r="T3717" s="3"/>
      <c r="W3717" s="86"/>
      <c r="Y3717" s="75"/>
    </row>
    <row r="3718" spans="1:25" x14ac:dyDescent="0.25">
      <c r="A3718" s="75"/>
      <c r="C3718" s="81"/>
      <c r="D3718" s="81"/>
      <c r="I3718" s="81"/>
      <c r="K3718" s="82"/>
      <c r="L3718" s="123"/>
      <c r="M3718" s="3"/>
      <c r="N3718" s="3"/>
      <c r="O3718" s="3"/>
      <c r="P3718" s="125"/>
      <c r="Q3718" s="125"/>
      <c r="R3718" s="127"/>
      <c r="S3718" s="123"/>
      <c r="T3718" s="3"/>
      <c r="W3718" s="86"/>
      <c r="Y3718" s="75"/>
    </row>
    <row r="3719" spans="1:25" x14ac:dyDescent="0.25">
      <c r="A3719" s="75"/>
      <c r="C3719" s="81"/>
      <c r="D3719" s="81"/>
      <c r="I3719" s="81"/>
      <c r="K3719" s="82"/>
      <c r="L3719" s="123"/>
      <c r="M3719" s="3"/>
      <c r="N3719" s="3"/>
      <c r="O3719" s="3"/>
      <c r="P3719" s="125"/>
      <c r="Q3719" s="125"/>
      <c r="R3719" s="127"/>
      <c r="S3719" s="123"/>
      <c r="T3719" s="3"/>
      <c r="W3719" s="86"/>
      <c r="Y3719" s="75"/>
    </row>
    <row r="3720" spans="1:25" x14ac:dyDescent="0.25">
      <c r="A3720" s="75"/>
      <c r="C3720" s="81"/>
      <c r="D3720" s="81"/>
      <c r="I3720" s="81"/>
      <c r="K3720" s="82"/>
      <c r="L3720" s="123"/>
      <c r="M3720" s="3"/>
      <c r="N3720" s="3"/>
      <c r="O3720" s="3"/>
      <c r="P3720" s="125"/>
      <c r="Q3720" s="125"/>
      <c r="R3720" s="127"/>
      <c r="S3720" s="123"/>
      <c r="T3720" s="3"/>
      <c r="W3720" s="86"/>
      <c r="Y3720" s="75"/>
    </row>
    <row r="3721" spans="1:25" x14ac:dyDescent="0.25">
      <c r="A3721" s="75"/>
      <c r="C3721" s="81"/>
      <c r="D3721" s="81"/>
      <c r="I3721" s="81"/>
      <c r="K3721" s="82"/>
      <c r="L3721" s="123"/>
      <c r="M3721" s="3"/>
      <c r="N3721" s="3"/>
      <c r="O3721" s="3"/>
      <c r="P3721" s="125"/>
      <c r="Q3721" s="125"/>
      <c r="R3721" s="127"/>
      <c r="S3721" s="123"/>
      <c r="T3721" s="3"/>
      <c r="W3721" s="86"/>
      <c r="Y3721" s="75"/>
    </row>
    <row r="3722" spans="1:25" x14ac:dyDescent="0.25">
      <c r="A3722" s="75"/>
      <c r="C3722" s="81"/>
      <c r="D3722" s="81"/>
      <c r="I3722" s="81"/>
      <c r="K3722" s="82"/>
      <c r="L3722" s="123"/>
      <c r="M3722" s="3"/>
      <c r="N3722" s="3"/>
      <c r="O3722" s="3"/>
      <c r="P3722" s="125"/>
      <c r="Q3722" s="125"/>
      <c r="R3722" s="127"/>
      <c r="S3722" s="123"/>
      <c r="T3722" s="3"/>
      <c r="W3722" s="86"/>
      <c r="Y3722" s="75"/>
    </row>
    <row r="3723" spans="1:25" x14ac:dyDescent="0.25">
      <c r="A3723" s="75"/>
      <c r="C3723" s="81"/>
      <c r="D3723" s="81"/>
      <c r="I3723" s="81"/>
      <c r="K3723" s="82"/>
      <c r="L3723" s="123"/>
      <c r="M3723" s="3"/>
      <c r="N3723" s="3"/>
      <c r="O3723" s="3"/>
      <c r="P3723" s="125"/>
      <c r="Q3723" s="125"/>
      <c r="R3723" s="127"/>
      <c r="S3723" s="123"/>
      <c r="T3723" s="3"/>
      <c r="W3723" s="86"/>
      <c r="Y3723" s="75"/>
    </row>
    <row r="3724" spans="1:25" x14ac:dyDescent="0.25">
      <c r="A3724" s="75"/>
      <c r="C3724" s="81"/>
      <c r="D3724" s="81"/>
      <c r="I3724" s="81"/>
      <c r="K3724" s="82"/>
      <c r="L3724" s="123"/>
      <c r="M3724" s="3"/>
      <c r="N3724" s="3"/>
      <c r="O3724" s="3"/>
      <c r="P3724" s="125"/>
      <c r="Q3724" s="125"/>
      <c r="R3724" s="127"/>
      <c r="S3724" s="123"/>
      <c r="T3724" s="3"/>
      <c r="W3724" s="86"/>
      <c r="Y3724" s="75"/>
    </row>
    <row r="3725" spans="1:25" x14ac:dyDescent="0.25">
      <c r="A3725" s="75"/>
      <c r="C3725" s="81"/>
      <c r="D3725" s="81"/>
      <c r="I3725" s="81"/>
      <c r="K3725" s="82"/>
      <c r="L3725" s="123"/>
      <c r="M3725" s="3"/>
      <c r="N3725" s="3"/>
      <c r="O3725" s="3"/>
      <c r="P3725" s="125"/>
      <c r="Q3725" s="125"/>
      <c r="R3725" s="127"/>
      <c r="S3725" s="123"/>
      <c r="T3725" s="3"/>
      <c r="W3725" s="86"/>
      <c r="Y3725" s="75"/>
    </row>
    <row r="3726" spans="1:25" x14ac:dyDescent="0.25">
      <c r="A3726" s="75"/>
      <c r="C3726" s="81"/>
      <c r="D3726" s="81"/>
      <c r="I3726" s="81"/>
      <c r="K3726" s="82"/>
      <c r="L3726" s="123"/>
      <c r="M3726" s="3"/>
      <c r="N3726" s="3"/>
      <c r="O3726" s="3"/>
      <c r="P3726" s="125"/>
      <c r="Q3726" s="125"/>
      <c r="R3726" s="127"/>
      <c r="S3726" s="123"/>
      <c r="T3726" s="3"/>
      <c r="W3726" s="86"/>
      <c r="Y3726" s="75"/>
    </row>
    <row r="3727" spans="1:25" x14ac:dyDescent="0.25">
      <c r="A3727" s="75"/>
      <c r="C3727" s="81"/>
      <c r="D3727" s="81"/>
      <c r="I3727" s="81"/>
      <c r="K3727" s="82"/>
      <c r="L3727" s="123"/>
      <c r="M3727" s="3"/>
      <c r="N3727" s="3"/>
      <c r="O3727" s="3"/>
      <c r="P3727" s="125"/>
      <c r="Q3727" s="125"/>
      <c r="R3727" s="127"/>
      <c r="S3727" s="123"/>
      <c r="T3727" s="3"/>
      <c r="W3727" s="86"/>
      <c r="Y3727" s="75"/>
    </row>
    <row r="3728" spans="1:25" x14ac:dyDescent="0.25">
      <c r="A3728" s="75"/>
      <c r="C3728" s="81"/>
      <c r="D3728" s="81"/>
      <c r="I3728" s="81"/>
      <c r="K3728" s="82"/>
      <c r="L3728" s="123"/>
      <c r="M3728" s="3"/>
      <c r="N3728" s="3"/>
      <c r="O3728" s="3"/>
      <c r="P3728" s="125"/>
      <c r="Q3728" s="125"/>
      <c r="R3728" s="127"/>
      <c r="S3728" s="123"/>
      <c r="T3728" s="3"/>
      <c r="W3728" s="86"/>
      <c r="Y3728" s="75"/>
    </row>
    <row r="3729" spans="1:25" x14ac:dyDescent="0.25">
      <c r="A3729" s="75"/>
      <c r="C3729" s="81"/>
      <c r="D3729" s="81"/>
      <c r="I3729" s="81"/>
      <c r="K3729" s="82"/>
      <c r="L3729" s="123"/>
      <c r="M3729" s="3"/>
      <c r="N3729" s="3"/>
      <c r="O3729" s="3"/>
      <c r="P3729" s="125"/>
      <c r="Q3729" s="125"/>
      <c r="R3729" s="127"/>
      <c r="S3729" s="123"/>
      <c r="T3729" s="3"/>
      <c r="W3729" s="86"/>
      <c r="Y3729" s="75"/>
    </row>
    <row r="3730" spans="1:25" x14ac:dyDescent="0.25">
      <c r="A3730" s="75"/>
      <c r="C3730" s="81"/>
      <c r="D3730" s="81"/>
      <c r="I3730" s="81"/>
      <c r="K3730" s="82"/>
      <c r="L3730" s="123"/>
      <c r="M3730" s="3"/>
      <c r="N3730" s="3"/>
      <c r="O3730" s="3"/>
      <c r="P3730" s="125"/>
      <c r="Q3730" s="125"/>
      <c r="R3730" s="127"/>
      <c r="S3730" s="123"/>
      <c r="T3730" s="3"/>
      <c r="W3730" s="86"/>
      <c r="Y3730" s="75"/>
    </row>
    <row r="3731" spans="1:25" x14ac:dyDescent="0.25">
      <c r="A3731" s="75"/>
      <c r="C3731" s="81"/>
      <c r="D3731" s="81"/>
      <c r="I3731" s="81"/>
      <c r="K3731" s="82"/>
      <c r="L3731" s="123"/>
      <c r="M3731" s="3"/>
      <c r="N3731" s="3"/>
      <c r="O3731" s="3"/>
      <c r="P3731" s="125"/>
      <c r="Q3731" s="125"/>
      <c r="R3731" s="127"/>
      <c r="S3731" s="123"/>
      <c r="T3731" s="3"/>
      <c r="W3731" s="86"/>
      <c r="Y3731" s="75"/>
    </row>
    <row r="3732" spans="1:25" x14ac:dyDescent="0.25">
      <c r="A3732" s="75"/>
      <c r="C3732" s="81"/>
      <c r="D3732" s="81"/>
      <c r="I3732" s="81"/>
      <c r="K3732" s="82"/>
      <c r="L3732" s="123"/>
      <c r="M3732" s="3"/>
      <c r="N3732" s="3"/>
      <c r="O3732" s="3"/>
      <c r="P3732" s="125"/>
      <c r="Q3732" s="125"/>
      <c r="R3732" s="127"/>
      <c r="S3732" s="123"/>
      <c r="T3732" s="3"/>
      <c r="W3732" s="86"/>
      <c r="Y3732" s="75"/>
    </row>
    <row r="3733" spans="1:25" x14ac:dyDescent="0.25">
      <c r="A3733" s="75"/>
      <c r="C3733" s="81"/>
      <c r="D3733" s="81"/>
      <c r="I3733" s="81"/>
      <c r="K3733" s="82"/>
      <c r="L3733" s="123"/>
      <c r="M3733" s="3"/>
      <c r="N3733" s="3"/>
      <c r="O3733" s="3"/>
      <c r="P3733" s="125"/>
      <c r="Q3733" s="125"/>
      <c r="R3733" s="127"/>
      <c r="S3733" s="123"/>
      <c r="T3733" s="3"/>
      <c r="W3733" s="86"/>
      <c r="Y3733" s="75"/>
    </row>
    <row r="3734" spans="1:25" x14ac:dyDescent="0.25">
      <c r="A3734" s="75"/>
      <c r="C3734" s="81"/>
      <c r="D3734" s="81"/>
      <c r="I3734" s="81"/>
      <c r="K3734" s="82"/>
      <c r="L3734" s="123"/>
      <c r="M3734" s="3"/>
      <c r="N3734" s="3"/>
      <c r="O3734" s="3"/>
      <c r="P3734" s="125"/>
      <c r="Q3734" s="125"/>
      <c r="R3734" s="127"/>
      <c r="S3734" s="123"/>
      <c r="T3734" s="3"/>
      <c r="W3734" s="86"/>
      <c r="Y3734" s="75"/>
    </row>
    <row r="3735" spans="1:25" x14ac:dyDescent="0.25">
      <c r="A3735" s="75"/>
      <c r="C3735" s="81"/>
      <c r="D3735" s="81"/>
      <c r="I3735" s="81"/>
      <c r="K3735" s="82"/>
      <c r="L3735" s="123"/>
      <c r="M3735" s="3"/>
      <c r="N3735" s="3"/>
      <c r="O3735" s="3"/>
      <c r="P3735" s="125"/>
      <c r="Q3735" s="125"/>
      <c r="R3735" s="127"/>
      <c r="S3735" s="123"/>
      <c r="T3735" s="3"/>
      <c r="W3735" s="86"/>
      <c r="Y3735" s="75"/>
    </row>
    <row r="3736" spans="1:25" x14ac:dyDescent="0.25">
      <c r="A3736" s="75"/>
      <c r="C3736" s="81"/>
      <c r="D3736" s="81"/>
      <c r="I3736" s="81"/>
      <c r="K3736" s="82"/>
      <c r="L3736" s="123"/>
      <c r="M3736" s="3"/>
      <c r="N3736" s="3"/>
      <c r="O3736" s="3"/>
      <c r="P3736" s="125"/>
      <c r="Q3736" s="125"/>
      <c r="R3736" s="127"/>
      <c r="S3736" s="123"/>
      <c r="T3736" s="3"/>
      <c r="W3736" s="86"/>
      <c r="Y3736" s="75"/>
    </row>
    <row r="3737" spans="1:25" x14ac:dyDescent="0.25">
      <c r="A3737" s="75"/>
      <c r="C3737" s="81"/>
      <c r="D3737" s="81"/>
      <c r="I3737" s="81"/>
      <c r="K3737" s="82"/>
      <c r="L3737" s="123"/>
      <c r="M3737" s="3"/>
      <c r="N3737" s="3"/>
      <c r="O3737" s="3"/>
      <c r="P3737" s="125"/>
      <c r="Q3737" s="125"/>
      <c r="R3737" s="127"/>
      <c r="S3737" s="123"/>
      <c r="T3737" s="3"/>
      <c r="W3737" s="86"/>
      <c r="Y3737" s="75"/>
    </row>
    <row r="3738" spans="1:25" x14ac:dyDescent="0.25">
      <c r="A3738" s="75"/>
      <c r="C3738" s="81"/>
      <c r="D3738" s="81"/>
      <c r="I3738" s="81"/>
      <c r="K3738" s="82"/>
      <c r="L3738" s="123"/>
      <c r="M3738" s="3"/>
      <c r="N3738" s="3"/>
      <c r="O3738" s="3"/>
      <c r="P3738" s="125"/>
      <c r="Q3738" s="125"/>
      <c r="R3738" s="127"/>
      <c r="S3738" s="123"/>
      <c r="T3738" s="3"/>
      <c r="W3738" s="86"/>
      <c r="Y3738" s="75"/>
    </row>
    <row r="3739" spans="1:25" x14ac:dyDescent="0.25">
      <c r="A3739" s="75"/>
      <c r="C3739" s="81"/>
      <c r="D3739" s="81"/>
      <c r="I3739" s="81"/>
      <c r="K3739" s="82"/>
      <c r="L3739" s="123"/>
      <c r="M3739" s="3"/>
      <c r="N3739" s="3"/>
      <c r="O3739" s="3"/>
      <c r="P3739" s="125"/>
      <c r="Q3739" s="125"/>
      <c r="R3739" s="127"/>
      <c r="S3739" s="123"/>
      <c r="T3739" s="3"/>
      <c r="W3739" s="86"/>
      <c r="Y3739" s="75"/>
    </row>
    <row r="3740" spans="1:25" x14ac:dyDescent="0.25">
      <c r="A3740" s="75"/>
      <c r="C3740" s="81"/>
      <c r="D3740" s="81"/>
      <c r="I3740" s="81"/>
      <c r="K3740" s="82"/>
      <c r="L3740" s="123"/>
      <c r="M3740" s="3"/>
      <c r="N3740" s="3"/>
      <c r="O3740" s="3"/>
      <c r="P3740" s="125"/>
      <c r="Q3740" s="125"/>
      <c r="R3740" s="127"/>
      <c r="S3740" s="123"/>
      <c r="T3740" s="3"/>
      <c r="W3740" s="86"/>
      <c r="Y3740" s="75"/>
    </row>
    <row r="3741" spans="1:25" x14ac:dyDescent="0.25">
      <c r="A3741" s="75"/>
      <c r="C3741" s="81"/>
      <c r="D3741" s="81"/>
      <c r="I3741" s="81"/>
      <c r="K3741" s="82"/>
      <c r="L3741" s="123"/>
      <c r="M3741" s="3"/>
      <c r="N3741" s="3"/>
      <c r="O3741" s="3"/>
      <c r="P3741" s="125"/>
      <c r="Q3741" s="125"/>
      <c r="R3741" s="127"/>
      <c r="S3741" s="123"/>
      <c r="T3741" s="3"/>
      <c r="W3741" s="86"/>
      <c r="Y3741" s="75"/>
    </row>
    <row r="3742" spans="1:25" x14ac:dyDescent="0.25">
      <c r="A3742" s="75"/>
      <c r="C3742" s="81"/>
      <c r="D3742" s="81"/>
      <c r="I3742" s="81"/>
      <c r="K3742" s="82"/>
      <c r="L3742" s="123"/>
      <c r="M3742" s="3"/>
      <c r="N3742" s="3"/>
      <c r="O3742" s="3"/>
      <c r="P3742" s="125"/>
      <c r="Q3742" s="125"/>
      <c r="R3742" s="127"/>
      <c r="S3742" s="123"/>
      <c r="T3742" s="3"/>
      <c r="W3742" s="86"/>
      <c r="Y3742" s="75"/>
    </row>
    <row r="3743" spans="1:25" x14ac:dyDescent="0.25">
      <c r="A3743" s="75"/>
      <c r="C3743" s="81"/>
      <c r="D3743" s="81"/>
      <c r="I3743" s="81"/>
      <c r="K3743" s="82"/>
      <c r="L3743" s="123"/>
      <c r="M3743" s="3"/>
      <c r="N3743" s="3"/>
      <c r="O3743" s="3"/>
      <c r="P3743" s="125"/>
      <c r="Q3743" s="125"/>
      <c r="R3743" s="127"/>
      <c r="S3743" s="123"/>
      <c r="T3743" s="3"/>
      <c r="W3743" s="86"/>
      <c r="Y3743" s="75"/>
    </row>
    <row r="3744" spans="1:25" x14ac:dyDescent="0.25">
      <c r="A3744" s="75"/>
      <c r="C3744" s="81"/>
      <c r="D3744" s="81"/>
      <c r="I3744" s="81"/>
      <c r="K3744" s="82"/>
      <c r="L3744" s="123"/>
      <c r="M3744" s="3"/>
      <c r="N3744" s="3"/>
      <c r="O3744" s="3"/>
      <c r="P3744" s="125"/>
      <c r="Q3744" s="125"/>
      <c r="R3744" s="127"/>
      <c r="S3744" s="123"/>
      <c r="T3744" s="3"/>
      <c r="W3744" s="86"/>
      <c r="Y3744" s="75"/>
    </row>
    <row r="3745" spans="1:25" x14ac:dyDescent="0.25">
      <c r="A3745" s="75"/>
      <c r="C3745" s="81"/>
      <c r="D3745" s="81"/>
      <c r="I3745" s="81"/>
      <c r="K3745" s="82"/>
      <c r="L3745" s="123"/>
      <c r="M3745" s="3"/>
      <c r="N3745" s="3"/>
      <c r="O3745" s="3"/>
      <c r="P3745" s="125"/>
      <c r="Q3745" s="125"/>
      <c r="R3745" s="127"/>
      <c r="S3745" s="123"/>
      <c r="T3745" s="3"/>
      <c r="W3745" s="86"/>
      <c r="Y3745" s="75"/>
    </row>
    <row r="3746" spans="1:25" x14ac:dyDescent="0.25">
      <c r="A3746" s="75"/>
      <c r="C3746" s="81"/>
      <c r="D3746" s="81"/>
      <c r="I3746" s="81"/>
      <c r="K3746" s="82"/>
      <c r="L3746" s="123"/>
      <c r="M3746" s="3"/>
      <c r="N3746" s="3"/>
      <c r="O3746" s="3"/>
      <c r="P3746" s="125"/>
      <c r="Q3746" s="125"/>
      <c r="R3746" s="127"/>
      <c r="S3746" s="123"/>
      <c r="T3746" s="3"/>
      <c r="W3746" s="86"/>
      <c r="Y3746" s="75"/>
    </row>
    <row r="3747" spans="1:25" x14ac:dyDescent="0.25">
      <c r="A3747" s="75"/>
      <c r="C3747" s="81"/>
      <c r="D3747" s="81"/>
      <c r="I3747" s="81"/>
      <c r="K3747" s="82"/>
      <c r="L3747" s="123"/>
      <c r="M3747" s="3"/>
      <c r="N3747" s="3"/>
      <c r="O3747" s="3"/>
      <c r="P3747" s="125"/>
      <c r="Q3747" s="125"/>
      <c r="R3747" s="127"/>
      <c r="S3747" s="123"/>
      <c r="T3747" s="3"/>
      <c r="W3747" s="86"/>
      <c r="Y3747" s="75"/>
    </row>
    <row r="3748" spans="1:25" x14ac:dyDescent="0.25">
      <c r="A3748" s="75"/>
      <c r="C3748" s="81"/>
      <c r="D3748" s="81"/>
      <c r="I3748" s="81"/>
      <c r="K3748" s="82"/>
      <c r="L3748" s="123"/>
      <c r="M3748" s="3"/>
      <c r="N3748" s="3"/>
      <c r="O3748" s="3"/>
      <c r="P3748" s="125"/>
      <c r="Q3748" s="125"/>
      <c r="R3748" s="127"/>
      <c r="S3748" s="123"/>
      <c r="T3748" s="3"/>
      <c r="W3748" s="86"/>
      <c r="Y3748" s="75"/>
    </row>
    <row r="3749" spans="1:25" x14ac:dyDescent="0.25">
      <c r="A3749" s="75"/>
      <c r="C3749" s="81"/>
      <c r="D3749" s="81"/>
      <c r="I3749" s="81"/>
      <c r="K3749" s="82"/>
      <c r="L3749" s="123"/>
      <c r="M3749" s="3"/>
      <c r="N3749" s="3"/>
      <c r="O3749" s="3"/>
      <c r="P3749" s="125"/>
      <c r="Q3749" s="125"/>
      <c r="R3749" s="127"/>
      <c r="S3749" s="123"/>
      <c r="T3749" s="3"/>
      <c r="W3749" s="86"/>
      <c r="Y3749" s="75"/>
    </row>
    <row r="3750" spans="1:25" x14ac:dyDescent="0.25">
      <c r="A3750" s="75"/>
      <c r="C3750" s="81"/>
      <c r="D3750" s="81"/>
      <c r="I3750" s="81"/>
      <c r="K3750" s="82"/>
      <c r="L3750" s="123"/>
      <c r="M3750" s="3"/>
      <c r="N3750" s="3"/>
      <c r="O3750" s="3"/>
      <c r="P3750" s="125"/>
      <c r="Q3750" s="125"/>
      <c r="R3750" s="127"/>
      <c r="S3750" s="123"/>
      <c r="T3750" s="3"/>
      <c r="W3750" s="86"/>
      <c r="Y3750" s="75"/>
    </row>
    <row r="3751" spans="1:25" x14ac:dyDescent="0.25">
      <c r="A3751" s="75"/>
      <c r="C3751" s="81"/>
      <c r="D3751" s="81"/>
      <c r="I3751" s="81"/>
      <c r="K3751" s="82"/>
      <c r="L3751" s="123"/>
      <c r="M3751" s="3"/>
      <c r="N3751" s="3"/>
      <c r="O3751" s="3"/>
      <c r="P3751" s="125"/>
      <c r="Q3751" s="125"/>
      <c r="R3751" s="127"/>
      <c r="S3751" s="123"/>
      <c r="T3751" s="3"/>
      <c r="W3751" s="86"/>
      <c r="Y3751" s="75"/>
    </row>
    <row r="3752" spans="1:25" x14ac:dyDescent="0.25">
      <c r="A3752" s="75"/>
      <c r="C3752" s="81"/>
      <c r="D3752" s="81"/>
      <c r="I3752" s="81"/>
      <c r="K3752" s="82"/>
      <c r="L3752" s="123"/>
      <c r="M3752" s="3"/>
      <c r="N3752" s="3"/>
      <c r="O3752" s="3"/>
      <c r="P3752" s="125"/>
      <c r="Q3752" s="125"/>
      <c r="R3752" s="127"/>
      <c r="S3752" s="123"/>
      <c r="T3752" s="3"/>
      <c r="W3752" s="86"/>
      <c r="Y3752" s="75"/>
    </row>
    <row r="3753" spans="1:25" x14ac:dyDescent="0.25">
      <c r="A3753" s="75"/>
      <c r="C3753" s="81"/>
      <c r="D3753" s="81"/>
      <c r="I3753" s="81"/>
      <c r="K3753" s="82"/>
      <c r="L3753" s="123"/>
      <c r="M3753" s="3"/>
      <c r="N3753" s="3"/>
      <c r="O3753" s="3"/>
      <c r="P3753" s="125"/>
      <c r="Q3753" s="125"/>
      <c r="R3753" s="127"/>
      <c r="S3753" s="123"/>
      <c r="T3753" s="3"/>
      <c r="W3753" s="86"/>
      <c r="Y3753" s="75"/>
    </row>
    <row r="3754" spans="1:25" x14ac:dyDescent="0.25">
      <c r="A3754" s="75"/>
      <c r="C3754" s="81"/>
      <c r="D3754" s="81"/>
      <c r="I3754" s="81"/>
      <c r="K3754" s="82"/>
      <c r="L3754" s="123"/>
      <c r="M3754" s="3"/>
      <c r="N3754" s="3"/>
      <c r="O3754" s="3"/>
      <c r="P3754" s="125"/>
      <c r="Q3754" s="125"/>
      <c r="R3754" s="127"/>
      <c r="S3754" s="123"/>
      <c r="T3754" s="3"/>
      <c r="W3754" s="86"/>
      <c r="Y3754" s="75"/>
    </row>
    <row r="3755" spans="1:25" x14ac:dyDescent="0.25">
      <c r="A3755" s="75"/>
      <c r="C3755" s="81"/>
      <c r="D3755" s="81"/>
      <c r="I3755" s="81"/>
      <c r="K3755" s="82"/>
      <c r="L3755" s="123"/>
      <c r="M3755" s="3"/>
      <c r="N3755" s="3"/>
      <c r="O3755" s="3"/>
      <c r="P3755" s="125"/>
      <c r="Q3755" s="125"/>
      <c r="R3755" s="127"/>
      <c r="S3755" s="123"/>
      <c r="T3755" s="3"/>
      <c r="W3755" s="86"/>
      <c r="Y3755" s="75"/>
    </row>
    <row r="3756" spans="1:25" x14ac:dyDescent="0.25">
      <c r="A3756" s="75"/>
      <c r="C3756" s="81"/>
      <c r="D3756" s="81"/>
      <c r="I3756" s="81"/>
      <c r="K3756" s="82"/>
      <c r="L3756" s="123"/>
      <c r="M3756" s="3"/>
      <c r="N3756" s="3"/>
      <c r="O3756" s="3"/>
      <c r="P3756" s="125"/>
      <c r="Q3756" s="125"/>
      <c r="R3756" s="127"/>
      <c r="S3756" s="123"/>
      <c r="T3756" s="3"/>
      <c r="W3756" s="86"/>
      <c r="Y3756" s="75"/>
    </row>
    <row r="3757" spans="1:25" x14ac:dyDescent="0.25">
      <c r="A3757" s="75"/>
      <c r="C3757" s="81"/>
      <c r="D3757" s="81"/>
      <c r="I3757" s="81"/>
      <c r="K3757" s="82"/>
      <c r="L3757" s="123"/>
      <c r="M3757" s="3"/>
      <c r="N3757" s="3"/>
      <c r="O3757" s="3"/>
      <c r="P3757" s="125"/>
      <c r="Q3757" s="125"/>
      <c r="R3757" s="127"/>
      <c r="S3757" s="123"/>
      <c r="T3757" s="3"/>
      <c r="W3757" s="86"/>
      <c r="Y3757" s="75"/>
    </row>
    <row r="3758" spans="1:25" x14ac:dyDescent="0.25">
      <c r="A3758" s="75"/>
      <c r="C3758" s="81"/>
      <c r="D3758" s="81"/>
      <c r="I3758" s="81"/>
      <c r="K3758" s="82"/>
      <c r="L3758" s="123"/>
      <c r="M3758" s="3"/>
      <c r="N3758" s="3"/>
      <c r="O3758" s="3"/>
      <c r="P3758" s="125"/>
      <c r="Q3758" s="125"/>
      <c r="R3758" s="127"/>
      <c r="S3758" s="123"/>
      <c r="T3758" s="3"/>
      <c r="W3758" s="86"/>
      <c r="Y3758" s="75"/>
    </row>
    <row r="3759" spans="1:25" x14ac:dyDescent="0.25">
      <c r="A3759" s="75"/>
      <c r="C3759" s="81"/>
      <c r="D3759" s="81"/>
      <c r="I3759" s="81"/>
      <c r="K3759" s="82"/>
      <c r="L3759" s="123"/>
      <c r="M3759" s="3"/>
      <c r="N3759" s="3"/>
      <c r="O3759" s="3"/>
      <c r="P3759" s="125"/>
      <c r="Q3759" s="125"/>
      <c r="R3759" s="127"/>
      <c r="S3759" s="123"/>
      <c r="T3759" s="3"/>
      <c r="W3759" s="86"/>
      <c r="Y3759" s="75"/>
    </row>
    <row r="3760" spans="1:25" x14ac:dyDescent="0.25">
      <c r="A3760" s="75"/>
      <c r="C3760" s="81"/>
      <c r="D3760" s="81"/>
      <c r="I3760" s="81"/>
      <c r="K3760" s="82"/>
      <c r="L3760" s="123"/>
      <c r="M3760" s="3"/>
      <c r="N3760" s="3"/>
      <c r="O3760" s="3"/>
      <c r="P3760" s="125"/>
      <c r="Q3760" s="125"/>
      <c r="R3760" s="127"/>
      <c r="S3760" s="123"/>
      <c r="T3760" s="3"/>
      <c r="W3760" s="86"/>
      <c r="Y3760" s="75"/>
    </row>
    <row r="3761" spans="1:25" x14ac:dyDescent="0.25">
      <c r="A3761" s="75"/>
      <c r="C3761" s="81"/>
      <c r="D3761" s="81"/>
      <c r="I3761" s="81"/>
      <c r="K3761" s="82"/>
      <c r="L3761" s="123"/>
      <c r="M3761" s="3"/>
      <c r="N3761" s="3"/>
      <c r="O3761" s="3"/>
      <c r="P3761" s="125"/>
      <c r="Q3761" s="125"/>
      <c r="R3761" s="127"/>
      <c r="S3761" s="123"/>
      <c r="T3761" s="3"/>
      <c r="W3761" s="86"/>
      <c r="Y3761" s="75"/>
    </row>
    <row r="3762" spans="1:25" x14ac:dyDescent="0.25">
      <c r="A3762" s="75"/>
      <c r="C3762" s="81"/>
      <c r="D3762" s="81"/>
      <c r="I3762" s="81"/>
      <c r="K3762" s="82"/>
      <c r="L3762" s="123"/>
      <c r="M3762" s="3"/>
      <c r="N3762" s="3"/>
      <c r="O3762" s="3"/>
      <c r="P3762" s="125"/>
      <c r="Q3762" s="125"/>
      <c r="R3762" s="127"/>
      <c r="S3762" s="123"/>
      <c r="T3762" s="3"/>
      <c r="W3762" s="86"/>
      <c r="Y3762" s="75"/>
    </row>
    <row r="3763" spans="1:25" x14ac:dyDescent="0.25">
      <c r="A3763" s="75"/>
      <c r="C3763" s="81"/>
      <c r="D3763" s="81"/>
      <c r="I3763" s="81"/>
      <c r="K3763" s="82"/>
      <c r="L3763" s="123"/>
      <c r="M3763" s="3"/>
      <c r="N3763" s="3"/>
      <c r="O3763" s="3"/>
      <c r="P3763" s="125"/>
      <c r="Q3763" s="125"/>
      <c r="R3763" s="127"/>
      <c r="S3763" s="123"/>
      <c r="T3763" s="3"/>
      <c r="W3763" s="86"/>
      <c r="Y3763" s="75"/>
    </row>
    <row r="3764" spans="1:25" x14ac:dyDescent="0.25">
      <c r="A3764" s="75"/>
      <c r="C3764" s="81"/>
      <c r="D3764" s="81"/>
      <c r="I3764" s="81"/>
      <c r="K3764" s="82"/>
      <c r="L3764" s="123"/>
      <c r="M3764" s="3"/>
      <c r="N3764" s="3"/>
      <c r="O3764" s="3"/>
      <c r="P3764" s="125"/>
      <c r="Q3764" s="125"/>
      <c r="R3764" s="127"/>
      <c r="S3764" s="123"/>
      <c r="T3764" s="3"/>
      <c r="W3764" s="86"/>
      <c r="Y3764" s="75"/>
    </row>
    <row r="3765" spans="1:25" x14ac:dyDescent="0.25">
      <c r="A3765" s="75"/>
      <c r="C3765" s="81"/>
      <c r="D3765" s="81"/>
      <c r="I3765" s="81"/>
      <c r="K3765" s="82"/>
      <c r="L3765" s="123"/>
      <c r="M3765" s="3"/>
      <c r="N3765" s="3"/>
      <c r="O3765" s="3"/>
      <c r="P3765" s="125"/>
      <c r="Q3765" s="125"/>
      <c r="R3765" s="127"/>
      <c r="S3765" s="123"/>
      <c r="T3765" s="3"/>
      <c r="W3765" s="86"/>
      <c r="Y3765" s="75"/>
    </row>
    <row r="3766" spans="1:25" x14ac:dyDescent="0.25">
      <c r="A3766" s="75"/>
      <c r="C3766" s="81"/>
      <c r="D3766" s="81"/>
      <c r="I3766" s="81"/>
      <c r="K3766" s="82"/>
      <c r="L3766" s="123"/>
      <c r="M3766" s="3"/>
      <c r="N3766" s="3"/>
      <c r="O3766" s="3"/>
      <c r="P3766" s="125"/>
      <c r="Q3766" s="125"/>
      <c r="R3766" s="127"/>
      <c r="S3766" s="123"/>
      <c r="T3766" s="3"/>
      <c r="W3766" s="86"/>
      <c r="Y3766" s="75"/>
    </row>
    <row r="3767" spans="1:25" x14ac:dyDescent="0.25">
      <c r="A3767" s="75"/>
      <c r="C3767" s="81"/>
      <c r="D3767" s="81"/>
      <c r="I3767" s="81"/>
      <c r="K3767" s="82"/>
      <c r="L3767" s="123"/>
      <c r="M3767" s="3"/>
      <c r="N3767" s="3"/>
      <c r="O3767" s="3"/>
      <c r="P3767" s="125"/>
      <c r="Q3767" s="125"/>
      <c r="R3767" s="127"/>
      <c r="S3767" s="123"/>
      <c r="T3767" s="3"/>
      <c r="W3767" s="86"/>
      <c r="Y3767" s="75"/>
    </row>
    <row r="3768" spans="1:25" x14ac:dyDescent="0.25">
      <c r="A3768" s="75"/>
      <c r="C3768" s="81"/>
      <c r="D3768" s="81"/>
      <c r="I3768" s="81"/>
      <c r="K3768" s="82"/>
      <c r="L3768" s="123"/>
      <c r="M3768" s="3"/>
      <c r="N3768" s="3"/>
      <c r="O3768" s="3"/>
      <c r="P3768" s="125"/>
      <c r="Q3768" s="125"/>
      <c r="R3768" s="127"/>
      <c r="S3768" s="123"/>
      <c r="T3768" s="3"/>
      <c r="W3768" s="86"/>
      <c r="Y3768" s="75"/>
    </row>
    <row r="3769" spans="1:25" x14ac:dyDescent="0.25">
      <c r="A3769" s="75"/>
      <c r="C3769" s="81"/>
      <c r="D3769" s="81"/>
      <c r="I3769" s="81"/>
      <c r="K3769" s="82"/>
      <c r="L3769" s="123"/>
      <c r="M3769" s="3"/>
      <c r="N3769" s="3"/>
      <c r="O3769" s="3"/>
      <c r="P3769" s="125"/>
      <c r="Q3769" s="125"/>
      <c r="R3769" s="127"/>
      <c r="S3769" s="123"/>
      <c r="T3769" s="3"/>
      <c r="W3769" s="86"/>
      <c r="Y3769" s="75"/>
    </row>
    <row r="3770" spans="1:25" x14ac:dyDescent="0.25">
      <c r="A3770" s="75"/>
      <c r="C3770" s="81"/>
      <c r="D3770" s="81"/>
      <c r="I3770" s="81"/>
      <c r="K3770" s="82"/>
      <c r="L3770" s="123"/>
      <c r="M3770" s="3"/>
      <c r="N3770" s="3"/>
      <c r="O3770" s="3"/>
      <c r="P3770" s="125"/>
      <c r="Q3770" s="125"/>
      <c r="R3770" s="127"/>
      <c r="S3770" s="123"/>
      <c r="T3770" s="3"/>
      <c r="W3770" s="86"/>
      <c r="Y3770" s="75"/>
    </row>
    <row r="3771" spans="1:25" x14ac:dyDescent="0.25">
      <c r="A3771" s="75"/>
      <c r="C3771" s="81"/>
      <c r="D3771" s="81"/>
      <c r="I3771" s="81"/>
      <c r="K3771" s="82"/>
      <c r="L3771" s="123"/>
      <c r="M3771" s="3"/>
      <c r="N3771" s="3"/>
      <c r="O3771" s="3"/>
      <c r="P3771" s="125"/>
      <c r="Q3771" s="125"/>
      <c r="R3771" s="127"/>
      <c r="S3771" s="123"/>
      <c r="T3771" s="3"/>
      <c r="W3771" s="86"/>
      <c r="Y3771" s="75"/>
    </row>
    <row r="3772" spans="1:25" x14ac:dyDescent="0.25">
      <c r="A3772" s="75"/>
      <c r="C3772" s="81"/>
      <c r="D3772" s="81"/>
      <c r="I3772" s="81"/>
      <c r="K3772" s="82"/>
      <c r="L3772" s="123"/>
      <c r="M3772" s="3"/>
      <c r="N3772" s="3"/>
      <c r="O3772" s="3"/>
      <c r="P3772" s="125"/>
      <c r="Q3772" s="125"/>
      <c r="R3772" s="127"/>
      <c r="S3772" s="123"/>
      <c r="T3772" s="3"/>
      <c r="W3772" s="86"/>
      <c r="Y3772" s="75"/>
    </row>
    <row r="3773" spans="1:25" x14ac:dyDescent="0.25">
      <c r="A3773" s="75"/>
      <c r="C3773" s="81"/>
      <c r="D3773" s="81"/>
      <c r="I3773" s="81"/>
      <c r="K3773" s="82"/>
      <c r="L3773" s="123"/>
      <c r="M3773" s="3"/>
      <c r="N3773" s="3"/>
      <c r="O3773" s="3"/>
      <c r="P3773" s="125"/>
      <c r="Q3773" s="125"/>
      <c r="R3773" s="127"/>
      <c r="S3773" s="123"/>
      <c r="T3773" s="3"/>
      <c r="W3773" s="86"/>
      <c r="Y3773" s="75"/>
    </row>
    <row r="3774" spans="1:25" x14ac:dyDescent="0.25">
      <c r="A3774" s="75"/>
      <c r="C3774" s="81"/>
      <c r="D3774" s="81"/>
      <c r="I3774" s="81"/>
      <c r="K3774" s="82"/>
      <c r="L3774" s="123"/>
      <c r="M3774" s="3"/>
      <c r="N3774" s="3"/>
      <c r="O3774" s="3"/>
      <c r="P3774" s="125"/>
      <c r="Q3774" s="125"/>
      <c r="R3774" s="127"/>
      <c r="S3774" s="123"/>
      <c r="T3774" s="3"/>
      <c r="W3774" s="86"/>
      <c r="Y3774" s="75"/>
    </row>
    <row r="3775" spans="1:25" x14ac:dyDescent="0.25">
      <c r="A3775" s="75"/>
      <c r="C3775" s="81"/>
      <c r="D3775" s="81"/>
      <c r="I3775" s="81"/>
      <c r="K3775" s="82"/>
      <c r="L3775" s="123"/>
      <c r="M3775" s="3"/>
      <c r="N3775" s="3"/>
      <c r="O3775" s="3"/>
      <c r="P3775" s="125"/>
      <c r="Q3775" s="125"/>
      <c r="R3775" s="127"/>
      <c r="S3775" s="123"/>
      <c r="T3775" s="3"/>
      <c r="W3775" s="86"/>
      <c r="Y3775" s="75"/>
    </row>
    <row r="3776" spans="1:25" x14ac:dyDescent="0.25">
      <c r="A3776" s="75"/>
      <c r="C3776" s="81"/>
      <c r="D3776" s="81"/>
      <c r="I3776" s="81"/>
      <c r="K3776" s="82"/>
      <c r="L3776" s="123"/>
      <c r="M3776" s="3"/>
      <c r="N3776" s="3"/>
      <c r="O3776" s="3"/>
      <c r="P3776" s="125"/>
      <c r="Q3776" s="125"/>
      <c r="R3776" s="127"/>
      <c r="S3776" s="123"/>
      <c r="T3776" s="3"/>
      <c r="W3776" s="86"/>
      <c r="Y3776" s="75"/>
    </row>
    <row r="3777" spans="1:25" x14ac:dyDescent="0.25">
      <c r="A3777" s="75"/>
      <c r="C3777" s="81"/>
      <c r="D3777" s="81"/>
      <c r="I3777" s="81"/>
      <c r="K3777" s="82"/>
      <c r="L3777" s="123"/>
      <c r="M3777" s="3"/>
      <c r="N3777" s="3"/>
      <c r="O3777" s="3"/>
      <c r="P3777" s="125"/>
      <c r="Q3777" s="125"/>
      <c r="R3777" s="127"/>
      <c r="S3777" s="123"/>
      <c r="T3777" s="3"/>
      <c r="W3777" s="86"/>
      <c r="Y3777" s="75"/>
    </row>
    <row r="3778" spans="1:25" x14ac:dyDescent="0.25">
      <c r="A3778" s="75"/>
      <c r="C3778" s="81"/>
      <c r="D3778" s="81"/>
      <c r="I3778" s="81"/>
      <c r="K3778" s="82"/>
      <c r="L3778" s="123"/>
      <c r="M3778" s="3"/>
      <c r="N3778" s="3"/>
      <c r="O3778" s="3"/>
      <c r="P3778" s="125"/>
      <c r="Q3778" s="125"/>
      <c r="R3778" s="127"/>
      <c r="S3778" s="123"/>
      <c r="T3778" s="3"/>
      <c r="W3778" s="86"/>
      <c r="Y3778" s="75"/>
    </row>
    <row r="3779" spans="1:25" x14ac:dyDescent="0.25">
      <c r="A3779" s="75"/>
      <c r="C3779" s="81"/>
      <c r="D3779" s="81"/>
      <c r="I3779" s="81"/>
      <c r="K3779" s="82"/>
      <c r="L3779" s="123"/>
      <c r="M3779" s="3"/>
      <c r="N3779" s="3"/>
      <c r="O3779" s="3"/>
      <c r="P3779" s="125"/>
      <c r="Q3779" s="125"/>
      <c r="R3779" s="127"/>
      <c r="S3779" s="123"/>
      <c r="T3779" s="3"/>
      <c r="W3779" s="86"/>
      <c r="Y3779" s="75"/>
    </row>
    <row r="3780" spans="1:25" x14ac:dyDescent="0.25">
      <c r="A3780" s="75"/>
      <c r="C3780" s="81"/>
      <c r="D3780" s="81"/>
      <c r="I3780" s="81"/>
      <c r="K3780" s="82"/>
      <c r="L3780" s="123"/>
      <c r="M3780" s="3"/>
      <c r="N3780" s="3"/>
      <c r="O3780" s="3"/>
      <c r="P3780" s="125"/>
      <c r="Q3780" s="125"/>
      <c r="R3780" s="127"/>
      <c r="S3780" s="123"/>
      <c r="T3780" s="3"/>
      <c r="W3780" s="86"/>
      <c r="Y3780" s="75"/>
    </row>
    <row r="3781" spans="1:25" x14ac:dyDescent="0.25">
      <c r="A3781" s="75"/>
      <c r="C3781" s="81"/>
      <c r="D3781" s="81"/>
      <c r="I3781" s="81"/>
      <c r="K3781" s="82"/>
      <c r="L3781" s="123"/>
      <c r="M3781" s="3"/>
      <c r="N3781" s="3"/>
      <c r="O3781" s="3"/>
      <c r="P3781" s="125"/>
      <c r="Q3781" s="125"/>
      <c r="R3781" s="127"/>
      <c r="S3781" s="123"/>
      <c r="T3781" s="3"/>
      <c r="W3781" s="86"/>
      <c r="Y3781" s="75"/>
    </row>
    <row r="3782" spans="1:25" x14ac:dyDescent="0.25">
      <c r="A3782" s="75"/>
      <c r="C3782" s="81"/>
      <c r="D3782" s="81"/>
      <c r="I3782" s="81"/>
      <c r="K3782" s="82"/>
      <c r="L3782" s="123"/>
      <c r="M3782" s="3"/>
      <c r="N3782" s="3"/>
      <c r="O3782" s="3"/>
      <c r="P3782" s="125"/>
      <c r="Q3782" s="125"/>
      <c r="R3782" s="127"/>
      <c r="S3782" s="123"/>
      <c r="T3782" s="3"/>
      <c r="W3782" s="86"/>
      <c r="Y3782" s="75"/>
    </row>
    <row r="3783" spans="1:25" x14ac:dyDescent="0.25">
      <c r="A3783" s="75"/>
      <c r="C3783" s="81"/>
      <c r="D3783" s="81"/>
      <c r="I3783" s="81"/>
      <c r="K3783" s="82"/>
      <c r="L3783" s="123"/>
      <c r="M3783" s="3"/>
      <c r="N3783" s="3"/>
      <c r="O3783" s="3"/>
      <c r="P3783" s="125"/>
      <c r="Q3783" s="125"/>
      <c r="R3783" s="127"/>
      <c r="S3783" s="123"/>
      <c r="T3783" s="3"/>
      <c r="W3783" s="86"/>
      <c r="Y3783" s="75"/>
    </row>
    <row r="3784" spans="1:25" x14ac:dyDescent="0.25">
      <c r="A3784" s="75"/>
      <c r="C3784" s="81"/>
      <c r="D3784" s="81"/>
      <c r="I3784" s="81"/>
      <c r="K3784" s="82"/>
      <c r="L3784" s="123"/>
      <c r="M3784" s="3"/>
      <c r="N3784" s="3"/>
      <c r="O3784" s="3"/>
      <c r="P3784" s="125"/>
      <c r="Q3784" s="125"/>
      <c r="R3784" s="127"/>
      <c r="S3784" s="123"/>
      <c r="T3784" s="3"/>
      <c r="W3784" s="86"/>
      <c r="Y3784" s="75"/>
    </row>
    <row r="3785" spans="1:25" x14ac:dyDescent="0.25">
      <c r="A3785" s="75"/>
      <c r="C3785" s="81"/>
      <c r="D3785" s="81"/>
      <c r="I3785" s="81"/>
      <c r="K3785" s="82"/>
      <c r="L3785" s="123"/>
      <c r="M3785" s="3"/>
      <c r="N3785" s="3"/>
      <c r="O3785" s="3"/>
      <c r="P3785" s="125"/>
      <c r="Q3785" s="125"/>
      <c r="R3785" s="127"/>
      <c r="S3785" s="123"/>
      <c r="T3785" s="3"/>
      <c r="W3785" s="86"/>
      <c r="Y3785" s="75"/>
    </row>
    <row r="3786" spans="1:25" x14ac:dyDescent="0.25">
      <c r="A3786" s="75"/>
      <c r="C3786" s="81"/>
      <c r="D3786" s="81"/>
      <c r="I3786" s="81"/>
      <c r="K3786" s="82"/>
      <c r="L3786" s="123"/>
      <c r="M3786" s="3"/>
      <c r="N3786" s="3"/>
      <c r="O3786" s="3"/>
      <c r="P3786" s="125"/>
      <c r="Q3786" s="125"/>
      <c r="R3786" s="127"/>
      <c r="S3786" s="123"/>
      <c r="T3786" s="3"/>
      <c r="W3786" s="86"/>
      <c r="Y3786" s="75"/>
    </row>
    <row r="3787" spans="1:25" x14ac:dyDescent="0.25">
      <c r="A3787" s="75"/>
      <c r="C3787" s="81"/>
      <c r="D3787" s="81"/>
      <c r="I3787" s="81"/>
      <c r="K3787" s="82"/>
      <c r="L3787" s="123"/>
      <c r="M3787" s="3"/>
      <c r="N3787" s="3"/>
      <c r="O3787" s="3"/>
      <c r="P3787" s="125"/>
      <c r="Q3787" s="125"/>
      <c r="R3787" s="127"/>
      <c r="S3787" s="123"/>
      <c r="T3787" s="3"/>
      <c r="W3787" s="86"/>
      <c r="Y3787" s="75"/>
    </row>
    <row r="3788" spans="1:25" x14ac:dyDescent="0.25">
      <c r="A3788" s="75"/>
      <c r="C3788" s="81"/>
      <c r="D3788" s="81"/>
      <c r="I3788" s="81"/>
      <c r="K3788" s="82"/>
      <c r="L3788" s="123"/>
      <c r="M3788" s="3"/>
      <c r="N3788" s="3"/>
      <c r="O3788" s="3"/>
      <c r="P3788" s="125"/>
      <c r="Q3788" s="125"/>
      <c r="R3788" s="127"/>
      <c r="S3788" s="123"/>
      <c r="T3788" s="3"/>
      <c r="W3788" s="86"/>
      <c r="Y3788" s="75"/>
    </row>
    <row r="3789" spans="1:25" x14ac:dyDescent="0.25">
      <c r="A3789" s="75"/>
      <c r="C3789" s="81"/>
      <c r="D3789" s="81"/>
      <c r="I3789" s="81"/>
      <c r="K3789" s="82"/>
      <c r="L3789" s="123"/>
      <c r="M3789" s="3"/>
      <c r="N3789" s="3"/>
      <c r="O3789" s="3"/>
      <c r="P3789" s="125"/>
      <c r="Q3789" s="125"/>
      <c r="R3789" s="127"/>
      <c r="S3789" s="123"/>
      <c r="T3789" s="3"/>
      <c r="W3789" s="86"/>
      <c r="Y3789" s="75"/>
    </row>
    <row r="3790" spans="1:25" x14ac:dyDescent="0.25">
      <c r="A3790" s="75"/>
      <c r="C3790" s="81"/>
      <c r="D3790" s="81"/>
      <c r="I3790" s="81"/>
      <c r="K3790" s="82"/>
      <c r="L3790" s="123"/>
      <c r="M3790" s="3"/>
      <c r="N3790" s="3"/>
      <c r="O3790" s="3"/>
      <c r="P3790" s="125"/>
      <c r="Q3790" s="125"/>
      <c r="R3790" s="127"/>
      <c r="S3790" s="123"/>
      <c r="T3790" s="3"/>
      <c r="W3790" s="86"/>
      <c r="Y3790" s="75"/>
    </row>
    <row r="3791" spans="1:25" x14ac:dyDescent="0.25">
      <c r="A3791" s="75"/>
      <c r="C3791" s="81"/>
      <c r="D3791" s="81"/>
      <c r="I3791" s="81"/>
      <c r="K3791" s="82"/>
      <c r="L3791" s="123"/>
      <c r="M3791" s="3"/>
      <c r="N3791" s="3"/>
      <c r="O3791" s="3"/>
      <c r="P3791" s="125"/>
      <c r="Q3791" s="125"/>
      <c r="R3791" s="127"/>
      <c r="S3791" s="123"/>
      <c r="T3791" s="3"/>
      <c r="W3791" s="86"/>
      <c r="Y3791" s="75"/>
    </row>
    <row r="3792" spans="1:25" x14ac:dyDescent="0.25">
      <c r="A3792" s="75"/>
      <c r="C3792" s="81"/>
      <c r="D3792" s="81"/>
      <c r="I3792" s="81"/>
      <c r="K3792" s="82"/>
      <c r="L3792" s="123"/>
      <c r="M3792" s="3"/>
      <c r="N3792" s="3"/>
      <c r="O3792" s="3"/>
      <c r="P3792" s="125"/>
      <c r="Q3792" s="125"/>
      <c r="R3792" s="127"/>
      <c r="S3792" s="123"/>
      <c r="T3792" s="3"/>
      <c r="W3792" s="86"/>
      <c r="Y3792" s="75"/>
    </row>
    <row r="3793" spans="1:25" x14ac:dyDescent="0.25">
      <c r="A3793" s="75"/>
      <c r="C3793" s="81"/>
      <c r="D3793" s="81"/>
      <c r="I3793" s="81"/>
      <c r="K3793" s="82"/>
      <c r="L3793" s="123"/>
      <c r="M3793" s="3"/>
      <c r="N3793" s="3"/>
      <c r="O3793" s="3"/>
      <c r="P3793" s="125"/>
      <c r="Q3793" s="125"/>
      <c r="R3793" s="127"/>
      <c r="S3793" s="123"/>
      <c r="T3793" s="3"/>
      <c r="W3793" s="86"/>
      <c r="Y3793" s="75"/>
    </row>
    <row r="3794" spans="1:25" x14ac:dyDescent="0.25">
      <c r="A3794" s="75"/>
      <c r="C3794" s="81"/>
      <c r="D3794" s="81"/>
      <c r="I3794" s="81"/>
      <c r="K3794" s="82"/>
      <c r="L3794" s="123"/>
      <c r="M3794" s="3"/>
      <c r="N3794" s="3"/>
      <c r="O3794" s="3"/>
      <c r="P3794" s="125"/>
      <c r="Q3794" s="125"/>
      <c r="R3794" s="127"/>
      <c r="S3794" s="123"/>
      <c r="T3794" s="3"/>
      <c r="W3794" s="86"/>
      <c r="Y3794" s="75"/>
    </row>
    <row r="3795" spans="1:25" x14ac:dyDescent="0.25">
      <c r="A3795" s="75"/>
      <c r="C3795" s="81"/>
      <c r="D3795" s="81"/>
      <c r="I3795" s="81"/>
      <c r="K3795" s="82"/>
      <c r="L3795" s="123"/>
      <c r="M3795" s="3"/>
      <c r="N3795" s="3"/>
      <c r="O3795" s="3"/>
      <c r="P3795" s="125"/>
      <c r="Q3795" s="125"/>
      <c r="R3795" s="127"/>
      <c r="S3795" s="123"/>
      <c r="T3795" s="3"/>
      <c r="W3795" s="86"/>
      <c r="Y3795" s="75"/>
    </row>
    <row r="3796" spans="1:25" x14ac:dyDescent="0.25">
      <c r="A3796" s="75"/>
      <c r="C3796" s="81"/>
      <c r="D3796" s="81"/>
      <c r="I3796" s="81"/>
      <c r="K3796" s="82"/>
      <c r="L3796" s="123"/>
      <c r="M3796" s="3"/>
      <c r="N3796" s="3"/>
      <c r="O3796" s="3"/>
      <c r="P3796" s="125"/>
      <c r="Q3796" s="125"/>
      <c r="R3796" s="127"/>
      <c r="S3796" s="123"/>
      <c r="T3796" s="3"/>
      <c r="W3796" s="86"/>
      <c r="Y3796" s="75"/>
    </row>
    <row r="3797" spans="1:25" x14ac:dyDescent="0.25">
      <c r="A3797" s="75"/>
      <c r="C3797" s="81"/>
      <c r="D3797" s="81"/>
      <c r="I3797" s="81"/>
      <c r="K3797" s="82"/>
      <c r="L3797" s="123"/>
      <c r="M3797" s="3"/>
      <c r="N3797" s="3"/>
      <c r="O3797" s="3"/>
      <c r="P3797" s="125"/>
      <c r="Q3797" s="125"/>
      <c r="R3797" s="127"/>
      <c r="S3797" s="123"/>
      <c r="T3797" s="3"/>
      <c r="W3797" s="86"/>
      <c r="Y3797" s="75"/>
    </row>
    <row r="3798" spans="1:25" x14ac:dyDescent="0.25">
      <c r="A3798" s="75"/>
      <c r="C3798" s="81"/>
      <c r="D3798" s="81"/>
      <c r="I3798" s="81"/>
      <c r="K3798" s="82"/>
      <c r="L3798" s="123"/>
      <c r="M3798" s="3"/>
      <c r="N3798" s="3"/>
      <c r="O3798" s="3"/>
      <c r="P3798" s="125"/>
      <c r="Q3798" s="125"/>
      <c r="R3798" s="127"/>
      <c r="S3798" s="123"/>
      <c r="T3798" s="3"/>
      <c r="W3798" s="86"/>
      <c r="Y3798" s="75"/>
    </row>
    <row r="3799" spans="1:25" x14ac:dyDescent="0.25">
      <c r="A3799" s="75"/>
      <c r="C3799" s="81"/>
      <c r="D3799" s="81"/>
      <c r="I3799" s="81"/>
      <c r="K3799" s="82"/>
      <c r="L3799" s="123"/>
      <c r="M3799" s="3"/>
      <c r="N3799" s="3"/>
      <c r="O3799" s="3"/>
      <c r="P3799" s="125"/>
      <c r="Q3799" s="125"/>
      <c r="R3799" s="127"/>
      <c r="S3799" s="123"/>
      <c r="T3799" s="3"/>
      <c r="W3799" s="86"/>
      <c r="Y3799" s="75"/>
    </row>
    <row r="3800" spans="1:25" x14ac:dyDescent="0.25">
      <c r="A3800" s="75"/>
      <c r="C3800" s="81"/>
      <c r="D3800" s="81"/>
      <c r="I3800" s="81"/>
      <c r="K3800" s="82"/>
      <c r="L3800" s="123"/>
      <c r="M3800" s="3"/>
      <c r="N3800" s="3"/>
      <c r="O3800" s="3"/>
      <c r="P3800" s="125"/>
      <c r="Q3800" s="125"/>
      <c r="R3800" s="127"/>
      <c r="S3800" s="123"/>
      <c r="T3800" s="3"/>
      <c r="W3800" s="86"/>
      <c r="Y3800" s="75"/>
    </row>
    <row r="3801" spans="1:25" x14ac:dyDescent="0.25">
      <c r="A3801" s="75"/>
      <c r="C3801" s="81"/>
      <c r="D3801" s="81"/>
      <c r="I3801" s="81"/>
      <c r="K3801" s="82"/>
      <c r="L3801" s="123"/>
      <c r="M3801" s="3"/>
      <c r="N3801" s="3"/>
      <c r="O3801" s="3"/>
      <c r="P3801" s="125"/>
      <c r="Q3801" s="125"/>
      <c r="R3801" s="127"/>
      <c r="S3801" s="123"/>
      <c r="T3801" s="3"/>
      <c r="W3801" s="86"/>
      <c r="Y3801" s="75"/>
    </row>
    <row r="3802" spans="1:25" x14ac:dyDescent="0.25">
      <c r="A3802" s="75"/>
      <c r="C3802" s="81"/>
      <c r="D3802" s="81"/>
      <c r="I3802" s="81"/>
      <c r="K3802" s="82"/>
      <c r="L3802" s="123"/>
      <c r="M3802" s="3"/>
      <c r="N3802" s="3"/>
      <c r="O3802" s="3"/>
      <c r="P3802" s="125"/>
      <c r="Q3802" s="125"/>
      <c r="R3802" s="127"/>
      <c r="S3802" s="123"/>
      <c r="T3802" s="3"/>
      <c r="W3802" s="86"/>
      <c r="Y3802" s="75"/>
    </row>
    <row r="3803" spans="1:25" x14ac:dyDescent="0.25">
      <c r="A3803" s="75"/>
      <c r="C3803" s="81"/>
      <c r="D3803" s="81"/>
      <c r="I3803" s="81"/>
      <c r="K3803" s="82"/>
      <c r="L3803" s="123"/>
      <c r="M3803" s="3"/>
      <c r="N3803" s="3"/>
      <c r="O3803" s="3"/>
      <c r="P3803" s="125"/>
      <c r="Q3803" s="125"/>
      <c r="R3803" s="127"/>
      <c r="S3803" s="123"/>
      <c r="T3803" s="3"/>
      <c r="W3803" s="86"/>
      <c r="Y3803" s="75"/>
    </row>
    <row r="3804" spans="1:25" x14ac:dyDescent="0.25">
      <c r="A3804" s="75"/>
      <c r="C3804" s="81"/>
      <c r="D3804" s="81"/>
      <c r="I3804" s="81"/>
      <c r="K3804" s="82"/>
      <c r="L3804" s="123"/>
      <c r="M3804" s="3"/>
      <c r="N3804" s="3"/>
      <c r="O3804" s="3"/>
      <c r="P3804" s="125"/>
      <c r="Q3804" s="125"/>
      <c r="R3804" s="127"/>
      <c r="S3804" s="123"/>
      <c r="T3804" s="3"/>
      <c r="W3804" s="86"/>
      <c r="Y3804" s="75"/>
    </row>
    <row r="3805" spans="1:25" x14ac:dyDescent="0.25">
      <c r="A3805" s="75"/>
      <c r="C3805" s="81"/>
      <c r="D3805" s="81"/>
      <c r="I3805" s="81"/>
      <c r="K3805" s="82"/>
      <c r="L3805" s="123"/>
      <c r="M3805" s="3"/>
      <c r="N3805" s="3"/>
      <c r="O3805" s="3"/>
      <c r="P3805" s="125"/>
      <c r="Q3805" s="125"/>
      <c r="R3805" s="127"/>
      <c r="S3805" s="123"/>
      <c r="T3805" s="3"/>
      <c r="W3805" s="86"/>
      <c r="Y3805" s="75"/>
    </row>
    <row r="3806" spans="1:25" x14ac:dyDescent="0.25">
      <c r="A3806" s="75"/>
      <c r="C3806" s="81"/>
      <c r="D3806" s="81"/>
      <c r="I3806" s="81"/>
      <c r="K3806" s="82"/>
      <c r="L3806" s="123"/>
      <c r="M3806" s="3"/>
      <c r="N3806" s="3"/>
      <c r="O3806" s="3"/>
      <c r="P3806" s="125"/>
      <c r="Q3806" s="125"/>
      <c r="R3806" s="127"/>
      <c r="S3806" s="123"/>
      <c r="T3806" s="3"/>
      <c r="W3806" s="86"/>
      <c r="Y3806" s="75"/>
    </row>
    <row r="3807" spans="1:25" x14ac:dyDescent="0.25">
      <c r="A3807" s="75"/>
      <c r="C3807" s="81"/>
      <c r="D3807" s="81"/>
      <c r="I3807" s="81"/>
      <c r="K3807" s="82"/>
      <c r="L3807" s="123"/>
      <c r="M3807" s="3"/>
      <c r="N3807" s="3"/>
      <c r="O3807" s="3"/>
      <c r="P3807" s="125"/>
      <c r="Q3807" s="125"/>
      <c r="R3807" s="127"/>
      <c r="S3807" s="123"/>
      <c r="T3807" s="3"/>
      <c r="W3807" s="86"/>
      <c r="Y3807" s="75"/>
    </row>
    <row r="3808" spans="1:25" x14ac:dyDescent="0.25">
      <c r="A3808" s="75"/>
      <c r="C3808" s="81"/>
      <c r="D3808" s="81"/>
      <c r="I3808" s="81"/>
      <c r="K3808" s="82"/>
      <c r="L3808" s="123"/>
      <c r="M3808" s="3"/>
      <c r="N3808" s="3"/>
      <c r="O3808" s="3"/>
      <c r="P3808" s="125"/>
      <c r="Q3808" s="125"/>
      <c r="R3808" s="127"/>
      <c r="S3808" s="123"/>
      <c r="T3808" s="3"/>
      <c r="W3808" s="86"/>
      <c r="Y3808" s="75"/>
    </row>
    <row r="3809" spans="1:25" x14ac:dyDescent="0.25">
      <c r="A3809" s="75"/>
      <c r="C3809" s="81"/>
      <c r="D3809" s="81"/>
      <c r="I3809" s="81"/>
      <c r="K3809" s="82"/>
      <c r="L3809" s="123"/>
      <c r="M3809" s="3"/>
      <c r="N3809" s="3"/>
      <c r="O3809" s="3"/>
      <c r="P3809" s="125"/>
      <c r="Q3809" s="125"/>
      <c r="R3809" s="127"/>
      <c r="S3809" s="123"/>
      <c r="T3809" s="3"/>
      <c r="W3809" s="86"/>
      <c r="Y3809" s="75"/>
    </row>
    <row r="3810" spans="1:25" x14ac:dyDescent="0.25">
      <c r="A3810" s="75"/>
      <c r="C3810" s="81"/>
      <c r="D3810" s="81"/>
      <c r="I3810" s="81"/>
      <c r="K3810" s="82"/>
      <c r="L3810" s="123"/>
      <c r="M3810" s="3"/>
      <c r="N3810" s="3"/>
      <c r="O3810" s="3"/>
      <c r="P3810" s="125"/>
      <c r="Q3810" s="125"/>
      <c r="R3810" s="127"/>
      <c r="S3810" s="123"/>
      <c r="T3810" s="3"/>
      <c r="W3810" s="86"/>
      <c r="Y3810" s="75"/>
    </row>
    <row r="3811" spans="1:25" x14ac:dyDescent="0.25">
      <c r="A3811" s="75"/>
      <c r="C3811" s="81"/>
      <c r="D3811" s="81"/>
      <c r="I3811" s="81"/>
      <c r="K3811" s="82"/>
      <c r="L3811" s="123"/>
      <c r="M3811" s="3"/>
      <c r="N3811" s="3"/>
      <c r="O3811" s="3"/>
      <c r="P3811" s="125"/>
      <c r="Q3811" s="125"/>
      <c r="R3811" s="127"/>
      <c r="S3811" s="123"/>
      <c r="T3811" s="3"/>
      <c r="W3811" s="86"/>
      <c r="Y3811" s="75"/>
    </row>
    <row r="3812" spans="1:25" x14ac:dyDescent="0.25">
      <c r="A3812" s="75"/>
      <c r="C3812" s="81"/>
      <c r="D3812" s="81"/>
      <c r="I3812" s="81"/>
      <c r="K3812" s="82"/>
      <c r="L3812" s="123"/>
      <c r="M3812" s="3"/>
      <c r="N3812" s="3"/>
      <c r="O3812" s="3"/>
      <c r="P3812" s="125"/>
      <c r="Q3812" s="125"/>
      <c r="R3812" s="127"/>
      <c r="S3812" s="123"/>
      <c r="T3812" s="3"/>
      <c r="W3812" s="86"/>
      <c r="Y3812" s="75"/>
    </row>
    <row r="3813" spans="1:25" x14ac:dyDescent="0.25">
      <c r="A3813" s="75"/>
      <c r="C3813" s="81"/>
      <c r="D3813" s="81"/>
      <c r="I3813" s="81"/>
      <c r="K3813" s="82"/>
      <c r="L3813" s="123"/>
      <c r="M3813" s="3"/>
      <c r="N3813" s="3"/>
      <c r="O3813" s="3"/>
      <c r="P3813" s="125"/>
      <c r="Q3813" s="125"/>
      <c r="R3813" s="127"/>
      <c r="S3813" s="123"/>
      <c r="T3813" s="3"/>
      <c r="W3813" s="86"/>
      <c r="Y3813" s="75"/>
    </row>
    <row r="3814" spans="1:25" x14ac:dyDescent="0.25">
      <c r="A3814" s="75"/>
      <c r="C3814" s="81"/>
      <c r="D3814" s="81"/>
      <c r="I3814" s="81"/>
      <c r="K3814" s="82"/>
      <c r="L3814" s="123"/>
      <c r="M3814" s="3"/>
      <c r="N3814" s="3"/>
      <c r="O3814" s="3"/>
      <c r="P3814" s="125"/>
      <c r="Q3814" s="125"/>
      <c r="R3814" s="127"/>
      <c r="S3814" s="123"/>
      <c r="T3814" s="3"/>
      <c r="W3814" s="86"/>
      <c r="Y3814" s="75"/>
    </row>
    <row r="3815" spans="1:25" x14ac:dyDescent="0.25">
      <c r="A3815" s="75"/>
      <c r="C3815" s="81"/>
      <c r="D3815" s="81"/>
      <c r="I3815" s="81"/>
      <c r="K3815" s="82"/>
      <c r="L3815" s="123"/>
      <c r="M3815" s="3"/>
      <c r="N3815" s="3"/>
      <c r="O3815" s="3"/>
      <c r="P3815" s="125"/>
      <c r="Q3815" s="125"/>
      <c r="R3815" s="127"/>
      <c r="S3815" s="123"/>
      <c r="T3815" s="3"/>
      <c r="W3815" s="86"/>
      <c r="Y3815" s="75"/>
    </row>
    <row r="3816" spans="1:25" x14ac:dyDescent="0.25">
      <c r="A3816" s="75"/>
      <c r="C3816" s="81"/>
      <c r="D3816" s="81"/>
      <c r="I3816" s="81"/>
      <c r="K3816" s="82"/>
      <c r="L3816" s="123"/>
      <c r="M3816" s="3"/>
      <c r="N3816" s="3"/>
      <c r="O3816" s="3"/>
      <c r="P3816" s="125"/>
      <c r="Q3816" s="125"/>
      <c r="R3816" s="127"/>
      <c r="S3816" s="123"/>
      <c r="T3816" s="3"/>
      <c r="W3816" s="86"/>
      <c r="Y3816" s="75"/>
    </row>
    <row r="3817" spans="1:25" x14ac:dyDescent="0.25">
      <c r="A3817" s="75"/>
      <c r="C3817" s="81"/>
      <c r="D3817" s="81"/>
      <c r="I3817" s="81"/>
      <c r="K3817" s="82"/>
      <c r="L3817" s="123"/>
      <c r="M3817" s="3"/>
      <c r="N3817" s="3"/>
      <c r="O3817" s="3"/>
      <c r="P3817" s="125"/>
      <c r="Q3817" s="125"/>
      <c r="R3817" s="127"/>
      <c r="S3817" s="123"/>
      <c r="T3817" s="3"/>
      <c r="W3817" s="86"/>
      <c r="Y3817" s="75"/>
    </row>
    <row r="3818" spans="1:25" x14ac:dyDescent="0.25">
      <c r="A3818" s="75"/>
      <c r="C3818" s="81"/>
      <c r="D3818" s="81"/>
      <c r="I3818" s="81"/>
      <c r="K3818" s="82"/>
      <c r="L3818" s="123"/>
      <c r="M3818" s="3"/>
      <c r="N3818" s="3"/>
      <c r="O3818" s="3"/>
      <c r="P3818" s="125"/>
      <c r="Q3818" s="125"/>
      <c r="R3818" s="127"/>
      <c r="S3818" s="123"/>
      <c r="T3818" s="3"/>
      <c r="W3818" s="86"/>
      <c r="Y3818" s="75"/>
    </row>
    <row r="3819" spans="1:25" x14ac:dyDescent="0.25">
      <c r="A3819" s="75"/>
      <c r="C3819" s="81"/>
      <c r="D3819" s="81"/>
      <c r="I3819" s="81"/>
      <c r="K3819" s="82"/>
      <c r="L3819" s="123"/>
      <c r="M3819" s="3"/>
      <c r="N3819" s="3"/>
      <c r="O3819" s="3"/>
      <c r="P3819" s="125"/>
      <c r="Q3819" s="125"/>
      <c r="R3819" s="127"/>
      <c r="S3819" s="123"/>
      <c r="T3819" s="3"/>
      <c r="W3819" s="86"/>
      <c r="Y3819" s="75"/>
    </row>
    <row r="3820" spans="1:25" x14ac:dyDescent="0.25">
      <c r="A3820" s="75"/>
      <c r="C3820" s="81"/>
      <c r="D3820" s="81"/>
      <c r="I3820" s="81"/>
      <c r="K3820" s="82"/>
      <c r="L3820" s="123"/>
      <c r="M3820" s="3"/>
      <c r="N3820" s="3"/>
      <c r="O3820" s="3"/>
      <c r="P3820" s="125"/>
      <c r="Q3820" s="125"/>
      <c r="R3820" s="127"/>
      <c r="S3820" s="123"/>
      <c r="T3820" s="3"/>
      <c r="W3820" s="86"/>
      <c r="Y3820" s="75"/>
    </row>
    <row r="3821" spans="1:25" x14ac:dyDescent="0.25">
      <c r="A3821" s="75"/>
      <c r="C3821" s="81"/>
      <c r="D3821" s="81"/>
      <c r="I3821" s="81"/>
      <c r="K3821" s="82"/>
      <c r="L3821" s="123"/>
      <c r="M3821" s="3"/>
      <c r="N3821" s="3"/>
      <c r="O3821" s="3"/>
      <c r="P3821" s="125"/>
      <c r="Q3821" s="125"/>
      <c r="R3821" s="127"/>
      <c r="S3821" s="123"/>
      <c r="T3821" s="3"/>
      <c r="W3821" s="86"/>
      <c r="Y3821" s="75"/>
    </row>
    <row r="3822" spans="1:25" x14ac:dyDescent="0.25">
      <c r="A3822" s="75"/>
      <c r="C3822" s="81"/>
      <c r="D3822" s="81"/>
      <c r="I3822" s="81"/>
      <c r="K3822" s="82"/>
      <c r="L3822" s="123"/>
      <c r="M3822" s="3"/>
      <c r="N3822" s="3"/>
      <c r="O3822" s="3"/>
      <c r="P3822" s="125"/>
      <c r="Q3822" s="125"/>
      <c r="R3822" s="127"/>
      <c r="S3822" s="123"/>
      <c r="T3822" s="3"/>
      <c r="W3822" s="86"/>
      <c r="Y3822" s="75"/>
    </row>
    <row r="3823" spans="1:25" x14ac:dyDescent="0.25">
      <c r="A3823" s="75"/>
      <c r="C3823" s="81"/>
      <c r="D3823" s="81"/>
      <c r="I3823" s="81"/>
      <c r="K3823" s="82"/>
      <c r="L3823" s="123"/>
      <c r="M3823" s="3"/>
      <c r="N3823" s="3"/>
      <c r="O3823" s="3"/>
      <c r="P3823" s="125"/>
      <c r="Q3823" s="125"/>
      <c r="R3823" s="127"/>
      <c r="S3823" s="123"/>
      <c r="T3823" s="3"/>
      <c r="W3823" s="86"/>
      <c r="Y3823" s="75"/>
    </row>
    <row r="3824" spans="1:25" x14ac:dyDescent="0.25">
      <c r="A3824" s="75"/>
      <c r="C3824" s="81"/>
      <c r="D3824" s="81"/>
      <c r="I3824" s="81"/>
      <c r="K3824" s="82"/>
      <c r="L3824" s="123"/>
      <c r="M3824" s="3"/>
      <c r="N3824" s="3"/>
      <c r="O3824" s="3"/>
      <c r="P3824" s="125"/>
      <c r="Q3824" s="125"/>
      <c r="R3824" s="127"/>
      <c r="S3824" s="123"/>
      <c r="T3824" s="3"/>
      <c r="W3824" s="86"/>
      <c r="Y3824" s="75"/>
    </row>
    <row r="3825" spans="1:25" x14ac:dyDescent="0.25">
      <c r="A3825" s="75"/>
      <c r="C3825" s="81"/>
      <c r="D3825" s="81"/>
      <c r="I3825" s="81"/>
      <c r="K3825" s="82"/>
      <c r="L3825" s="123"/>
      <c r="M3825" s="3"/>
      <c r="N3825" s="3"/>
      <c r="O3825" s="3"/>
      <c r="P3825" s="125"/>
      <c r="Q3825" s="125"/>
      <c r="R3825" s="127"/>
      <c r="S3825" s="123"/>
      <c r="T3825" s="3"/>
      <c r="W3825" s="86"/>
      <c r="Y3825" s="75"/>
    </row>
    <row r="3826" spans="1:25" x14ac:dyDescent="0.25">
      <c r="A3826" s="75"/>
      <c r="C3826" s="81"/>
      <c r="D3826" s="81"/>
      <c r="I3826" s="81"/>
      <c r="K3826" s="82"/>
      <c r="L3826" s="123"/>
      <c r="M3826" s="3"/>
      <c r="N3826" s="3"/>
      <c r="O3826" s="3"/>
      <c r="P3826" s="125"/>
      <c r="Q3826" s="125"/>
      <c r="R3826" s="127"/>
      <c r="S3826" s="123"/>
      <c r="T3826" s="3"/>
      <c r="W3826" s="86"/>
      <c r="Y3826" s="75"/>
    </row>
    <row r="3827" spans="1:25" x14ac:dyDescent="0.25">
      <c r="A3827" s="75"/>
      <c r="C3827" s="81"/>
      <c r="D3827" s="81"/>
      <c r="I3827" s="81"/>
      <c r="K3827" s="82"/>
      <c r="L3827" s="123"/>
      <c r="M3827" s="3"/>
      <c r="N3827" s="3"/>
      <c r="O3827" s="3"/>
      <c r="P3827" s="125"/>
      <c r="Q3827" s="125"/>
      <c r="R3827" s="127"/>
      <c r="S3827" s="123"/>
      <c r="T3827" s="3"/>
      <c r="W3827" s="86"/>
      <c r="Y3827" s="75"/>
    </row>
    <row r="3828" spans="1:25" x14ac:dyDescent="0.25">
      <c r="A3828" s="75"/>
      <c r="C3828" s="81"/>
      <c r="D3828" s="81"/>
      <c r="I3828" s="81"/>
      <c r="K3828" s="82"/>
      <c r="L3828" s="123"/>
      <c r="M3828" s="3"/>
      <c r="N3828" s="3"/>
      <c r="O3828" s="3"/>
      <c r="P3828" s="125"/>
      <c r="Q3828" s="125"/>
      <c r="R3828" s="127"/>
      <c r="S3828" s="123"/>
      <c r="T3828" s="3"/>
      <c r="W3828" s="86"/>
      <c r="Y3828" s="75"/>
    </row>
    <row r="3829" spans="1:25" x14ac:dyDescent="0.25">
      <c r="A3829" s="75"/>
      <c r="C3829" s="81"/>
      <c r="D3829" s="81"/>
      <c r="I3829" s="81"/>
      <c r="K3829" s="82"/>
      <c r="L3829" s="123"/>
      <c r="M3829" s="3"/>
      <c r="N3829" s="3"/>
      <c r="O3829" s="3"/>
      <c r="P3829" s="125"/>
      <c r="Q3829" s="125"/>
      <c r="R3829" s="127"/>
      <c r="S3829" s="123"/>
      <c r="T3829" s="3"/>
      <c r="W3829" s="86"/>
      <c r="Y3829" s="75"/>
    </row>
    <row r="3830" spans="1:25" x14ac:dyDescent="0.25">
      <c r="A3830" s="75"/>
      <c r="C3830" s="81"/>
      <c r="D3830" s="81"/>
      <c r="I3830" s="81"/>
      <c r="K3830" s="82"/>
      <c r="L3830" s="123"/>
      <c r="M3830" s="3"/>
      <c r="N3830" s="3"/>
      <c r="O3830" s="3"/>
      <c r="P3830" s="125"/>
      <c r="Q3830" s="125"/>
      <c r="R3830" s="127"/>
      <c r="S3830" s="123"/>
      <c r="T3830" s="3"/>
      <c r="W3830" s="86"/>
      <c r="Y3830" s="75"/>
    </row>
    <row r="3831" spans="1:25" x14ac:dyDescent="0.25">
      <c r="A3831" s="75"/>
      <c r="C3831" s="81"/>
      <c r="D3831" s="81"/>
      <c r="I3831" s="81"/>
      <c r="K3831" s="82"/>
      <c r="L3831" s="123"/>
      <c r="M3831" s="3"/>
      <c r="N3831" s="3"/>
      <c r="O3831" s="3"/>
      <c r="P3831" s="125"/>
      <c r="Q3831" s="125"/>
      <c r="R3831" s="127"/>
      <c r="S3831" s="123"/>
      <c r="T3831" s="3"/>
      <c r="W3831" s="86"/>
      <c r="Y3831" s="75"/>
    </row>
    <row r="3832" spans="1:25" x14ac:dyDescent="0.25">
      <c r="A3832" s="75"/>
      <c r="C3832" s="81"/>
      <c r="D3832" s="81"/>
      <c r="I3832" s="81"/>
      <c r="K3832" s="82"/>
      <c r="L3832" s="123"/>
      <c r="M3832" s="3"/>
      <c r="N3832" s="3"/>
      <c r="O3832" s="3"/>
      <c r="P3832" s="125"/>
      <c r="Q3832" s="125"/>
      <c r="R3832" s="127"/>
      <c r="S3832" s="123"/>
      <c r="T3832" s="3"/>
      <c r="W3832" s="86"/>
      <c r="Y3832" s="75"/>
    </row>
    <row r="3833" spans="1:25" x14ac:dyDescent="0.25">
      <c r="A3833" s="75"/>
      <c r="C3833" s="81"/>
      <c r="D3833" s="81"/>
      <c r="I3833" s="81"/>
      <c r="K3833" s="82"/>
      <c r="L3833" s="123"/>
      <c r="M3833" s="3"/>
      <c r="N3833" s="3"/>
      <c r="O3833" s="3"/>
      <c r="P3833" s="125"/>
      <c r="Q3833" s="125"/>
      <c r="R3833" s="127"/>
      <c r="S3833" s="123"/>
      <c r="T3833" s="3"/>
      <c r="W3833" s="86"/>
      <c r="Y3833" s="75"/>
    </row>
    <row r="3834" spans="1:25" x14ac:dyDescent="0.25">
      <c r="A3834" s="75"/>
      <c r="C3834" s="81"/>
      <c r="D3834" s="81"/>
      <c r="I3834" s="81"/>
      <c r="K3834" s="82"/>
      <c r="L3834" s="123"/>
      <c r="M3834" s="3"/>
      <c r="N3834" s="3"/>
      <c r="O3834" s="3"/>
      <c r="P3834" s="125"/>
      <c r="Q3834" s="125"/>
      <c r="R3834" s="127"/>
      <c r="S3834" s="123"/>
      <c r="T3834" s="3"/>
      <c r="W3834" s="86"/>
      <c r="Y3834" s="75"/>
    </row>
    <row r="3835" spans="1:25" x14ac:dyDescent="0.25">
      <c r="A3835" s="75"/>
      <c r="C3835" s="81"/>
      <c r="D3835" s="81"/>
      <c r="I3835" s="81"/>
      <c r="K3835" s="82"/>
      <c r="L3835" s="123"/>
      <c r="M3835" s="3"/>
      <c r="N3835" s="3"/>
      <c r="O3835" s="3"/>
      <c r="P3835" s="125"/>
      <c r="Q3835" s="125"/>
      <c r="R3835" s="127"/>
      <c r="S3835" s="123"/>
      <c r="T3835" s="3"/>
      <c r="W3835" s="86"/>
      <c r="Y3835" s="75"/>
    </row>
    <row r="3836" spans="1:25" x14ac:dyDescent="0.25">
      <c r="A3836" s="75"/>
      <c r="C3836" s="81"/>
      <c r="D3836" s="81"/>
      <c r="I3836" s="81"/>
      <c r="K3836" s="82"/>
      <c r="L3836" s="123"/>
      <c r="M3836" s="3"/>
      <c r="N3836" s="3"/>
      <c r="O3836" s="3"/>
      <c r="P3836" s="125"/>
      <c r="Q3836" s="125"/>
      <c r="R3836" s="127"/>
      <c r="S3836" s="123"/>
      <c r="T3836" s="3"/>
      <c r="W3836" s="86"/>
      <c r="Y3836" s="75"/>
    </row>
    <row r="3837" spans="1:25" x14ac:dyDescent="0.25">
      <c r="A3837" s="75"/>
      <c r="C3837" s="81"/>
      <c r="D3837" s="81"/>
      <c r="I3837" s="81"/>
      <c r="K3837" s="82"/>
      <c r="L3837" s="123"/>
      <c r="M3837" s="3"/>
      <c r="N3837" s="3"/>
      <c r="O3837" s="3"/>
      <c r="P3837" s="125"/>
      <c r="Q3837" s="125"/>
      <c r="R3837" s="127"/>
      <c r="S3837" s="123"/>
      <c r="T3837" s="3"/>
      <c r="W3837" s="86"/>
      <c r="Y3837" s="75"/>
    </row>
    <row r="3838" spans="1:25" x14ac:dyDescent="0.25">
      <c r="A3838" s="75"/>
      <c r="C3838" s="81"/>
      <c r="D3838" s="81"/>
      <c r="I3838" s="81"/>
      <c r="K3838" s="82"/>
      <c r="L3838" s="123"/>
      <c r="M3838" s="3"/>
      <c r="N3838" s="3"/>
      <c r="O3838" s="3"/>
      <c r="P3838" s="125"/>
      <c r="Q3838" s="125"/>
      <c r="R3838" s="127"/>
      <c r="S3838" s="123"/>
      <c r="T3838" s="3"/>
      <c r="W3838" s="86"/>
      <c r="Y3838" s="75"/>
    </row>
    <row r="3839" spans="1:25" x14ac:dyDescent="0.25">
      <c r="A3839" s="75"/>
      <c r="C3839" s="81"/>
      <c r="D3839" s="81"/>
      <c r="I3839" s="81"/>
      <c r="K3839" s="82"/>
      <c r="L3839" s="123"/>
      <c r="M3839" s="3"/>
      <c r="N3839" s="3"/>
      <c r="O3839" s="3"/>
      <c r="P3839" s="125"/>
      <c r="Q3839" s="125"/>
      <c r="R3839" s="127"/>
      <c r="S3839" s="123"/>
      <c r="T3839" s="3"/>
      <c r="W3839" s="86"/>
      <c r="Y3839" s="75"/>
    </row>
    <row r="3840" spans="1:25" x14ac:dyDescent="0.25">
      <c r="A3840" s="75"/>
      <c r="C3840" s="81"/>
      <c r="D3840" s="81"/>
      <c r="I3840" s="81"/>
      <c r="K3840" s="82"/>
      <c r="L3840" s="123"/>
      <c r="M3840" s="3"/>
      <c r="N3840" s="3"/>
      <c r="O3840" s="3"/>
      <c r="P3840" s="125"/>
      <c r="Q3840" s="125"/>
      <c r="R3840" s="127"/>
      <c r="S3840" s="123"/>
      <c r="T3840" s="3"/>
      <c r="W3840" s="86"/>
      <c r="Y3840" s="75"/>
    </row>
    <row r="3841" spans="1:25" x14ac:dyDescent="0.25">
      <c r="A3841" s="75"/>
      <c r="C3841" s="81"/>
      <c r="D3841" s="81"/>
      <c r="I3841" s="81"/>
      <c r="K3841" s="82"/>
      <c r="L3841" s="123"/>
      <c r="M3841" s="3"/>
      <c r="N3841" s="3"/>
      <c r="O3841" s="3"/>
      <c r="P3841" s="125"/>
      <c r="Q3841" s="125"/>
      <c r="R3841" s="127"/>
      <c r="S3841" s="123"/>
      <c r="T3841" s="3"/>
      <c r="W3841" s="86"/>
      <c r="Y3841" s="75"/>
    </row>
    <row r="3842" spans="1:25" x14ac:dyDescent="0.25">
      <c r="A3842" s="75"/>
      <c r="C3842" s="81"/>
      <c r="D3842" s="81"/>
      <c r="I3842" s="81"/>
      <c r="K3842" s="82"/>
      <c r="L3842" s="123"/>
      <c r="M3842" s="3"/>
      <c r="N3842" s="3"/>
      <c r="O3842" s="3"/>
      <c r="P3842" s="125"/>
      <c r="Q3842" s="125"/>
      <c r="R3842" s="127"/>
      <c r="S3842" s="123"/>
      <c r="T3842" s="3"/>
      <c r="W3842" s="86"/>
      <c r="Y3842" s="75"/>
    </row>
    <row r="3843" spans="1:25" x14ac:dyDescent="0.25">
      <c r="A3843" s="75"/>
      <c r="C3843" s="81"/>
      <c r="D3843" s="81"/>
      <c r="I3843" s="81"/>
      <c r="K3843" s="82"/>
      <c r="L3843" s="123"/>
      <c r="M3843" s="3"/>
      <c r="N3843" s="3"/>
      <c r="O3843" s="3"/>
      <c r="P3843" s="125"/>
      <c r="Q3843" s="125"/>
      <c r="R3843" s="127"/>
      <c r="S3843" s="123"/>
      <c r="T3843" s="3"/>
      <c r="W3843" s="86"/>
      <c r="Y3843" s="75"/>
    </row>
    <row r="3844" spans="1:25" x14ac:dyDescent="0.25">
      <c r="A3844" s="75"/>
      <c r="C3844" s="81"/>
      <c r="D3844" s="81"/>
      <c r="I3844" s="81"/>
      <c r="K3844" s="82"/>
      <c r="L3844" s="123"/>
      <c r="M3844" s="3"/>
      <c r="N3844" s="3"/>
      <c r="O3844" s="3"/>
      <c r="P3844" s="125"/>
      <c r="Q3844" s="125"/>
      <c r="R3844" s="127"/>
      <c r="S3844" s="123"/>
      <c r="T3844" s="3"/>
      <c r="W3844" s="86"/>
      <c r="Y3844" s="75"/>
    </row>
    <row r="3845" spans="1:25" x14ac:dyDescent="0.25">
      <c r="A3845" s="75"/>
      <c r="C3845" s="81"/>
      <c r="D3845" s="81"/>
      <c r="I3845" s="81"/>
      <c r="K3845" s="82"/>
      <c r="L3845" s="123"/>
      <c r="M3845" s="3"/>
      <c r="N3845" s="3"/>
      <c r="O3845" s="3"/>
      <c r="P3845" s="125"/>
      <c r="Q3845" s="125"/>
      <c r="R3845" s="127"/>
      <c r="S3845" s="123"/>
      <c r="T3845" s="3"/>
      <c r="W3845" s="86"/>
      <c r="Y3845" s="75"/>
    </row>
    <row r="3846" spans="1:25" x14ac:dyDescent="0.25">
      <c r="A3846" s="75"/>
      <c r="C3846" s="81"/>
      <c r="D3846" s="81"/>
      <c r="I3846" s="81"/>
      <c r="K3846" s="82"/>
      <c r="L3846" s="123"/>
      <c r="M3846" s="3"/>
      <c r="N3846" s="3"/>
      <c r="O3846" s="3"/>
      <c r="P3846" s="125"/>
      <c r="Q3846" s="125"/>
      <c r="R3846" s="127"/>
      <c r="S3846" s="123"/>
      <c r="T3846" s="3"/>
      <c r="W3846" s="86"/>
      <c r="Y3846" s="75"/>
    </row>
    <row r="3847" spans="1:25" x14ac:dyDescent="0.25">
      <c r="A3847" s="75"/>
      <c r="C3847" s="81"/>
      <c r="D3847" s="81"/>
      <c r="I3847" s="81"/>
      <c r="K3847" s="82"/>
      <c r="L3847" s="123"/>
      <c r="M3847" s="3"/>
      <c r="N3847" s="3"/>
      <c r="O3847" s="3"/>
      <c r="P3847" s="125"/>
      <c r="Q3847" s="125"/>
      <c r="R3847" s="127"/>
      <c r="S3847" s="123"/>
      <c r="T3847" s="3"/>
      <c r="W3847" s="86"/>
      <c r="Y3847" s="75"/>
    </row>
    <row r="3848" spans="1:25" x14ac:dyDescent="0.25">
      <c r="A3848" s="75"/>
      <c r="C3848" s="81"/>
      <c r="D3848" s="81"/>
      <c r="I3848" s="81"/>
      <c r="K3848" s="82"/>
      <c r="L3848" s="123"/>
      <c r="M3848" s="3"/>
      <c r="N3848" s="3"/>
      <c r="O3848" s="3"/>
      <c r="P3848" s="125"/>
      <c r="Q3848" s="125"/>
      <c r="R3848" s="127"/>
      <c r="S3848" s="123"/>
      <c r="T3848" s="3"/>
      <c r="W3848" s="86"/>
      <c r="Y3848" s="75"/>
    </row>
    <row r="3849" spans="1:25" x14ac:dyDescent="0.25">
      <c r="A3849" s="75"/>
      <c r="C3849" s="81"/>
      <c r="D3849" s="81"/>
      <c r="I3849" s="81"/>
      <c r="K3849" s="82"/>
      <c r="L3849" s="123"/>
      <c r="M3849" s="3"/>
      <c r="N3849" s="3"/>
      <c r="O3849" s="3"/>
      <c r="P3849" s="125"/>
      <c r="Q3849" s="125"/>
      <c r="R3849" s="127"/>
      <c r="S3849" s="123"/>
      <c r="T3849" s="3"/>
      <c r="W3849" s="86"/>
      <c r="Y3849" s="75"/>
    </row>
    <row r="3850" spans="1:25" x14ac:dyDescent="0.25">
      <c r="A3850" s="75"/>
      <c r="C3850" s="81"/>
      <c r="D3850" s="81"/>
      <c r="I3850" s="81"/>
      <c r="K3850" s="82"/>
      <c r="L3850" s="123"/>
      <c r="M3850" s="3"/>
      <c r="N3850" s="3"/>
      <c r="O3850" s="3"/>
      <c r="P3850" s="125"/>
      <c r="Q3850" s="125"/>
      <c r="R3850" s="127"/>
      <c r="S3850" s="123"/>
      <c r="T3850" s="3"/>
      <c r="W3850" s="86"/>
      <c r="Y3850" s="75"/>
    </row>
    <row r="3851" spans="1:25" x14ac:dyDescent="0.25">
      <c r="A3851" s="75"/>
      <c r="C3851" s="81"/>
      <c r="D3851" s="81"/>
      <c r="I3851" s="81"/>
      <c r="K3851" s="82"/>
      <c r="L3851" s="123"/>
      <c r="M3851" s="3"/>
      <c r="N3851" s="3"/>
      <c r="O3851" s="3"/>
      <c r="P3851" s="125"/>
      <c r="Q3851" s="125"/>
      <c r="R3851" s="127"/>
      <c r="S3851" s="123"/>
      <c r="T3851" s="3"/>
      <c r="W3851" s="86"/>
      <c r="Y3851" s="75"/>
    </row>
    <row r="3852" spans="1:25" x14ac:dyDescent="0.25">
      <c r="A3852" s="75"/>
      <c r="C3852" s="81"/>
      <c r="D3852" s="81"/>
      <c r="I3852" s="81"/>
      <c r="K3852" s="82"/>
      <c r="L3852" s="123"/>
      <c r="M3852" s="3"/>
      <c r="N3852" s="3"/>
      <c r="O3852" s="3"/>
      <c r="P3852" s="125"/>
      <c r="Q3852" s="125"/>
      <c r="R3852" s="127"/>
      <c r="S3852" s="123"/>
      <c r="T3852" s="3"/>
      <c r="W3852" s="86"/>
      <c r="Y3852" s="75"/>
    </row>
    <row r="3853" spans="1:25" x14ac:dyDescent="0.25">
      <c r="A3853" s="75"/>
      <c r="C3853" s="81"/>
      <c r="D3853" s="81"/>
      <c r="I3853" s="81"/>
      <c r="K3853" s="82"/>
      <c r="L3853" s="123"/>
      <c r="M3853" s="3"/>
      <c r="N3853" s="3"/>
      <c r="O3853" s="3"/>
      <c r="P3853" s="125"/>
      <c r="Q3853" s="125"/>
      <c r="R3853" s="127"/>
      <c r="S3853" s="123"/>
      <c r="T3853" s="3"/>
      <c r="W3853" s="86"/>
      <c r="Y3853" s="75"/>
    </row>
    <row r="3854" spans="1:25" x14ac:dyDescent="0.25">
      <c r="A3854" s="75"/>
      <c r="C3854" s="81"/>
      <c r="D3854" s="81"/>
      <c r="I3854" s="81"/>
      <c r="K3854" s="82"/>
      <c r="L3854" s="123"/>
      <c r="M3854" s="3"/>
      <c r="N3854" s="3"/>
      <c r="O3854" s="3"/>
      <c r="P3854" s="125"/>
      <c r="Q3854" s="125"/>
      <c r="R3854" s="127"/>
      <c r="S3854" s="123"/>
      <c r="T3854" s="3"/>
      <c r="W3854" s="86"/>
      <c r="Y3854" s="75"/>
    </row>
    <row r="3855" spans="1:25" x14ac:dyDescent="0.25">
      <c r="A3855" s="75"/>
      <c r="C3855" s="81"/>
      <c r="D3855" s="81"/>
      <c r="I3855" s="81"/>
      <c r="K3855" s="82"/>
      <c r="L3855" s="123"/>
      <c r="M3855" s="3"/>
      <c r="N3855" s="3"/>
      <c r="O3855" s="3"/>
      <c r="P3855" s="125"/>
      <c r="Q3855" s="125"/>
      <c r="R3855" s="127"/>
      <c r="S3855" s="123"/>
      <c r="T3855" s="3"/>
      <c r="W3855" s="86"/>
      <c r="Y3855" s="75"/>
    </row>
    <row r="3856" spans="1:25" x14ac:dyDescent="0.25">
      <c r="A3856" s="75"/>
      <c r="C3856" s="81"/>
      <c r="D3856" s="81"/>
      <c r="I3856" s="81"/>
      <c r="K3856" s="82"/>
      <c r="L3856" s="123"/>
      <c r="M3856" s="3"/>
      <c r="N3856" s="3"/>
      <c r="O3856" s="3"/>
      <c r="P3856" s="125"/>
      <c r="Q3856" s="125"/>
      <c r="R3856" s="127"/>
      <c r="S3856" s="123"/>
      <c r="T3856" s="3"/>
      <c r="W3856" s="86"/>
      <c r="Y3856" s="75"/>
    </row>
    <row r="3857" spans="1:25" x14ac:dyDescent="0.25">
      <c r="A3857" s="75"/>
      <c r="C3857" s="81"/>
      <c r="D3857" s="81"/>
      <c r="I3857" s="81"/>
      <c r="K3857" s="82"/>
      <c r="L3857" s="123"/>
      <c r="M3857" s="3"/>
      <c r="N3857" s="3"/>
      <c r="O3857" s="3"/>
      <c r="P3857" s="125"/>
      <c r="Q3857" s="125"/>
      <c r="R3857" s="127"/>
      <c r="S3857" s="123"/>
      <c r="T3857" s="3"/>
      <c r="W3857" s="86"/>
      <c r="Y3857" s="75"/>
    </row>
    <row r="3858" spans="1:25" x14ac:dyDescent="0.25">
      <c r="A3858" s="75"/>
      <c r="C3858" s="81"/>
      <c r="D3858" s="81"/>
      <c r="I3858" s="81"/>
      <c r="K3858" s="82"/>
      <c r="L3858" s="123"/>
      <c r="M3858" s="3"/>
      <c r="N3858" s="3"/>
      <c r="O3858" s="3"/>
      <c r="P3858" s="125"/>
      <c r="Q3858" s="125"/>
      <c r="R3858" s="127"/>
      <c r="S3858" s="123"/>
      <c r="T3858" s="3"/>
      <c r="W3858" s="86"/>
      <c r="Y3858" s="75"/>
    </row>
    <row r="3859" spans="1:25" x14ac:dyDescent="0.25">
      <c r="A3859" s="75"/>
      <c r="C3859" s="81"/>
      <c r="D3859" s="81"/>
      <c r="I3859" s="81"/>
      <c r="K3859" s="82"/>
      <c r="L3859" s="123"/>
      <c r="M3859" s="3"/>
      <c r="N3859" s="3"/>
      <c r="O3859" s="3"/>
      <c r="P3859" s="125"/>
      <c r="Q3859" s="125"/>
      <c r="R3859" s="127"/>
      <c r="S3859" s="123"/>
      <c r="T3859" s="3"/>
      <c r="W3859" s="86"/>
      <c r="Y3859" s="75"/>
    </row>
    <row r="3860" spans="1:25" x14ac:dyDescent="0.25">
      <c r="A3860" s="75"/>
      <c r="C3860" s="81"/>
      <c r="D3860" s="81"/>
      <c r="I3860" s="81"/>
      <c r="K3860" s="82"/>
      <c r="L3860" s="123"/>
      <c r="M3860" s="3"/>
      <c r="N3860" s="3"/>
      <c r="O3860" s="3"/>
      <c r="P3860" s="125"/>
      <c r="Q3860" s="125"/>
      <c r="R3860" s="127"/>
      <c r="S3860" s="123"/>
      <c r="T3860" s="3"/>
      <c r="W3860" s="86"/>
      <c r="Y3860" s="75"/>
    </row>
    <row r="3861" spans="1:25" x14ac:dyDescent="0.25">
      <c r="A3861" s="75"/>
      <c r="C3861" s="81"/>
      <c r="D3861" s="81"/>
      <c r="I3861" s="81"/>
      <c r="K3861" s="82"/>
      <c r="L3861" s="123"/>
      <c r="M3861" s="3"/>
      <c r="N3861" s="3"/>
      <c r="O3861" s="3"/>
      <c r="P3861" s="125"/>
      <c r="Q3861" s="125"/>
      <c r="R3861" s="127"/>
      <c r="S3861" s="123"/>
      <c r="T3861" s="3"/>
      <c r="W3861" s="86"/>
      <c r="Y3861" s="75"/>
    </row>
    <row r="3862" spans="1:25" x14ac:dyDescent="0.25">
      <c r="A3862" s="75"/>
      <c r="C3862" s="81"/>
      <c r="D3862" s="81"/>
      <c r="I3862" s="81"/>
      <c r="K3862" s="82"/>
      <c r="L3862" s="123"/>
      <c r="M3862" s="3"/>
      <c r="N3862" s="3"/>
      <c r="O3862" s="3"/>
      <c r="P3862" s="125"/>
      <c r="Q3862" s="125"/>
      <c r="R3862" s="127"/>
      <c r="S3862" s="123"/>
      <c r="T3862" s="3"/>
      <c r="W3862" s="86"/>
      <c r="Y3862" s="75"/>
    </row>
    <row r="3863" spans="1:25" x14ac:dyDescent="0.25">
      <c r="A3863" s="75"/>
      <c r="C3863" s="81"/>
      <c r="D3863" s="81"/>
      <c r="I3863" s="81"/>
      <c r="K3863" s="82"/>
      <c r="L3863" s="123"/>
      <c r="M3863" s="3"/>
      <c r="N3863" s="3"/>
      <c r="O3863" s="3"/>
      <c r="P3863" s="125"/>
      <c r="Q3863" s="125"/>
      <c r="R3863" s="127"/>
      <c r="S3863" s="123"/>
      <c r="T3863" s="3"/>
      <c r="W3863" s="86"/>
      <c r="Y3863" s="75"/>
    </row>
    <row r="3864" spans="1:25" x14ac:dyDescent="0.25">
      <c r="A3864" s="75"/>
      <c r="C3864" s="81"/>
      <c r="D3864" s="81"/>
      <c r="I3864" s="81"/>
      <c r="K3864" s="82"/>
      <c r="L3864" s="123"/>
      <c r="M3864" s="3"/>
      <c r="N3864" s="3"/>
      <c r="O3864" s="3"/>
      <c r="P3864" s="125"/>
      <c r="Q3864" s="125"/>
      <c r="R3864" s="127"/>
      <c r="S3864" s="123"/>
      <c r="T3864" s="3"/>
      <c r="W3864" s="86"/>
      <c r="Y3864" s="75"/>
    </row>
    <row r="3865" spans="1:25" x14ac:dyDescent="0.25">
      <c r="A3865" s="75"/>
      <c r="C3865" s="81"/>
      <c r="D3865" s="81"/>
      <c r="I3865" s="81"/>
      <c r="K3865" s="82"/>
      <c r="L3865" s="123"/>
      <c r="M3865" s="3"/>
      <c r="N3865" s="3"/>
      <c r="O3865" s="3"/>
      <c r="P3865" s="125"/>
      <c r="Q3865" s="125"/>
      <c r="R3865" s="127"/>
      <c r="S3865" s="123"/>
      <c r="T3865" s="3"/>
      <c r="W3865" s="86"/>
      <c r="Y3865" s="75"/>
    </row>
    <row r="3866" spans="1:25" x14ac:dyDescent="0.25">
      <c r="A3866" s="75"/>
      <c r="C3866" s="81"/>
      <c r="D3866" s="81"/>
      <c r="I3866" s="81"/>
      <c r="K3866" s="82"/>
      <c r="L3866" s="123"/>
      <c r="M3866" s="3"/>
      <c r="N3866" s="3"/>
      <c r="O3866" s="3"/>
      <c r="P3866" s="125"/>
      <c r="Q3866" s="125"/>
      <c r="R3866" s="127"/>
      <c r="S3866" s="123"/>
      <c r="T3866" s="3"/>
      <c r="W3866" s="86"/>
      <c r="Y3866" s="75"/>
    </row>
    <row r="3867" spans="1:25" x14ac:dyDescent="0.25">
      <c r="A3867" s="75"/>
      <c r="C3867" s="81"/>
      <c r="D3867" s="81"/>
      <c r="I3867" s="81"/>
      <c r="K3867" s="82"/>
      <c r="L3867" s="123"/>
      <c r="M3867" s="3"/>
      <c r="N3867" s="3"/>
      <c r="O3867" s="3"/>
      <c r="P3867" s="125"/>
      <c r="Q3867" s="125"/>
      <c r="R3867" s="127"/>
      <c r="S3867" s="123"/>
      <c r="T3867" s="3"/>
      <c r="W3867" s="86"/>
      <c r="Y3867" s="75"/>
    </row>
    <row r="3868" spans="1:25" x14ac:dyDescent="0.25">
      <c r="A3868" s="75"/>
      <c r="C3868" s="81"/>
      <c r="D3868" s="81"/>
      <c r="I3868" s="81"/>
      <c r="K3868" s="82"/>
      <c r="L3868" s="123"/>
      <c r="M3868" s="3"/>
      <c r="N3868" s="3"/>
      <c r="O3868" s="3"/>
      <c r="P3868" s="125"/>
      <c r="Q3868" s="125"/>
      <c r="R3868" s="127"/>
      <c r="S3868" s="123"/>
      <c r="T3868" s="3"/>
      <c r="W3868" s="86"/>
      <c r="Y3868" s="75"/>
    </row>
    <row r="3869" spans="1:25" x14ac:dyDescent="0.25">
      <c r="A3869" s="75"/>
      <c r="C3869" s="81"/>
      <c r="D3869" s="81"/>
      <c r="I3869" s="81"/>
      <c r="K3869" s="82"/>
      <c r="L3869" s="123"/>
      <c r="M3869" s="3"/>
      <c r="N3869" s="3"/>
      <c r="O3869" s="3"/>
      <c r="P3869" s="125"/>
      <c r="Q3869" s="125"/>
      <c r="R3869" s="127"/>
      <c r="S3869" s="123"/>
      <c r="T3869" s="3"/>
      <c r="W3869" s="86"/>
      <c r="Y3869" s="75"/>
    </row>
    <row r="3870" spans="1:25" x14ac:dyDescent="0.25">
      <c r="A3870" s="75"/>
      <c r="C3870" s="81"/>
      <c r="D3870" s="81"/>
      <c r="I3870" s="81"/>
      <c r="K3870" s="82"/>
      <c r="L3870" s="123"/>
      <c r="M3870" s="3"/>
      <c r="N3870" s="3"/>
      <c r="O3870" s="3"/>
      <c r="P3870" s="125"/>
      <c r="Q3870" s="125"/>
      <c r="R3870" s="127"/>
      <c r="S3870" s="123"/>
      <c r="T3870" s="3"/>
      <c r="W3870" s="86"/>
      <c r="Y3870" s="75"/>
    </row>
    <row r="3871" spans="1:25" x14ac:dyDescent="0.25">
      <c r="A3871" s="75"/>
      <c r="C3871" s="81"/>
      <c r="D3871" s="81"/>
      <c r="I3871" s="81"/>
      <c r="K3871" s="82"/>
      <c r="L3871" s="123"/>
      <c r="M3871" s="3"/>
      <c r="N3871" s="3"/>
      <c r="O3871" s="3"/>
      <c r="P3871" s="125"/>
      <c r="Q3871" s="125"/>
      <c r="R3871" s="127"/>
      <c r="S3871" s="123"/>
      <c r="T3871" s="3"/>
      <c r="W3871" s="86"/>
      <c r="Y3871" s="75"/>
    </row>
    <row r="3872" spans="1:25" x14ac:dyDescent="0.25">
      <c r="A3872" s="75"/>
      <c r="C3872" s="81"/>
      <c r="D3872" s="81"/>
      <c r="I3872" s="81"/>
      <c r="K3872" s="82"/>
      <c r="L3872" s="123"/>
      <c r="M3872" s="3"/>
      <c r="N3872" s="3"/>
      <c r="O3872" s="3"/>
      <c r="P3872" s="125"/>
      <c r="Q3872" s="125"/>
      <c r="R3872" s="127"/>
      <c r="S3872" s="123"/>
      <c r="T3872" s="3"/>
      <c r="W3872" s="86"/>
      <c r="Y3872" s="75"/>
    </row>
    <row r="3873" spans="1:25" x14ac:dyDescent="0.25">
      <c r="A3873" s="75"/>
      <c r="C3873" s="81"/>
      <c r="D3873" s="81"/>
      <c r="I3873" s="81"/>
      <c r="K3873" s="82"/>
      <c r="L3873" s="123"/>
      <c r="M3873" s="3"/>
      <c r="N3873" s="3"/>
      <c r="O3873" s="3"/>
      <c r="P3873" s="125"/>
      <c r="Q3873" s="125"/>
      <c r="R3873" s="127"/>
      <c r="S3873" s="123"/>
      <c r="T3873" s="3"/>
      <c r="W3873" s="86"/>
      <c r="Y3873" s="75"/>
    </row>
    <row r="3874" spans="1:25" x14ac:dyDescent="0.25">
      <c r="A3874" s="75"/>
      <c r="C3874" s="81"/>
      <c r="D3874" s="81"/>
      <c r="I3874" s="81"/>
      <c r="K3874" s="82"/>
      <c r="L3874" s="123"/>
      <c r="M3874" s="3"/>
      <c r="N3874" s="3"/>
      <c r="O3874" s="3"/>
      <c r="P3874" s="125"/>
      <c r="Q3874" s="125"/>
      <c r="R3874" s="127"/>
      <c r="S3874" s="123"/>
      <c r="T3874" s="3"/>
      <c r="W3874" s="86"/>
      <c r="Y3874" s="75"/>
    </row>
    <row r="3875" spans="1:25" x14ac:dyDescent="0.25">
      <c r="A3875" s="75"/>
      <c r="C3875" s="81"/>
      <c r="D3875" s="81"/>
      <c r="I3875" s="81"/>
      <c r="K3875" s="82"/>
      <c r="L3875" s="123"/>
      <c r="M3875" s="3"/>
      <c r="N3875" s="3"/>
      <c r="O3875" s="3"/>
      <c r="P3875" s="125"/>
      <c r="Q3875" s="125"/>
      <c r="R3875" s="127"/>
      <c r="S3875" s="123"/>
      <c r="T3875" s="3"/>
      <c r="W3875" s="86"/>
      <c r="Y3875" s="75"/>
    </row>
    <row r="3876" spans="1:25" x14ac:dyDescent="0.25">
      <c r="A3876" s="75"/>
      <c r="C3876" s="81"/>
      <c r="D3876" s="81"/>
      <c r="I3876" s="81"/>
      <c r="K3876" s="82"/>
      <c r="L3876" s="123"/>
      <c r="M3876" s="3"/>
      <c r="N3876" s="3"/>
      <c r="O3876" s="3"/>
      <c r="P3876" s="125"/>
      <c r="Q3876" s="125"/>
      <c r="R3876" s="127"/>
      <c r="S3876" s="123"/>
      <c r="T3876" s="3"/>
      <c r="W3876" s="86"/>
      <c r="Y3876" s="75"/>
    </row>
    <row r="3877" spans="1:25" x14ac:dyDescent="0.25">
      <c r="A3877" s="75"/>
      <c r="C3877" s="81"/>
      <c r="D3877" s="81"/>
      <c r="I3877" s="81"/>
      <c r="K3877" s="82"/>
      <c r="L3877" s="123"/>
      <c r="M3877" s="3"/>
      <c r="N3877" s="3"/>
      <c r="O3877" s="3"/>
      <c r="P3877" s="125"/>
      <c r="Q3877" s="125"/>
      <c r="R3877" s="127"/>
      <c r="S3877" s="123"/>
      <c r="T3877" s="3"/>
      <c r="W3877" s="86"/>
      <c r="Y3877" s="75"/>
    </row>
    <row r="3878" spans="1:25" x14ac:dyDescent="0.25">
      <c r="A3878" s="75"/>
      <c r="C3878" s="81"/>
      <c r="D3878" s="81"/>
      <c r="I3878" s="81"/>
      <c r="K3878" s="82"/>
      <c r="L3878" s="123"/>
      <c r="M3878" s="3"/>
      <c r="N3878" s="3"/>
      <c r="O3878" s="3"/>
      <c r="P3878" s="125"/>
      <c r="Q3878" s="125"/>
      <c r="R3878" s="127"/>
      <c r="S3878" s="123"/>
      <c r="T3878" s="3"/>
      <c r="W3878" s="86"/>
      <c r="Y3878" s="75"/>
    </row>
    <row r="3879" spans="1:25" x14ac:dyDescent="0.25">
      <c r="A3879" s="75"/>
      <c r="C3879" s="81"/>
      <c r="D3879" s="81"/>
      <c r="I3879" s="81"/>
      <c r="K3879" s="82"/>
      <c r="L3879" s="123"/>
      <c r="M3879" s="3"/>
      <c r="N3879" s="3"/>
      <c r="O3879" s="3"/>
      <c r="P3879" s="125"/>
      <c r="Q3879" s="125"/>
      <c r="R3879" s="127"/>
      <c r="S3879" s="123"/>
      <c r="T3879" s="3"/>
      <c r="W3879" s="86"/>
      <c r="Y3879" s="75"/>
    </row>
    <row r="3880" spans="1:25" x14ac:dyDescent="0.25">
      <c r="A3880" s="75"/>
      <c r="C3880" s="81"/>
      <c r="D3880" s="81"/>
      <c r="I3880" s="81"/>
      <c r="K3880" s="82"/>
      <c r="L3880" s="123"/>
      <c r="M3880" s="3"/>
      <c r="N3880" s="3"/>
      <c r="O3880" s="3"/>
      <c r="P3880" s="125"/>
      <c r="Q3880" s="125"/>
      <c r="R3880" s="127"/>
      <c r="S3880" s="123"/>
      <c r="T3880" s="3"/>
      <c r="W3880" s="86"/>
      <c r="Y3880" s="75"/>
    </row>
    <row r="3881" spans="1:25" x14ac:dyDescent="0.25">
      <c r="A3881" s="75"/>
      <c r="C3881" s="81"/>
      <c r="D3881" s="81"/>
      <c r="I3881" s="81"/>
      <c r="K3881" s="82"/>
      <c r="L3881" s="123"/>
      <c r="M3881" s="3"/>
      <c r="N3881" s="3"/>
      <c r="O3881" s="3"/>
      <c r="P3881" s="125"/>
      <c r="Q3881" s="125"/>
      <c r="R3881" s="127"/>
      <c r="S3881" s="123"/>
      <c r="T3881" s="3"/>
      <c r="W3881" s="86"/>
      <c r="Y3881" s="75"/>
    </row>
    <row r="3882" spans="1:25" x14ac:dyDescent="0.25">
      <c r="A3882" s="75"/>
      <c r="C3882" s="81"/>
      <c r="D3882" s="81"/>
      <c r="I3882" s="81"/>
      <c r="K3882" s="82"/>
      <c r="L3882" s="123"/>
      <c r="M3882" s="3"/>
      <c r="N3882" s="3"/>
      <c r="O3882" s="3"/>
      <c r="P3882" s="125"/>
      <c r="Q3882" s="125"/>
      <c r="R3882" s="127"/>
      <c r="S3882" s="123"/>
      <c r="T3882" s="3"/>
      <c r="W3882" s="86"/>
      <c r="Y3882" s="75"/>
    </row>
    <row r="3883" spans="1:25" x14ac:dyDescent="0.25">
      <c r="A3883" s="75"/>
      <c r="C3883" s="81"/>
      <c r="D3883" s="81"/>
      <c r="I3883" s="81"/>
      <c r="K3883" s="82"/>
      <c r="L3883" s="123"/>
      <c r="M3883" s="3"/>
      <c r="N3883" s="3"/>
      <c r="O3883" s="3"/>
      <c r="P3883" s="125"/>
      <c r="Q3883" s="125"/>
      <c r="R3883" s="127"/>
      <c r="S3883" s="123"/>
      <c r="T3883" s="3"/>
      <c r="W3883" s="86"/>
      <c r="Y3883" s="75"/>
    </row>
    <row r="3884" spans="1:25" x14ac:dyDescent="0.25">
      <c r="A3884" s="75"/>
      <c r="C3884" s="81"/>
      <c r="D3884" s="81"/>
      <c r="I3884" s="81"/>
      <c r="K3884" s="82"/>
      <c r="L3884" s="123"/>
      <c r="M3884" s="3"/>
      <c r="N3884" s="3"/>
      <c r="O3884" s="3"/>
      <c r="P3884" s="125"/>
      <c r="Q3884" s="125"/>
      <c r="R3884" s="127"/>
      <c r="S3884" s="123"/>
      <c r="T3884" s="3"/>
      <c r="W3884" s="86"/>
      <c r="Y3884" s="75"/>
    </row>
    <row r="3885" spans="1:25" x14ac:dyDescent="0.25">
      <c r="A3885" s="75"/>
      <c r="C3885" s="81"/>
      <c r="D3885" s="81"/>
      <c r="I3885" s="81"/>
      <c r="K3885" s="82"/>
      <c r="L3885" s="123"/>
      <c r="M3885" s="3"/>
      <c r="N3885" s="3"/>
      <c r="O3885" s="3"/>
      <c r="P3885" s="125"/>
      <c r="Q3885" s="125"/>
      <c r="R3885" s="127"/>
      <c r="S3885" s="123"/>
      <c r="T3885" s="3"/>
      <c r="W3885" s="86"/>
      <c r="Y3885" s="75"/>
    </row>
    <row r="3886" spans="1:25" x14ac:dyDescent="0.25">
      <c r="A3886" s="75"/>
      <c r="C3886" s="81"/>
      <c r="D3886" s="81"/>
      <c r="I3886" s="81"/>
      <c r="K3886" s="82"/>
      <c r="L3886" s="123"/>
      <c r="M3886" s="3"/>
      <c r="N3886" s="3"/>
      <c r="O3886" s="3"/>
      <c r="P3886" s="125"/>
      <c r="Q3886" s="125"/>
      <c r="R3886" s="127"/>
      <c r="S3886" s="123"/>
      <c r="T3886" s="3"/>
      <c r="W3886" s="86"/>
      <c r="Y3886" s="75"/>
    </row>
    <row r="3887" spans="1:25" x14ac:dyDescent="0.25">
      <c r="A3887" s="75"/>
      <c r="C3887" s="81"/>
      <c r="D3887" s="81"/>
      <c r="I3887" s="81"/>
      <c r="K3887" s="82"/>
      <c r="L3887" s="123"/>
      <c r="M3887" s="3"/>
      <c r="N3887" s="3"/>
      <c r="O3887" s="3"/>
      <c r="P3887" s="125"/>
      <c r="Q3887" s="125"/>
      <c r="R3887" s="127"/>
      <c r="S3887" s="123"/>
      <c r="T3887" s="3"/>
      <c r="W3887" s="86"/>
      <c r="Y3887" s="75"/>
    </row>
    <row r="3888" spans="1:25" x14ac:dyDescent="0.25">
      <c r="A3888" s="75"/>
      <c r="C3888" s="81"/>
      <c r="D3888" s="81"/>
      <c r="I3888" s="81"/>
      <c r="K3888" s="82"/>
      <c r="L3888" s="123"/>
      <c r="M3888" s="3"/>
      <c r="N3888" s="3"/>
      <c r="O3888" s="3"/>
      <c r="P3888" s="125"/>
      <c r="Q3888" s="125"/>
      <c r="R3888" s="127"/>
      <c r="S3888" s="123"/>
      <c r="T3888" s="3"/>
      <c r="W3888" s="86"/>
      <c r="Y3888" s="75"/>
    </row>
    <row r="3889" spans="1:25" x14ac:dyDescent="0.25">
      <c r="A3889" s="75"/>
      <c r="C3889" s="81"/>
      <c r="D3889" s="81"/>
      <c r="I3889" s="81"/>
      <c r="K3889" s="82"/>
      <c r="L3889" s="123"/>
      <c r="M3889" s="3"/>
      <c r="N3889" s="3"/>
      <c r="O3889" s="3"/>
      <c r="P3889" s="125"/>
      <c r="Q3889" s="125"/>
      <c r="R3889" s="127"/>
      <c r="S3889" s="123"/>
      <c r="T3889" s="3"/>
      <c r="W3889" s="86"/>
      <c r="Y3889" s="75"/>
    </row>
    <row r="3890" spans="1:25" x14ac:dyDescent="0.25">
      <c r="A3890" s="75"/>
      <c r="C3890" s="81"/>
      <c r="D3890" s="81"/>
      <c r="I3890" s="81"/>
      <c r="K3890" s="82"/>
      <c r="L3890" s="123"/>
      <c r="M3890" s="3"/>
      <c r="N3890" s="3"/>
      <c r="O3890" s="3"/>
      <c r="P3890" s="125"/>
      <c r="Q3890" s="125"/>
      <c r="R3890" s="127"/>
      <c r="S3890" s="123"/>
      <c r="T3890" s="3"/>
      <c r="W3890" s="86"/>
      <c r="Y3890" s="75"/>
    </row>
    <row r="3891" spans="1:25" x14ac:dyDescent="0.25">
      <c r="A3891" s="75"/>
      <c r="C3891" s="81"/>
      <c r="D3891" s="81"/>
      <c r="I3891" s="81"/>
      <c r="K3891" s="82"/>
      <c r="L3891" s="123"/>
      <c r="M3891" s="3"/>
      <c r="N3891" s="3"/>
      <c r="O3891" s="3"/>
      <c r="P3891" s="125"/>
      <c r="Q3891" s="125"/>
      <c r="R3891" s="127"/>
      <c r="S3891" s="123"/>
      <c r="T3891" s="3"/>
      <c r="W3891" s="86"/>
      <c r="Y3891" s="75"/>
    </row>
    <row r="3892" spans="1:25" x14ac:dyDescent="0.25">
      <c r="A3892" s="75"/>
      <c r="C3892" s="81"/>
      <c r="D3892" s="81"/>
      <c r="I3892" s="81"/>
      <c r="K3892" s="82"/>
      <c r="L3892" s="123"/>
      <c r="M3892" s="3"/>
      <c r="N3892" s="3"/>
      <c r="O3892" s="3"/>
      <c r="P3892" s="125"/>
      <c r="Q3892" s="125"/>
      <c r="R3892" s="127"/>
      <c r="S3892" s="123"/>
      <c r="T3892" s="3"/>
      <c r="W3892" s="86"/>
      <c r="Y3892" s="75"/>
    </row>
    <row r="3893" spans="1:25" x14ac:dyDescent="0.25">
      <c r="A3893" s="75"/>
      <c r="C3893" s="81"/>
      <c r="D3893" s="81"/>
      <c r="I3893" s="81"/>
      <c r="K3893" s="82"/>
      <c r="L3893" s="123"/>
      <c r="M3893" s="3"/>
      <c r="N3893" s="3"/>
      <c r="O3893" s="3"/>
      <c r="P3893" s="125"/>
      <c r="Q3893" s="125"/>
      <c r="R3893" s="127"/>
      <c r="S3893" s="123"/>
      <c r="T3893" s="3"/>
      <c r="W3893" s="86"/>
      <c r="Y3893" s="75"/>
    </row>
    <row r="3894" spans="1:25" x14ac:dyDescent="0.25">
      <c r="A3894" s="75"/>
      <c r="C3894" s="81"/>
      <c r="D3894" s="81"/>
      <c r="I3894" s="81"/>
      <c r="K3894" s="82"/>
      <c r="L3894" s="123"/>
      <c r="M3894" s="3"/>
      <c r="N3894" s="3"/>
      <c r="O3894" s="3"/>
      <c r="P3894" s="125"/>
      <c r="Q3894" s="125"/>
      <c r="R3894" s="127"/>
      <c r="S3894" s="123"/>
      <c r="T3894" s="3"/>
      <c r="W3894" s="86"/>
      <c r="Y3894" s="75"/>
    </row>
    <row r="3895" spans="1:25" x14ac:dyDescent="0.25">
      <c r="A3895" s="75"/>
      <c r="C3895" s="81"/>
      <c r="D3895" s="81"/>
      <c r="I3895" s="81"/>
      <c r="K3895" s="82"/>
      <c r="L3895" s="123"/>
      <c r="M3895" s="3"/>
      <c r="N3895" s="3"/>
      <c r="O3895" s="3"/>
      <c r="P3895" s="125"/>
      <c r="Q3895" s="125"/>
      <c r="R3895" s="127"/>
      <c r="S3895" s="123"/>
      <c r="T3895" s="3"/>
      <c r="W3895" s="86"/>
      <c r="Y3895" s="75"/>
    </row>
    <row r="3896" spans="1:25" x14ac:dyDescent="0.25">
      <c r="A3896" s="75"/>
      <c r="C3896" s="81"/>
      <c r="D3896" s="81"/>
      <c r="I3896" s="81"/>
      <c r="K3896" s="82"/>
      <c r="L3896" s="123"/>
      <c r="M3896" s="3"/>
      <c r="N3896" s="3"/>
      <c r="O3896" s="3"/>
      <c r="P3896" s="125"/>
      <c r="Q3896" s="125"/>
      <c r="R3896" s="127"/>
      <c r="S3896" s="123"/>
      <c r="T3896" s="3"/>
      <c r="W3896" s="86"/>
      <c r="Y3896" s="75"/>
    </row>
    <row r="3897" spans="1:25" x14ac:dyDescent="0.25">
      <c r="A3897" s="75"/>
      <c r="C3897" s="81"/>
      <c r="D3897" s="81"/>
      <c r="I3897" s="81"/>
      <c r="K3897" s="82"/>
      <c r="L3897" s="123"/>
      <c r="M3897" s="3"/>
      <c r="N3897" s="3"/>
      <c r="O3897" s="3"/>
      <c r="P3897" s="125"/>
      <c r="Q3897" s="125"/>
      <c r="R3897" s="127"/>
      <c r="S3897" s="123"/>
      <c r="T3897" s="3"/>
      <c r="W3897" s="86"/>
      <c r="Y3897" s="75"/>
    </row>
    <row r="3898" spans="1:25" x14ac:dyDescent="0.25">
      <c r="A3898" s="75"/>
      <c r="C3898" s="81"/>
      <c r="D3898" s="81"/>
      <c r="I3898" s="81"/>
      <c r="K3898" s="82"/>
      <c r="L3898" s="123"/>
      <c r="M3898" s="3"/>
      <c r="N3898" s="3"/>
      <c r="O3898" s="3"/>
      <c r="P3898" s="125"/>
      <c r="Q3898" s="125"/>
      <c r="R3898" s="127"/>
      <c r="S3898" s="123"/>
      <c r="T3898" s="3"/>
      <c r="W3898" s="86"/>
      <c r="Y3898" s="75"/>
    </row>
    <row r="3899" spans="1:25" x14ac:dyDescent="0.25">
      <c r="A3899" s="75"/>
      <c r="C3899" s="81"/>
      <c r="D3899" s="81"/>
      <c r="I3899" s="81"/>
      <c r="K3899" s="82"/>
      <c r="L3899" s="123"/>
      <c r="M3899" s="3"/>
      <c r="N3899" s="3"/>
      <c r="O3899" s="3"/>
      <c r="P3899" s="125"/>
      <c r="Q3899" s="125"/>
      <c r="R3899" s="127"/>
      <c r="S3899" s="123"/>
      <c r="T3899" s="3"/>
      <c r="W3899" s="86"/>
      <c r="Y3899" s="75"/>
    </row>
    <row r="3900" spans="1:25" x14ac:dyDescent="0.25">
      <c r="A3900" s="75"/>
      <c r="C3900" s="81"/>
      <c r="D3900" s="81"/>
      <c r="I3900" s="81"/>
      <c r="K3900" s="82"/>
      <c r="L3900" s="123"/>
      <c r="M3900" s="3"/>
      <c r="N3900" s="3"/>
      <c r="O3900" s="3"/>
      <c r="P3900" s="125"/>
      <c r="Q3900" s="125"/>
      <c r="R3900" s="127"/>
      <c r="S3900" s="123"/>
      <c r="T3900" s="3"/>
      <c r="W3900" s="86"/>
      <c r="Y3900" s="75"/>
    </row>
    <row r="3901" spans="1:25" x14ac:dyDescent="0.25">
      <c r="A3901" s="75"/>
      <c r="C3901" s="81"/>
      <c r="D3901" s="81"/>
      <c r="I3901" s="81"/>
      <c r="K3901" s="82"/>
      <c r="L3901" s="123"/>
      <c r="M3901" s="3"/>
      <c r="N3901" s="3"/>
      <c r="O3901" s="3"/>
      <c r="P3901" s="125"/>
      <c r="Q3901" s="125"/>
      <c r="R3901" s="127"/>
      <c r="S3901" s="123"/>
      <c r="T3901" s="3"/>
      <c r="W3901" s="86"/>
      <c r="Y3901" s="75"/>
    </row>
    <row r="3902" spans="1:25" x14ac:dyDescent="0.25">
      <c r="A3902" s="75"/>
      <c r="C3902" s="81"/>
      <c r="D3902" s="81"/>
      <c r="I3902" s="81"/>
      <c r="K3902" s="82"/>
      <c r="L3902" s="123"/>
      <c r="M3902" s="3"/>
      <c r="N3902" s="3"/>
      <c r="O3902" s="3"/>
      <c r="P3902" s="125"/>
      <c r="Q3902" s="125"/>
      <c r="R3902" s="127"/>
      <c r="S3902" s="123"/>
      <c r="T3902" s="3"/>
      <c r="W3902" s="86"/>
      <c r="Y3902" s="75"/>
    </row>
    <row r="3903" spans="1:25" x14ac:dyDescent="0.25">
      <c r="A3903" s="75"/>
      <c r="C3903" s="81"/>
      <c r="D3903" s="81"/>
      <c r="I3903" s="81"/>
      <c r="K3903" s="82"/>
      <c r="L3903" s="123"/>
      <c r="M3903" s="3"/>
      <c r="N3903" s="3"/>
      <c r="O3903" s="3"/>
      <c r="P3903" s="125"/>
      <c r="Q3903" s="125"/>
      <c r="R3903" s="127"/>
      <c r="S3903" s="123"/>
      <c r="T3903" s="3"/>
      <c r="W3903" s="86"/>
      <c r="Y3903" s="75"/>
    </row>
    <row r="3904" spans="1:25" x14ac:dyDescent="0.25">
      <c r="A3904" s="75"/>
      <c r="C3904" s="81"/>
      <c r="D3904" s="81"/>
      <c r="I3904" s="81"/>
      <c r="K3904" s="82"/>
      <c r="L3904" s="123"/>
      <c r="M3904" s="3"/>
      <c r="N3904" s="3"/>
      <c r="O3904" s="3"/>
      <c r="P3904" s="125"/>
      <c r="Q3904" s="125"/>
      <c r="R3904" s="127"/>
      <c r="S3904" s="123"/>
      <c r="T3904" s="3"/>
      <c r="W3904" s="86"/>
      <c r="Y3904" s="75"/>
    </row>
    <row r="3905" spans="1:25" x14ac:dyDescent="0.25">
      <c r="A3905" s="75"/>
      <c r="C3905" s="81"/>
      <c r="D3905" s="81"/>
      <c r="I3905" s="81"/>
      <c r="K3905" s="82"/>
      <c r="L3905" s="123"/>
      <c r="M3905" s="3"/>
      <c r="N3905" s="3"/>
      <c r="O3905" s="3"/>
      <c r="P3905" s="125"/>
      <c r="Q3905" s="125"/>
      <c r="R3905" s="127"/>
      <c r="S3905" s="123"/>
      <c r="T3905" s="3"/>
      <c r="W3905" s="86"/>
      <c r="Y3905" s="75"/>
    </row>
    <row r="3906" spans="1:25" x14ac:dyDescent="0.25">
      <c r="A3906" s="75"/>
      <c r="C3906" s="81"/>
      <c r="D3906" s="81"/>
      <c r="I3906" s="81"/>
      <c r="K3906" s="82"/>
      <c r="L3906" s="123"/>
      <c r="M3906" s="3"/>
      <c r="N3906" s="3"/>
      <c r="O3906" s="3"/>
      <c r="P3906" s="125"/>
      <c r="Q3906" s="125"/>
      <c r="R3906" s="127"/>
      <c r="S3906" s="123"/>
      <c r="T3906" s="3"/>
      <c r="W3906" s="86"/>
      <c r="Y3906" s="75"/>
    </row>
    <row r="3907" spans="1:25" x14ac:dyDescent="0.25">
      <c r="A3907" s="75"/>
      <c r="C3907" s="81"/>
      <c r="D3907" s="81"/>
      <c r="I3907" s="81"/>
      <c r="K3907" s="82"/>
      <c r="L3907" s="123"/>
      <c r="M3907" s="3"/>
      <c r="N3907" s="3"/>
      <c r="O3907" s="3"/>
      <c r="P3907" s="125"/>
      <c r="Q3907" s="125"/>
      <c r="R3907" s="127"/>
      <c r="S3907" s="123"/>
      <c r="T3907" s="3"/>
      <c r="W3907" s="86"/>
      <c r="Y3907" s="75"/>
    </row>
    <row r="3908" spans="1:25" x14ac:dyDescent="0.25">
      <c r="A3908" s="75"/>
      <c r="C3908" s="81"/>
      <c r="D3908" s="81"/>
      <c r="I3908" s="81"/>
      <c r="K3908" s="82"/>
      <c r="L3908" s="123"/>
      <c r="M3908" s="3"/>
      <c r="N3908" s="3"/>
      <c r="O3908" s="3"/>
      <c r="P3908" s="125"/>
      <c r="Q3908" s="125"/>
      <c r="R3908" s="127"/>
      <c r="S3908" s="123"/>
      <c r="T3908" s="3"/>
      <c r="W3908" s="86"/>
      <c r="Y3908" s="75"/>
    </row>
    <row r="3909" spans="1:25" x14ac:dyDescent="0.25">
      <c r="A3909" s="75"/>
      <c r="C3909" s="81"/>
      <c r="D3909" s="81"/>
      <c r="I3909" s="81"/>
      <c r="K3909" s="82"/>
      <c r="L3909" s="123"/>
      <c r="M3909" s="3"/>
      <c r="N3909" s="3"/>
      <c r="O3909" s="3"/>
      <c r="P3909" s="125"/>
      <c r="Q3909" s="125"/>
      <c r="R3909" s="127"/>
      <c r="S3909" s="123"/>
      <c r="T3909" s="3"/>
      <c r="W3909" s="86"/>
      <c r="Y3909" s="75"/>
    </row>
    <row r="3910" spans="1:25" x14ac:dyDescent="0.25">
      <c r="A3910" s="75"/>
      <c r="C3910" s="81"/>
      <c r="D3910" s="81"/>
      <c r="I3910" s="81"/>
      <c r="K3910" s="82"/>
      <c r="L3910" s="123"/>
      <c r="M3910" s="3"/>
      <c r="N3910" s="3"/>
      <c r="O3910" s="3"/>
      <c r="P3910" s="125"/>
      <c r="Q3910" s="125"/>
      <c r="R3910" s="127"/>
      <c r="S3910" s="123"/>
      <c r="T3910" s="3"/>
      <c r="W3910" s="86"/>
      <c r="Y3910" s="75"/>
    </row>
    <row r="3911" spans="1:25" x14ac:dyDescent="0.25">
      <c r="A3911" s="75"/>
      <c r="C3911" s="81"/>
      <c r="D3911" s="81"/>
      <c r="I3911" s="81"/>
      <c r="K3911" s="82"/>
      <c r="L3911" s="123"/>
      <c r="M3911" s="3"/>
      <c r="N3911" s="3"/>
      <c r="O3911" s="3"/>
      <c r="P3911" s="125"/>
      <c r="Q3911" s="125"/>
      <c r="R3911" s="127"/>
      <c r="S3911" s="123"/>
      <c r="T3911" s="3"/>
      <c r="W3911" s="86"/>
      <c r="Y3911" s="75"/>
    </row>
    <row r="3912" spans="1:25" x14ac:dyDescent="0.25">
      <c r="A3912" s="75"/>
      <c r="C3912" s="81"/>
      <c r="D3912" s="81"/>
      <c r="I3912" s="81"/>
      <c r="K3912" s="82"/>
      <c r="L3912" s="123"/>
      <c r="M3912" s="3"/>
      <c r="N3912" s="3"/>
      <c r="O3912" s="3"/>
      <c r="P3912" s="125"/>
      <c r="Q3912" s="125"/>
      <c r="R3912" s="127"/>
      <c r="S3912" s="123"/>
      <c r="T3912" s="3"/>
      <c r="W3912" s="86"/>
      <c r="Y3912" s="75"/>
    </row>
    <row r="3913" spans="1:25" x14ac:dyDescent="0.25">
      <c r="A3913" s="75"/>
      <c r="C3913" s="81"/>
      <c r="D3913" s="81"/>
      <c r="I3913" s="81"/>
      <c r="K3913" s="82"/>
      <c r="L3913" s="123"/>
      <c r="M3913" s="3"/>
      <c r="N3913" s="3"/>
      <c r="O3913" s="3"/>
      <c r="P3913" s="125"/>
      <c r="Q3913" s="125"/>
      <c r="R3913" s="127"/>
      <c r="S3913" s="123"/>
      <c r="T3913" s="3"/>
      <c r="W3913" s="86"/>
      <c r="Y3913" s="75"/>
    </row>
    <row r="3914" spans="1:25" x14ac:dyDescent="0.25">
      <c r="A3914" s="75"/>
      <c r="C3914" s="81"/>
      <c r="D3914" s="81"/>
      <c r="I3914" s="81"/>
      <c r="K3914" s="82"/>
      <c r="L3914" s="123"/>
      <c r="M3914" s="3"/>
      <c r="N3914" s="3"/>
      <c r="O3914" s="3"/>
      <c r="P3914" s="125"/>
      <c r="Q3914" s="125"/>
      <c r="R3914" s="127"/>
      <c r="S3914" s="123"/>
      <c r="T3914" s="3"/>
      <c r="W3914" s="86"/>
      <c r="Y3914" s="75"/>
    </row>
    <row r="3915" spans="1:25" x14ac:dyDescent="0.25">
      <c r="A3915" s="75"/>
      <c r="C3915" s="81"/>
      <c r="D3915" s="81"/>
      <c r="I3915" s="81"/>
      <c r="K3915" s="82"/>
      <c r="L3915" s="123"/>
      <c r="M3915" s="3"/>
      <c r="N3915" s="3"/>
      <c r="O3915" s="3"/>
      <c r="P3915" s="125"/>
      <c r="Q3915" s="125"/>
      <c r="R3915" s="127"/>
      <c r="S3915" s="123"/>
      <c r="T3915" s="3"/>
      <c r="W3915" s="86"/>
      <c r="Y3915" s="75"/>
    </row>
    <row r="3916" spans="1:25" x14ac:dyDescent="0.25">
      <c r="A3916" s="75"/>
      <c r="C3916" s="81"/>
      <c r="D3916" s="81"/>
      <c r="I3916" s="81"/>
      <c r="K3916" s="82"/>
      <c r="L3916" s="123"/>
      <c r="M3916" s="3"/>
      <c r="N3916" s="3"/>
      <c r="O3916" s="3"/>
      <c r="P3916" s="125"/>
      <c r="Q3916" s="125"/>
      <c r="R3916" s="127"/>
      <c r="S3916" s="123"/>
      <c r="T3916" s="3"/>
      <c r="W3916" s="86"/>
      <c r="Y3916" s="75"/>
    </row>
    <row r="3917" spans="1:25" x14ac:dyDescent="0.25">
      <c r="A3917" s="75"/>
      <c r="C3917" s="81"/>
      <c r="D3917" s="81"/>
      <c r="I3917" s="81"/>
      <c r="K3917" s="82"/>
      <c r="L3917" s="123"/>
      <c r="M3917" s="3"/>
      <c r="N3917" s="3"/>
      <c r="O3917" s="3"/>
      <c r="P3917" s="125"/>
      <c r="Q3917" s="125"/>
      <c r="R3917" s="127"/>
      <c r="S3917" s="123"/>
      <c r="T3917" s="3"/>
      <c r="W3917" s="86"/>
      <c r="Y3917" s="75"/>
    </row>
    <row r="3918" spans="1:25" x14ac:dyDescent="0.25">
      <c r="A3918" s="75"/>
      <c r="C3918" s="81"/>
      <c r="D3918" s="81"/>
      <c r="I3918" s="81"/>
      <c r="K3918" s="82"/>
      <c r="L3918" s="123"/>
      <c r="M3918" s="3"/>
      <c r="N3918" s="3"/>
      <c r="O3918" s="3"/>
      <c r="P3918" s="125"/>
      <c r="Q3918" s="125"/>
      <c r="R3918" s="127"/>
      <c r="S3918" s="123"/>
      <c r="T3918" s="3"/>
      <c r="W3918" s="86"/>
      <c r="Y3918" s="75"/>
    </row>
    <row r="3919" spans="1:25" x14ac:dyDescent="0.25">
      <c r="A3919" s="75"/>
      <c r="C3919" s="81"/>
      <c r="D3919" s="81"/>
      <c r="I3919" s="81"/>
      <c r="K3919" s="82"/>
      <c r="L3919" s="123"/>
      <c r="M3919" s="3"/>
      <c r="N3919" s="3"/>
      <c r="O3919" s="3"/>
      <c r="P3919" s="125"/>
      <c r="Q3919" s="125"/>
      <c r="R3919" s="127"/>
      <c r="S3919" s="123"/>
      <c r="T3919" s="3"/>
      <c r="W3919" s="86"/>
      <c r="Y3919" s="75"/>
    </row>
    <row r="3920" spans="1:25" x14ac:dyDescent="0.25">
      <c r="A3920" s="75"/>
      <c r="C3920" s="81"/>
      <c r="D3920" s="81"/>
      <c r="I3920" s="81"/>
      <c r="K3920" s="82"/>
      <c r="L3920" s="123"/>
      <c r="M3920" s="3"/>
      <c r="N3920" s="3"/>
      <c r="O3920" s="3"/>
      <c r="P3920" s="125"/>
      <c r="Q3920" s="125"/>
      <c r="R3920" s="127"/>
      <c r="S3920" s="123"/>
      <c r="T3920" s="3"/>
      <c r="W3920" s="86"/>
      <c r="Y3920" s="75"/>
    </row>
    <row r="3921" spans="1:25" x14ac:dyDescent="0.25">
      <c r="A3921" s="75"/>
      <c r="C3921" s="81"/>
      <c r="D3921" s="81"/>
      <c r="I3921" s="81"/>
      <c r="K3921" s="82"/>
      <c r="L3921" s="123"/>
      <c r="M3921" s="3"/>
      <c r="N3921" s="3"/>
      <c r="O3921" s="3"/>
      <c r="P3921" s="125"/>
      <c r="Q3921" s="125"/>
      <c r="R3921" s="127"/>
      <c r="S3921" s="123"/>
      <c r="T3921" s="3"/>
      <c r="W3921" s="86"/>
      <c r="Y3921" s="75"/>
    </row>
    <row r="3922" spans="1:25" x14ac:dyDescent="0.25">
      <c r="A3922" s="75"/>
      <c r="C3922" s="81"/>
      <c r="D3922" s="81"/>
      <c r="I3922" s="81"/>
      <c r="K3922" s="82"/>
      <c r="L3922" s="123"/>
      <c r="M3922" s="3"/>
      <c r="N3922" s="3"/>
      <c r="O3922" s="3"/>
      <c r="P3922" s="125"/>
      <c r="Q3922" s="125"/>
      <c r="R3922" s="127"/>
      <c r="S3922" s="123"/>
      <c r="T3922" s="3"/>
      <c r="W3922" s="86"/>
      <c r="Y3922" s="75"/>
    </row>
    <row r="3923" spans="1:25" x14ac:dyDescent="0.25">
      <c r="A3923" s="75"/>
      <c r="C3923" s="81"/>
      <c r="D3923" s="81"/>
      <c r="I3923" s="81"/>
      <c r="K3923" s="82"/>
      <c r="L3923" s="123"/>
      <c r="M3923" s="3"/>
      <c r="N3923" s="3"/>
      <c r="O3923" s="3"/>
      <c r="P3923" s="125"/>
      <c r="Q3923" s="125"/>
      <c r="R3923" s="127"/>
      <c r="S3923" s="123"/>
      <c r="T3923" s="3"/>
      <c r="W3923" s="86"/>
      <c r="Y3923" s="75"/>
    </row>
    <row r="3924" spans="1:25" x14ac:dyDescent="0.25">
      <c r="A3924" s="75"/>
      <c r="C3924" s="81"/>
      <c r="D3924" s="81"/>
      <c r="I3924" s="81"/>
      <c r="K3924" s="82"/>
      <c r="L3924" s="123"/>
      <c r="M3924" s="3"/>
      <c r="N3924" s="3"/>
      <c r="O3924" s="3"/>
      <c r="P3924" s="125"/>
      <c r="Q3924" s="125"/>
      <c r="R3924" s="127"/>
      <c r="S3924" s="123"/>
      <c r="T3924" s="3"/>
      <c r="W3924" s="86"/>
      <c r="Y3924" s="75"/>
    </row>
    <row r="3925" spans="1:25" x14ac:dyDescent="0.25">
      <c r="A3925" s="75"/>
      <c r="C3925" s="81"/>
      <c r="D3925" s="81"/>
      <c r="I3925" s="81"/>
      <c r="K3925" s="82"/>
      <c r="L3925" s="123"/>
      <c r="M3925" s="3"/>
      <c r="N3925" s="3"/>
      <c r="O3925" s="3"/>
      <c r="P3925" s="125"/>
      <c r="Q3925" s="125"/>
      <c r="R3925" s="127"/>
      <c r="S3925" s="123"/>
      <c r="T3925" s="3"/>
      <c r="W3925" s="86"/>
      <c r="Y3925" s="75"/>
    </row>
    <row r="3926" spans="1:25" x14ac:dyDescent="0.25">
      <c r="A3926" s="75"/>
      <c r="C3926" s="81"/>
      <c r="D3926" s="81"/>
      <c r="I3926" s="81"/>
      <c r="K3926" s="82"/>
      <c r="L3926" s="123"/>
      <c r="M3926" s="3"/>
      <c r="N3926" s="3"/>
      <c r="O3926" s="3"/>
      <c r="P3926" s="125"/>
      <c r="Q3926" s="125"/>
      <c r="R3926" s="127"/>
      <c r="S3926" s="123"/>
      <c r="T3926" s="3"/>
      <c r="W3926" s="86"/>
      <c r="Y3926" s="75"/>
    </row>
    <row r="3927" spans="1:25" x14ac:dyDescent="0.25">
      <c r="A3927" s="75"/>
      <c r="C3927" s="81"/>
      <c r="D3927" s="81"/>
      <c r="I3927" s="81"/>
      <c r="K3927" s="82"/>
      <c r="L3927" s="123"/>
      <c r="M3927" s="3"/>
      <c r="N3927" s="3"/>
      <c r="O3927" s="3"/>
      <c r="P3927" s="125"/>
      <c r="Q3927" s="125"/>
      <c r="R3927" s="127"/>
      <c r="S3927" s="123"/>
      <c r="T3927" s="3"/>
      <c r="W3927" s="86"/>
      <c r="Y3927" s="75"/>
    </row>
    <row r="3928" spans="1:25" x14ac:dyDescent="0.25">
      <c r="A3928" s="75"/>
      <c r="C3928" s="81"/>
      <c r="D3928" s="81"/>
      <c r="I3928" s="81"/>
      <c r="K3928" s="82"/>
      <c r="L3928" s="123"/>
      <c r="M3928" s="3"/>
      <c r="N3928" s="3"/>
      <c r="O3928" s="3"/>
      <c r="P3928" s="125"/>
      <c r="Q3928" s="125"/>
      <c r="R3928" s="127"/>
      <c r="S3928" s="123"/>
      <c r="T3928" s="3"/>
      <c r="W3928" s="86"/>
      <c r="Y3928" s="75"/>
    </row>
    <row r="3929" spans="1:25" x14ac:dyDescent="0.25">
      <c r="A3929" s="75"/>
      <c r="C3929" s="81"/>
      <c r="D3929" s="81"/>
      <c r="I3929" s="81"/>
      <c r="K3929" s="82"/>
      <c r="L3929" s="123"/>
      <c r="M3929" s="3"/>
      <c r="N3929" s="3"/>
      <c r="O3929" s="3"/>
      <c r="P3929" s="125"/>
      <c r="Q3929" s="125"/>
      <c r="R3929" s="127"/>
      <c r="S3929" s="123"/>
      <c r="T3929" s="3"/>
      <c r="W3929" s="86"/>
      <c r="Y3929" s="75"/>
    </row>
    <row r="3930" spans="1:25" x14ac:dyDescent="0.25">
      <c r="A3930" s="75"/>
      <c r="C3930" s="81"/>
      <c r="D3930" s="81"/>
      <c r="I3930" s="81"/>
      <c r="K3930" s="82"/>
      <c r="L3930" s="123"/>
      <c r="M3930" s="3"/>
      <c r="N3930" s="3"/>
      <c r="O3930" s="3"/>
      <c r="P3930" s="125"/>
      <c r="Q3930" s="125"/>
      <c r="R3930" s="127"/>
      <c r="S3930" s="123"/>
      <c r="T3930" s="3"/>
      <c r="W3930" s="86"/>
      <c r="Y3930" s="75"/>
    </row>
    <row r="3931" spans="1:25" x14ac:dyDescent="0.25">
      <c r="A3931" s="75"/>
      <c r="C3931" s="81"/>
      <c r="D3931" s="81"/>
      <c r="I3931" s="81"/>
      <c r="K3931" s="82"/>
      <c r="L3931" s="123"/>
      <c r="M3931" s="3"/>
      <c r="N3931" s="3"/>
      <c r="O3931" s="3"/>
      <c r="P3931" s="125"/>
      <c r="Q3931" s="125"/>
      <c r="R3931" s="127"/>
      <c r="S3931" s="123"/>
      <c r="T3931" s="3"/>
      <c r="W3931" s="86"/>
      <c r="Y3931" s="75"/>
    </row>
    <row r="3932" spans="1:25" x14ac:dyDescent="0.25">
      <c r="A3932" s="75"/>
      <c r="C3932" s="81"/>
      <c r="D3932" s="81"/>
      <c r="I3932" s="81"/>
      <c r="K3932" s="82"/>
      <c r="L3932" s="123"/>
      <c r="M3932" s="3"/>
      <c r="N3932" s="3"/>
      <c r="O3932" s="3"/>
      <c r="P3932" s="125"/>
      <c r="Q3932" s="125"/>
      <c r="R3932" s="127"/>
      <c r="S3932" s="123"/>
      <c r="T3932" s="3"/>
      <c r="W3932" s="86"/>
      <c r="Y3932" s="75"/>
    </row>
    <row r="3933" spans="1:25" x14ac:dyDescent="0.25">
      <c r="A3933" s="75"/>
      <c r="C3933" s="81"/>
      <c r="D3933" s="81"/>
      <c r="I3933" s="81"/>
      <c r="K3933" s="82"/>
      <c r="L3933" s="123"/>
      <c r="M3933" s="3"/>
      <c r="N3933" s="3"/>
      <c r="O3933" s="3"/>
      <c r="P3933" s="125"/>
      <c r="Q3933" s="125"/>
      <c r="R3933" s="127"/>
      <c r="S3933" s="123"/>
      <c r="T3933" s="3"/>
      <c r="W3933" s="86"/>
      <c r="Y3933" s="75"/>
    </row>
    <row r="3934" spans="1:25" x14ac:dyDescent="0.25">
      <c r="A3934" s="75"/>
      <c r="C3934" s="81"/>
      <c r="D3934" s="81"/>
      <c r="I3934" s="81"/>
      <c r="K3934" s="82"/>
      <c r="L3934" s="123"/>
      <c r="M3934" s="3"/>
      <c r="N3934" s="3"/>
      <c r="O3934" s="3"/>
      <c r="P3934" s="125"/>
      <c r="Q3934" s="125"/>
      <c r="R3934" s="127"/>
      <c r="S3934" s="123"/>
      <c r="T3934" s="3"/>
      <c r="W3934" s="86"/>
      <c r="Y3934" s="75"/>
    </row>
    <row r="3935" spans="1:25" x14ac:dyDescent="0.25">
      <c r="A3935" s="75"/>
      <c r="C3935" s="81"/>
      <c r="D3935" s="81"/>
      <c r="I3935" s="81"/>
      <c r="K3935" s="82"/>
      <c r="L3935" s="123"/>
      <c r="M3935" s="3"/>
      <c r="N3935" s="3"/>
      <c r="O3935" s="3"/>
      <c r="P3935" s="125"/>
      <c r="Q3935" s="125"/>
      <c r="R3935" s="127"/>
      <c r="S3935" s="123"/>
      <c r="T3935" s="3"/>
      <c r="W3935" s="86"/>
      <c r="Y3935" s="75"/>
    </row>
    <row r="3936" spans="1:25" x14ac:dyDescent="0.25">
      <c r="A3936" s="75"/>
      <c r="C3936" s="81"/>
      <c r="D3936" s="81"/>
      <c r="I3936" s="81"/>
      <c r="K3936" s="82"/>
      <c r="L3936" s="123"/>
      <c r="M3936" s="3"/>
      <c r="N3936" s="3"/>
      <c r="O3936" s="3"/>
      <c r="P3936" s="125"/>
      <c r="Q3936" s="125"/>
      <c r="R3936" s="127"/>
      <c r="S3936" s="123"/>
      <c r="T3936" s="3"/>
      <c r="W3936" s="86"/>
      <c r="Y3936" s="75"/>
    </row>
    <row r="3937" spans="1:25" x14ac:dyDescent="0.25">
      <c r="A3937" s="75"/>
      <c r="C3937" s="81"/>
      <c r="D3937" s="81"/>
      <c r="I3937" s="81"/>
      <c r="K3937" s="82"/>
      <c r="L3937" s="123"/>
      <c r="M3937" s="3"/>
      <c r="N3937" s="3"/>
      <c r="O3937" s="3"/>
      <c r="P3937" s="125"/>
      <c r="Q3937" s="125"/>
      <c r="R3937" s="127"/>
      <c r="S3937" s="123"/>
      <c r="T3937" s="3"/>
      <c r="W3937" s="86"/>
      <c r="Y3937" s="75"/>
    </row>
    <row r="3938" spans="1:25" x14ac:dyDescent="0.25">
      <c r="A3938" s="75"/>
      <c r="C3938" s="81"/>
      <c r="D3938" s="81"/>
      <c r="I3938" s="81"/>
      <c r="K3938" s="82"/>
      <c r="L3938" s="123"/>
      <c r="M3938" s="3"/>
      <c r="N3938" s="3"/>
      <c r="O3938" s="3"/>
      <c r="P3938" s="125"/>
      <c r="Q3938" s="125"/>
      <c r="R3938" s="127"/>
      <c r="S3938" s="123"/>
      <c r="T3938" s="3"/>
      <c r="W3938" s="86"/>
      <c r="Y3938" s="75"/>
    </row>
    <row r="3939" spans="1:25" x14ac:dyDescent="0.25">
      <c r="A3939" s="75"/>
      <c r="C3939" s="81"/>
      <c r="D3939" s="81"/>
      <c r="I3939" s="81"/>
      <c r="K3939" s="82"/>
      <c r="L3939" s="123"/>
      <c r="M3939" s="3"/>
      <c r="N3939" s="3"/>
      <c r="O3939" s="3"/>
      <c r="P3939" s="125"/>
      <c r="Q3939" s="125"/>
      <c r="R3939" s="127"/>
      <c r="S3939" s="123"/>
      <c r="T3939" s="3"/>
      <c r="W3939" s="86"/>
      <c r="Y3939" s="75"/>
    </row>
    <row r="3940" spans="1:25" x14ac:dyDescent="0.25">
      <c r="A3940" s="75"/>
      <c r="C3940" s="81"/>
      <c r="D3940" s="81"/>
      <c r="I3940" s="81"/>
      <c r="K3940" s="82"/>
      <c r="L3940" s="123"/>
      <c r="M3940" s="3"/>
      <c r="N3940" s="3"/>
      <c r="O3940" s="3"/>
      <c r="P3940" s="125"/>
      <c r="Q3940" s="125"/>
      <c r="R3940" s="127"/>
      <c r="S3940" s="123"/>
      <c r="T3940" s="3"/>
      <c r="W3940" s="86"/>
      <c r="Y3940" s="75"/>
    </row>
    <row r="3941" spans="1:25" x14ac:dyDescent="0.25">
      <c r="A3941" s="75"/>
      <c r="C3941" s="81"/>
      <c r="D3941" s="81"/>
      <c r="I3941" s="81"/>
      <c r="K3941" s="82"/>
      <c r="L3941" s="123"/>
      <c r="M3941" s="3"/>
      <c r="N3941" s="3"/>
      <c r="O3941" s="3"/>
      <c r="P3941" s="125"/>
      <c r="Q3941" s="125"/>
      <c r="R3941" s="127"/>
      <c r="S3941" s="123"/>
      <c r="T3941" s="3"/>
      <c r="W3941" s="86"/>
      <c r="Y3941" s="75"/>
    </row>
    <row r="3942" spans="1:25" x14ac:dyDescent="0.25">
      <c r="A3942" s="75"/>
      <c r="C3942" s="81"/>
      <c r="D3942" s="81"/>
      <c r="I3942" s="81"/>
      <c r="K3942" s="82"/>
      <c r="L3942" s="123"/>
      <c r="M3942" s="3"/>
      <c r="N3942" s="3"/>
      <c r="O3942" s="3"/>
      <c r="P3942" s="125"/>
      <c r="Q3942" s="125"/>
      <c r="R3942" s="127"/>
      <c r="S3942" s="123"/>
      <c r="T3942" s="3"/>
      <c r="W3942" s="86"/>
      <c r="Y3942" s="75"/>
    </row>
    <row r="3943" spans="1:25" x14ac:dyDescent="0.25">
      <c r="A3943" s="75"/>
      <c r="C3943" s="81"/>
      <c r="D3943" s="81"/>
      <c r="I3943" s="81"/>
      <c r="K3943" s="82"/>
      <c r="L3943" s="123"/>
      <c r="M3943" s="3"/>
      <c r="N3943" s="3"/>
      <c r="O3943" s="3"/>
      <c r="P3943" s="125"/>
      <c r="Q3943" s="125"/>
      <c r="R3943" s="127"/>
      <c r="S3943" s="123"/>
      <c r="T3943" s="3"/>
      <c r="W3943" s="86"/>
      <c r="Y3943" s="75"/>
    </row>
    <row r="3944" spans="1:25" x14ac:dyDescent="0.25">
      <c r="A3944" s="75"/>
      <c r="C3944" s="81"/>
      <c r="D3944" s="81"/>
      <c r="I3944" s="81"/>
      <c r="K3944" s="82"/>
      <c r="L3944" s="123"/>
      <c r="M3944" s="3"/>
      <c r="N3944" s="3"/>
      <c r="O3944" s="3"/>
      <c r="P3944" s="125"/>
      <c r="Q3944" s="125"/>
      <c r="R3944" s="127"/>
      <c r="S3944" s="123"/>
      <c r="T3944" s="3"/>
      <c r="W3944" s="86"/>
      <c r="Y3944" s="75"/>
    </row>
    <row r="3945" spans="1:25" x14ac:dyDescent="0.25">
      <c r="A3945" s="75"/>
      <c r="C3945" s="81"/>
      <c r="D3945" s="81"/>
      <c r="I3945" s="81"/>
      <c r="K3945" s="82"/>
      <c r="L3945" s="123"/>
      <c r="M3945" s="3"/>
      <c r="N3945" s="3"/>
      <c r="O3945" s="3"/>
      <c r="P3945" s="125"/>
      <c r="Q3945" s="125"/>
      <c r="R3945" s="127"/>
      <c r="S3945" s="123"/>
      <c r="T3945" s="3"/>
      <c r="W3945" s="86"/>
      <c r="Y3945" s="75"/>
    </row>
    <row r="3946" spans="1:25" x14ac:dyDescent="0.25">
      <c r="A3946" s="75"/>
      <c r="C3946" s="81"/>
      <c r="D3946" s="81"/>
      <c r="I3946" s="81"/>
      <c r="K3946" s="82"/>
      <c r="L3946" s="123"/>
      <c r="M3946" s="3"/>
      <c r="N3946" s="3"/>
      <c r="O3946" s="3"/>
      <c r="P3946" s="125"/>
      <c r="Q3946" s="125"/>
      <c r="R3946" s="127"/>
      <c r="S3946" s="123"/>
      <c r="T3946" s="3"/>
      <c r="W3946" s="86"/>
      <c r="Y3946" s="75"/>
    </row>
    <row r="3947" spans="1:25" x14ac:dyDescent="0.25">
      <c r="A3947" s="75"/>
      <c r="C3947" s="81"/>
      <c r="D3947" s="81"/>
      <c r="I3947" s="81"/>
      <c r="K3947" s="82"/>
      <c r="L3947" s="123"/>
      <c r="M3947" s="3"/>
      <c r="N3947" s="3"/>
      <c r="O3947" s="3"/>
      <c r="P3947" s="125"/>
      <c r="Q3947" s="125"/>
      <c r="R3947" s="127"/>
      <c r="S3947" s="123"/>
      <c r="T3947" s="3"/>
      <c r="W3947" s="86"/>
      <c r="Y3947" s="75"/>
    </row>
    <row r="3948" spans="1:25" x14ac:dyDescent="0.25">
      <c r="A3948" s="75"/>
      <c r="C3948" s="81"/>
      <c r="D3948" s="81"/>
      <c r="I3948" s="81"/>
      <c r="K3948" s="82"/>
      <c r="L3948" s="123"/>
      <c r="M3948" s="3"/>
      <c r="N3948" s="3"/>
      <c r="O3948" s="3"/>
      <c r="P3948" s="125"/>
      <c r="Q3948" s="125"/>
      <c r="R3948" s="127"/>
      <c r="S3948" s="123"/>
      <c r="T3948" s="3"/>
      <c r="W3948" s="86"/>
      <c r="Y3948" s="75"/>
    </row>
    <row r="3949" spans="1:25" x14ac:dyDescent="0.25">
      <c r="A3949" s="75"/>
      <c r="C3949" s="81"/>
      <c r="D3949" s="81"/>
      <c r="I3949" s="81"/>
      <c r="K3949" s="82"/>
      <c r="L3949" s="123"/>
      <c r="M3949" s="3"/>
      <c r="N3949" s="3"/>
      <c r="O3949" s="3"/>
      <c r="P3949" s="125"/>
      <c r="Q3949" s="125"/>
      <c r="R3949" s="127"/>
      <c r="S3949" s="123"/>
      <c r="T3949" s="3"/>
      <c r="W3949" s="86"/>
      <c r="Y3949" s="75"/>
    </row>
    <row r="3950" spans="1:25" x14ac:dyDescent="0.25">
      <c r="A3950" s="75"/>
      <c r="C3950" s="81"/>
      <c r="D3950" s="81"/>
      <c r="I3950" s="81"/>
      <c r="K3950" s="82"/>
      <c r="L3950" s="123"/>
      <c r="M3950" s="3"/>
      <c r="N3950" s="3"/>
      <c r="O3950" s="3"/>
      <c r="P3950" s="125"/>
      <c r="Q3950" s="125"/>
      <c r="R3950" s="127"/>
      <c r="S3950" s="123"/>
      <c r="T3950" s="3"/>
      <c r="W3950" s="86"/>
      <c r="Y3950" s="75"/>
    </row>
    <row r="3951" spans="1:25" x14ac:dyDescent="0.25">
      <c r="A3951" s="75"/>
      <c r="C3951" s="81"/>
      <c r="D3951" s="81"/>
      <c r="I3951" s="81"/>
      <c r="K3951" s="82"/>
      <c r="L3951" s="123"/>
      <c r="M3951" s="3"/>
      <c r="N3951" s="3"/>
      <c r="O3951" s="3"/>
      <c r="P3951" s="125"/>
      <c r="Q3951" s="125"/>
      <c r="R3951" s="127"/>
      <c r="S3951" s="123"/>
      <c r="T3951" s="3"/>
      <c r="W3951" s="86"/>
      <c r="Y3951" s="75"/>
    </row>
    <row r="3952" spans="1:25" x14ac:dyDescent="0.25">
      <c r="A3952" s="75"/>
      <c r="C3952" s="81"/>
      <c r="D3952" s="81"/>
      <c r="I3952" s="81"/>
      <c r="K3952" s="82"/>
      <c r="L3952" s="123"/>
      <c r="M3952" s="3"/>
      <c r="N3952" s="3"/>
      <c r="O3952" s="3"/>
      <c r="P3952" s="125"/>
      <c r="Q3952" s="125"/>
      <c r="R3952" s="127"/>
      <c r="S3952" s="123"/>
      <c r="T3952" s="3"/>
      <c r="W3952" s="86"/>
      <c r="Y3952" s="75"/>
    </row>
    <row r="3953" spans="1:25" x14ac:dyDescent="0.25">
      <c r="A3953" s="75"/>
      <c r="C3953" s="81"/>
      <c r="D3953" s="81"/>
      <c r="I3953" s="81"/>
      <c r="K3953" s="82"/>
      <c r="L3953" s="123"/>
      <c r="M3953" s="3"/>
      <c r="N3953" s="3"/>
      <c r="O3953" s="3"/>
      <c r="P3953" s="125"/>
      <c r="Q3953" s="125"/>
      <c r="R3953" s="127"/>
      <c r="S3953" s="123"/>
      <c r="T3953" s="3"/>
      <c r="W3953" s="86"/>
      <c r="Y3953" s="75"/>
    </row>
    <row r="3954" spans="1:25" x14ac:dyDescent="0.25">
      <c r="A3954" s="75"/>
      <c r="C3954" s="81"/>
      <c r="D3954" s="81"/>
      <c r="I3954" s="81"/>
      <c r="K3954" s="82"/>
      <c r="L3954" s="123"/>
      <c r="M3954" s="3"/>
      <c r="N3954" s="3"/>
      <c r="O3954" s="3"/>
      <c r="P3954" s="125"/>
      <c r="Q3954" s="125"/>
      <c r="R3954" s="127"/>
      <c r="S3954" s="123"/>
      <c r="T3954" s="3"/>
      <c r="W3954" s="86"/>
      <c r="Y3954" s="75"/>
    </row>
    <row r="3955" spans="1:25" x14ac:dyDescent="0.25">
      <c r="A3955" s="75"/>
      <c r="C3955" s="81"/>
      <c r="D3955" s="81"/>
      <c r="I3955" s="81"/>
      <c r="K3955" s="82"/>
      <c r="L3955" s="123"/>
      <c r="M3955" s="3"/>
      <c r="N3955" s="3"/>
      <c r="O3955" s="3"/>
      <c r="P3955" s="125"/>
      <c r="Q3955" s="125"/>
      <c r="R3955" s="127"/>
      <c r="S3955" s="123"/>
      <c r="T3955" s="3"/>
      <c r="W3955" s="86"/>
      <c r="Y3955" s="75"/>
    </row>
    <row r="3956" spans="1:25" x14ac:dyDescent="0.25">
      <c r="A3956" s="75"/>
      <c r="C3956" s="81"/>
      <c r="D3956" s="81"/>
      <c r="I3956" s="81"/>
      <c r="K3956" s="82"/>
      <c r="L3956" s="123"/>
      <c r="M3956" s="3"/>
      <c r="N3956" s="3"/>
      <c r="O3956" s="3"/>
      <c r="P3956" s="125"/>
      <c r="Q3956" s="125"/>
      <c r="R3956" s="127"/>
      <c r="S3956" s="123"/>
      <c r="T3956" s="3"/>
      <c r="W3956" s="86"/>
      <c r="Y3956" s="75"/>
    </row>
    <row r="3957" spans="1:25" x14ac:dyDescent="0.25">
      <c r="A3957" s="75"/>
      <c r="C3957" s="81"/>
      <c r="D3957" s="81"/>
      <c r="I3957" s="81"/>
      <c r="K3957" s="82"/>
      <c r="L3957" s="123"/>
      <c r="M3957" s="3"/>
      <c r="N3957" s="3"/>
      <c r="O3957" s="3"/>
      <c r="P3957" s="125"/>
      <c r="Q3957" s="125"/>
      <c r="R3957" s="127"/>
      <c r="S3957" s="123"/>
      <c r="T3957" s="3"/>
      <c r="W3957" s="86"/>
      <c r="Y3957" s="75"/>
    </row>
    <row r="3958" spans="1:25" x14ac:dyDescent="0.25">
      <c r="A3958" s="75"/>
      <c r="C3958" s="81"/>
      <c r="D3958" s="81"/>
      <c r="I3958" s="81"/>
      <c r="K3958" s="82"/>
      <c r="L3958" s="123"/>
      <c r="M3958" s="3"/>
      <c r="N3958" s="3"/>
      <c r="O3958" s="3"/>
      <c r="P3958" s="125"/>
      <c r="Q3958" s="125"/>
      <c r="R3958" s="127"/>
      <c r="S3958" s="123"/>
      <c r="T3958" s="3"/>
      <c r="W3958" s="86"/>
      <c r="Y3958" s="75"/>
    </row>
    <row r="3959" spans="1:25" x14ac:dyDescent="0.25">
      <c r="A3959" s="75"/>
      <c r="C3959" s="81"/>
      <c r="D3959" s="81"/>
      <c r="I3959" s="81"/>
      <c r="K3959" s="82"/>
      <c r="L3959" s="123"/>
      <c r="M3959" s="3"/>
      <c r="N3959" s="3"/>
      <c r="O3959" s="3"/>
      <c r="P3959" s="125"/>
      <c r="Q3959" s="125"/>
      <c r="R3959" s="127"/>
      <c r="S3959" s="123"/>
      <c r="T3959" s="3"/>
      <c r="W3959" s="86"/>
      <c r="Y3959" s="75"/>
    </row>
    <row r="3960" spans="1:25" x14ac:dyDescent="0.25">
      <c r="A3960" s="75"/>
      <c r="C3960" s="81"/>
      <c r="D3960" s="81"/>
      <c r="I3960" s="81"/>
      <c r="K3960" s="82"/>
      <c r="L3960" s="123"/>
      <c r="M3960" s="3"/>
      <c r="N3960" s="3"/>
      <c r="O3960" s="3"/>
      <c r="P3960" s="125"/>
      <c r="Q3960" s="125"/>
      <c r="R3960" s="127"/>
      <c r="S3960" s="123"/>
      <c r="T3960" s="3"/>
      <c r="W3960" s="86"/>
      <c r="Y3960" s="75"/>
    </row>
    <row r="3961" spans="1:25" x14ac:dyDescent="0.25">
      <c r="A3961" s="75"/>
      <c r="C3961" s="81"/>
      <c r="D3961" s="81"/>
      <c r="I3961" s="81"/>
      <c r="K3961" s="82"/>
      <c r="L3961" s="123"/>
      <c r="M3961" s="3"/>
      <c r="N3961" s="3"/>
      <c r="O3961" s="3"/>
      <c r="P3961" s="125"/>
      <c r="Q3961" s="125"/>
      <c r="R3961" s="127"/>
      <c r="S3961" s="123"/>
      <c r="T3961" s="3"/>
      <c r="W3961" s="86"/>
      <c r="Y3961" s="75"/>
    </row>
    <row r="3962" spans="1:25" x14ac:dyDescent="0.25">
      <c r="A3962" s="75"/>
      <c r="C3962" s="81"/>
      <c r="D3962" s="81"/>
      <c r="I3962" s="81"/>
      <c r="K3962" s="82"/>
      <c r="L3962" s="123"/>
      <c r="M3962" s="3"/>
      <c r="N3962" s="3"/>
      <c r="O3962" s="3"/>
      <c r="P3962" s="125"/>
      <c r="Q3962" s="125"/>
      <c r="R3962" s="127"/>
      <c r="S3962" s="123"/>
      <c r="T3962" s="3"/>
      <c r="W3962" s="86"/>
      <c r="Y3962" s="75"/>
    </row>
    <row r="3963" spans="1:25" x14ac:dyDescent="0.25">
      <c r="A3963" s="75"/>
      <c r="C3963" s="81"/>
      <c r="D3963" s="81"/>
      <c r="I3963" s="81"/>
      <c r="K3963" s="82"/>
      <c r="L3963" s="123"/>
      <c r="M3963" s="3"/>
      <c r="N3963" s="3"/>
      <c r="O3963" s="3"/>
      <c r="P3963" s="125"/>
      <c r="Q3963" s="125"/>
      <c r="R3963" s="127"/>
      <c r="S3963" s="123"/>
      <c r="T3963" s="3"/>
      <c r="W3963" s="86"/>
      <c r="Y3963" s="75"/>
    </row>
    <row r="3964" spans="1:25" x14ac:dyDescent="0.25">
      <c r="A3964" s="75"/>
      <c r="C3964" s="81"/>
      <c r="D3964" s="81"/>
      <c r="I3964" s="81"/>
      <c r="K3964" s="82"/>
      <c r="L3964" s="123"/>
      <c r="M3964" s="3"/>
      <c r="N3964" s="3"/>
      <c r="O3964" s="3"/>
      <c r="P3964" s="125"/>
      <c r="Q3964" s="125"/>
      <c r="R3964" s="127"/>
      <c r="S3964" s="123"/>
      <c r="T3964" s="3"/>
      <c r="W3964" s="86"/>
      <c r="Y3964" s="75"/>
    </row>
    <row r="3965" spans="1:25" x14ac:dyDescent="0.25">
      <c r="A3965" s="75"/>
      <c r="C3965" s="81"/>
      <c r="D3965" s="81"/>
      <c r="I3965" s="81"/>
      <c r="K3965" s="82"/>
      <c r="L3965" s="123"/>
      <c r="M3965" s="3"/>
      <c r="N3965" s="3"/>
      <c r="O3965" s="3"/>
      <c r="P3965" s="125"/>
      <c r="Q3965" s="125"/>
      <c r="R3965" s="127"/>
      <c r="S3965" s="123"/>
      <c r="T3965" s="3"/>
      <c r="W3965" s="86"/>
      <c r="Y3965" s="75"/>
    </row>
    <row r="3966" spans="1:25" x14ac:dyDescent="0.25">
      <c r="A3966" s="75"/>
      <c r="C3966" s="81"/>
      <c r="D3966" s="81"/>
      <c r="I3966" s="81"/>
      <c r="K3966" s="82"/>
      <c r="L3966" s="123"/>
      <c r="M3966" s="3"/>
      <c r="N3966" s="3"/>
      <c r="O3966" s="3"/>
      <c r="P3966" s="125"/>
      <c r="Q3966" s="125"/>
      <c r="R3966" s="127"/>
      <c r="S3966" s="123"/>
      <c r="T3966" s="3"/>
      <c r="W3966" s="86"/>
      <c r="Y3966" s="75"/>
    </row>
    <row r="3967" spans="1:25" x14ac:dyDescent="0.25">
      <c r="A3967" s="75"/>
      <c r="C3967" s="81"/>
      <c r="D3967" s="81"/>
      <c r="I3967" s="81"/>
      <c r="K3967" s="82"/>
      <c r="L3967" s="123"/>
      <c r="M3967" s="3"/>
      <c r="N3967" s="3"/>
      <c r="O3967" s="3"/>
      <c r="P3967" s="125"/>
      <c r="Q3967" s="125"/>
      <c r="R3967" s="127"/>
      <c r="S3967" s="123"/>
      <c r="T3967" s="3"/>
      <c r="W3967" s="86"/>
      <c r="Y3967" s="75"/>
    </row>
    <row r="3968" spans="1:25" x14ac:dyDescent="0.25">
      <c r="A3968" s="75"/>
      <c r="C3968" s="81"/>
      <c r="D3968" s="81"/>
      <c r="I3968" s="81"/>
      <c r="K3968" s="82"/>
      <c r="L3968" s="123"/>
      <c r="M3968" s="3"/>
      <c r="N3968" s="3"/>
      <c r="O3968" s="3"/>
      <c r="P3968" s="125"/>
      <c r="Q3968" s="125"/>
      <c r="R3968" s="127"/>
      <c r="S3968" s="123"/>
      <c r="T3968" s="3"/>
      <c r="W3968" s="86"/>
      <c r="Y3968" s="75"/>
    </row>
    <row r="3969" spans="1:25" x14ac:dyDescent="0.25">
      <c r="A3969" s="75"/>
      <c r="C3969" s="81"/>
      <c r="D3969" s="81"/>
      <c r="I3969" s="81"/>
      <c r="K3969" s="82"/>
      <c r="L3969" s="123"/>
      <c r="M3969" s="3"/>
      <c r="N3969" s="3"/>
      <c r="O3969" s="3"/>
      <c r="P3969" s="125"/>
      <c r="Q3969" s="125"/>
      <c r="R3969" s="127"/>
      <c r="S3969" s="123"/>
      <c r="T3969" s="3"/>
      <c r="W3969" s="86"/>
      <c r="Y3969" s="75"/>
    </row>
    <row r="3970" spans="1:25" x14ac:dyDescent="0.25">
      <c r="A3970" s="75"/>
      <c r="C3970" s="81"/>
      <c r="D3970" s="81"/>
      <c r="I3970" s="81"/>
      <c r="K3970" s="82"/>
      <c r="L3970" s="123"/>
      <c r="M3970" s="3"/>
      <c r="N3970" s="3"/>
      <c r="O3970" s="3"/>
      <c r="P3970" s="125"/>
      <c r="Q3970" s="125"/>
      <c r="R3970" s="127"/>
      <c r="S3970" s="123"/>
      <c r="T3970" s="3"/>
      <c r="W3970" s="86"/>
      <c r="Y3970" s="75"/>
    </row>
    <row r="3971" spans="1:25" x14ac:dyDescent="0.25">
      <c r="A3971" s="75"/>
      <c r="C3971" s="81"/>
      <c r="D3971" s="81"/>
      <c r="I3971" s="81"/>
      <c r="K3971" s="82"/>
      <c r="L3971" s="123"/>
      <c r="M3971" s="3"/>
      <c r="N3971" s="3"/>
      <c r="O3971" s="3"/>
      <c r="P3971" s="125"/>
      <c r="Q3971" s="125"/>
      <c r="R3971" s="127"/>
      <c r="S3971" s="123"/>
      <c r="T3971" s="3"/>
      <c r="W3971" s="86"/>
      <c r="Y3971" s="75"/>
    </row>
    <row r="3972" spans="1:25" x14ac:dyDescent="0.25">
      <c r="A3972" s="75"/>
      <c r="C3972" s="81"/>
      <c r="D3972" s="81"/>
      <c r="I3972" s="81"/>
      <c r="K3972" s="82"/>
      <c r="L3972" s="123"/>
      <c r="M3972" s="3"/>
      <c r="N3972" s="3"/>
      <c r="O3972" s="3"/>
      <c r="P3972" s="125"/>
      <c r="Q3972" s="125"/>
      <c r="R3972" s="127"/>
      <c r="S3972" s="123"/>
      <c r="T3972" s="3"/>
      <c r="W3972" s="86"/>
      <c r="Y3972" s="75"/>
    </row>
    <row r="3973" spans="1:25" x14ac:dyDescent="0.25">
      <c r="A3973" s="75"/>
      <c r="C3973" s="81"/>
      <c r="D3973" s="81"/>
      <c r="I3973" s="81"/>
      <c r="K3973" s="82"/>
      <c r="L3973" s="123"/>
      <c r="M3973" s="3"/>
      <c r="N3973" s="3"/>
      <c r="O3973" s="3"/>
      <c r="P3973" s="125"/>
      <c r="Q3973" s="125"/>
      <c r="R3973" s="127"/>
      <c r="S3973" s="123"/>
      <c r="T3973" s="3"/>
      <c r="W3973" s="86"/>
      <c r="Y3973" s="75"/>
    </row>
    <row r="3974" spans="1:25" x14ac:dyDescent="0.25">
      <c r="A3974" s="75"/>
      <c r="C3974" s="81"/>
      <c r="D3974" s="81"/>
      <c r="I3974" s="81"/>
      <c r="K3974" s="82"/>
      <c r="L3974" s="123"/>
      <c r="M3974" s="3"/>
      <c r="N3974" s="3"/>
      <c r="O3974" s="3"/>
      <c r="P3974" s="125"/>
      <c r="Q3974" s="125"/>
      <c r="R3974" s="127"/>
      <c r="S3974" s="123"/>
      <c r="T3974" s="3"/>
      <c r="W3974" s="86"/>
      <c r="Y3974" s="75"/>
    </row>
    <row r="3975" spans="1:25" x14ac:dyDescent="0.25">
      <c r="A3975" s="75"/>
      <c r="C3975" s="81"/>
      <c r="D3975" s="81"/>
      <c r="I3975" s="81"/>
      <c r="K3975" s="82"/>
      <c r="L3975" s="123"/>
      <c r="M3975" s="3"/>
      <c r="N3975" s="3"/>
      <c r="O3975" s="3"/>
      <c r="P3975" s="125"/>
      <c r="Q3975" s="125"/>
      <c r="R3975" s="127"/>
      <c r="S3975" s="123"/>
      <c r="T3975" s="3"/>
      <c r="W3975" s="86"/>
      <c r="Y3975" s="75"/>
    </row>
    <row r="3976" spans="1:25" x14ac:dyDescent="0.25">
      <c r="A3976" s="75"/>
      <c r="C3976" s="81"/>
      <c r="D3976" s="81"/>
      <c r="I3976" s="81"/>
      <c r="K3976" s="82"/>
      <c r="L3976" s="123"/>
      <c r="M3976" s="3"/>
      <c r="N3976" s="3"/>
      <c r="O3976" s="3"/>
      <c r="P3976" s="125"/>
      <c r="Q3976" s="125"/>
      <c r="R3976" s="127"/>
      <c r="S3976" s="123"/>
      <c r="T3976" s="3"/>
      <c r="W3976" s="86"/>
      <c r="Y3976" s="75"/>
    </row>
    <row r="3977" spans="1:25" x14ac:dyDescent="0.25">
      <c r="A3977" s="75"/>
      <c r="C3977" s="81"/>
      <c r="D3977" s="81"/>
      <c r="I3977" s="81"/>
      <c r="K3977" s="82"/>
      <c r="L3977" s="123"/>
      <c r="M3977" s="3"/>
      <c r="N3977" s="3"/>
      <c r="O3977" s="3"/>
      <c r="P3977" s="125"/>
      <c r="Q3977" s="125"/>
      <c r="R3977" s="127"/>
      <c r="S3977" s="123"/>
      <c r="T3977" s="3"/>
      <c r="W3977" s="86"/>
      <c r="Y3977" s="75"/>
    </row>
    <row r="3978" spans="1:25" x14ac:dyDescent="0.25">
      <c r="A3978" s="75"/>
      <c r="C3978" s="81"/>
      <c r="D3978" s="81"/>
      <c r="I3978" s="81"/>
      <c r="K3978" s="82"/>
      <c r="L3978" s="123"/>
      <c r="M3978" s="3"/>
      <c r="N3978" s="3"/>
      <c r="O3978" s="3"/>
      <c r="P3978" s="125"/>
      <c r="Q3978" s="125"/>
      <c r="R3978" s="127"/>
      <c r="S3978" s="123"/>
      <c r="T3978" s="3"/>
      <c r="W3978" s="86"/>
      <c r="Y3978" s="75"/>
    </row>
    <row r="3979" spans="1:25" x14ac:dyDescent="0.25">
      <c r="A3979" s="75"/>
      <c r="C3979" s="81"/>
      <c r="D3979" s="81"/>
      <c r="I3979" s="81"/>
      <c r="K3979" s="82"/>
      <c r="L3979" s="123"/>
      <c r="M3979" s="3"/>
      <c r="N3979" s="3"/>
      <c r="O3979" s="3"/>
      <c r="P3979" s="125"/>
      <c r="Q3979" s="125"/>
      <c r="R3979" s="127"/>
      <c r="S3979" s="123"/>
      <c r="T3979" s="3"/>
      <c r="W3979" s="86"/>
      <c r="Y3979" s="75"/>
    </row>
    <row r="3980" spans="1:25" x14ac:dyDescent="0.25">
      <c r="A3980" s="75"/>
      <c r="C3980" s="81"/>
      <c r="D3980" s="81"/>
      <c r="I3980" s="81"/>
      <c r="K3980" s="82"/>
      <c r="L3980" s="123"/>
      <c r="M3980" s="3"/>
      <c r="N3980" s="3"/>
      <c r="O3980" s="3"/>
      <c r="P3980" s="125"/>
      <c r="Q3980" s="125"/>
      <c r="R3980" s="127"/>
      <c r="S3980" s="123"/>
      <c r="T3980" s="3"/>
      <c r="W3980" s="86"/>
      <c r="Y3980" s="75"/>
    </row>
    <row r="3981" spans="1:25" x14ac:dyDescent="0.25">
      <c r="A3981" s="75"/>
      <c r="C3981" s="81"/>
      <c r="D3981" s="81"/>
      <c r="I3981" s="81"/>
      <c r="K3981" s="82"/>
      <c r="L3981" s="123"/>
      <c r="M3981" s="3"/>
      <c r="N3981" s="3"/>
      <c r="O3981" s="3"/>
      <c r="P3981" s="125"/>
      <c r="Q3981" s="125"/>
      <c r="R3981" s="127"/>
      <c r="S3981" s="123"/>
      <c r="T3981" s="3"/>
      <c r="W3981" s="86"/>
      <c r="Y3981" s="75"/>
    </row>
    <row r="3982" spans="1:25" x14ac:dyDescent="0.25">
      <c r="A3982" s="75"/>
      <c r="C3982" s="81"/>
      <c r="D3982" s="81"/>
      <c r="I3982" s="81"/>
      <c r="K3982" s="82"/>
      <c r="L3982" s="123"/>
      <c r="M3982" s="3"/>
      <c r="N3982" s="3"/>
      <c r="O3982" s="3"/>
      <c r="P3982" s="125"/>
      <c r="Q3982" s="125"/>
      <c r="R3982" s="127"/>
      <c r="S3982" s="123"/>
      <c r="T3982" s="3"/>
      <c r="W3982" s="86"/>
      <c r="Y3982" s="75"/>
    </row>
    <row r="3983" spans="1:25" x14ac:dyDescent="0.25">
      <c r="A3983" s="75"/>
      <c r="C3983" s="81"/>
      <c r="D3983" s="81"/>
      <c r="I3983" s="81"/>
      <c r="K3983" s="82"/>
      <c r="L3983" s="123"/>
      <c r="M3983" s="3"/>
      <c r="N3983" s="3"/>
      <c r="O3983" s="3"/>
      <c r="P3983" s="125"/>
      <c r="Q3983" s="125"/>
      <c r="R3983" s="127"/>
      <c r="S3983" s="123"/>
      <c r="T3983" s="3"/>
      <c r="W3983" s="86"/>
      <c r="Y3983" s="75"/>
    </row>
    <row r="3984" spans="1:25" x14ac:dyDescent="0.25">
      <c r="A3984" s="75"/>
      <c r="C3984" s="81"/>
      <c r="D3984" s="81"/>
      <c r="I3984" s="81"/>
      <c r="K3984" s="82"/>
      <c r="L3984" s="123"/>
      <c r="M3984" s="3"/>
      <c r="N3984" s="3"/>
      <c r="O3984" s="3"/>
      <c r="P3984" s="125"/>
      <c r="Q3984" s="125"/>
      <c r="R3984" s="127"/>
      <c r="S3984" s="123"/>
      <c r="T3984" s="3"/>
      <c r="W3984" s="86"/>
      <c r="Y3984" s="75"/>
    </row>
    <row r="3985" spans="1:25" x14ac:dyDescent="0.25">
      <c r="A3985" s="75"/>
      <c r="C3985" s="81"/>
      <c r="D3985" s="81"/>
      <c r="I3985" s="81"/>
      <c r="K3985" s="82"/>
      <c r="L3985" s="123"/>
      <c r="M3985" s="3"/>
      <c r="N3985" s="3"/>
      <c r="O3985" s="3"/>
      <c r="P3985" s="125"/>
      <c r="Q3985" s="125"/>
      <c r="R3985" s="127"/>
      <c r="S3985" s="123"/>
      <c r="T3985" s="3"/>
      <c r="W3985" s="86"/>
      <c r="Y3985" s="75"/>
    </row>
    <row r="3986" spans="1:25" x14ac:dyDescent="0.25">
      <c r="A3986" s="75"/>
      <c r="C3986" s="81"/>
      <c r="D3986" s="81"/>
      <c r="I3986" s="81"/>
      <c r="K3986" s="82"/>
      <c r="L3986" s="123"/>
      <c r="M3986" s="3"/>
      <c r="N3986" s="3"/>
      <c r="O3986" s="3"/>
      <c r="P3986" s="125"/>
      <c r="Q3986" s="125"/>
      <c r="R3986" s="127"/>
      <c r="S3986" s="123"/>
      <c r="T3986" s="3"/>
      <c r="W3986" s="86"/>
      <c r="Y3986" s="75"/>
    </row>
    <row r="3987" spans="1:25" x14ac:dyDescent="0.25">
      <c r="A3987" s="75"/>
      <c r="C3987" s="81"/>
      <c r="D3987" s="81"/>
      <c r="I3987" s="81"/>
      <c r="K3987" s="82"/>
      <c r="L3987" s="123"/>
      <c r="M3987" s="3"/>
      <c r="N3987" s="3"/>
      <c r="O3987" s="3"/>
      <c r="P3987" s="125"/>
      <c r="Q3987" s="125"/>
      <c r="R3987" s="127"/>
      <c r="S3987" s="123"/>
      <c r="T3987" s="3"/>
      <c r="W3987" s="86"/>
      <c r="Y3987" s="75"/>
    </row>
    <row r="3988" spans="1:25" x14ac:dyDescent="0.25">
      <c r="A3988" s="75"/>
      <c r="C3988" s="81"/>
      <c r="D3988" s="81"/>
      <c r="I3988" s="81"/>
      <c r="K3988" s="82"/>
      <c r="L3988" s="123"/>
      <c r="M3988" s="3"/>
      <c r="N3988" s="3"/>
      <c r="O3988" s="3"/>
      <c r="P3988" s="125"/>
      <c r="Q3988" s="125"/>
      <c r="R3988" s="127"/>
      <c r="S3988" s="123"/>
      <c r="T3988" s="3"/>
      <c r="W3988" s="86"/>
      <c r="Y3988" s="75"/>
    </row>
    <row r="3989" spans="1:25" x14ac:dyDescent="0.25">
      <c r="A3989" s="75"/>
      <c r="C3989" s="81"/>
      <c r="D3989" s="81"/>
      <c r="I3989" s="81"/>
      <c r="K3989" s="82"/>
      <c r="L3989" s="123"/>
      <c r="M3989" s="3"/>
      <c r="N3989" s="3"/>
      <c r="O3989" s="3"/>
      <c r="P3989" s="125"/>
      <c r="Q3989" s="125"/>
      <c r="R3989" s="127"/>
      <c r="S3989" s="123"/>
      <c r="T3989" s="3"/>
      <c r="W3989" s="86"/>
      <c r="Y3989" s="75"/>
    </row>
    <row r="3990" spans="1:25" x14ac:dyDescent="0.25">
      <c r="A3990" s="75"/>
      <c r="C3990" s="81"/>
      <c r="D3990" s="81"/>
      <c r="I3990" s="81"/>
      <c r="K3990" s="82"/>
      <c r="L3990" s="123"/>
      <c r="M3990" s="3"/>
      <c r="N3990" s="3"/>
      <c r="O3990" s="3"/>
      <c r="P3990" s="125"/>
      <c r="Q3990" s="125"/>
      <c r="R3990" s="127"/>
      <c r="S3990" s="123"/>
      <c r="T3990" s="3"/>
      <c r="W3990" s="86"/>
      <c r="Y3990" s="75"/>
    </row>
    <row r="3991" spans="1:25" x14ac:dyDescent="0.25">
      <c r="A3991" s="75"/>
      <c r="C3991" s="81"/>
      <c r="D3991" s="81"/>
      <c r="I3991" s="81"/>
      <c r="K3991" s="82"/>
      <c r="L3991" s="123"/>
      <c r="M3991" s="3"/>
      <c r="N3991" s="3"/>
      <c r="O3991" s="3"/>
      <c r="P3991" s="125"/>
      <c r="Q3991" s="125"/>
      <c r="R3991" s="127"/>
      <c r="S3991" s="123"/>
      <c r="T3991" s="3"/>
      <c r="W3991" s="86"/>
      <c r="Y3991" s="75"/>
    </row>
    <row r="3992" spans="1:25" x14ac:dyDescent="0.25">
      <c r="A3992" s="75"/>
      <c r="C3992" s="81"/>
      <c r="D3992" s="81"/>
      <c r="I3992" s="81"/>
      <c r="K3992" s="82"/>
      <c r="L3992" s="123"/>
      <c r="M3992" s="3"/>
      <c r="N3992" s="3"/>
      <c r="O3992" s="3"/>
      <c r="P3992" s="125"/>
      <c r="Q3992" s="125"/>
      <c r="R3992" s="127"/>
      <c r="S3992" s="123"/>
      <c r="T3992" s="3"/>
      <c r="W3992" s="86"/>
      <c r="Y3992" s="75"/>
    </row>
    <row r="3993" spans="1:25" x14ac:dyDescent="0.25">
      <c r="A3993" s="75"/>
      <c r="C3993" s="81"/>
      <c r="D3993" s="81"/>
      <c r="I3993" s="81"/>
      <c r="K3993" s="82"/>
      <c r="L3993" s="123"/>
      <c r="M3993" s="3"/>
      <c r="N3993" s="3"/>
      <c r="O3993" s="3"/>
      <c r="P3993" s="125"/>
      <c r="Q3993" s="125"/>
      <c r="R3993" s="127"/>
      <c r="S3993" s="123"/>
      <c r="T3993" s="3"/>
      <c r="W3993" s="86"/>
      <c r="Y3993" s="75"/>
    </row>
    <row r="3994" spans="1:25" x14ac:dyDescent="0.25">
      <c r="A3994" s="75"/>
      <c r="C3994" s="81"/>
      <c r="D3994" s="81"/>
      <c r="I3994" s="81"/>
      <c r="K3994" s="82"/>
      <c r="L3994" s="123"/>
      <c r="M3994" s="3"/>
      <c r="N3994" s="3"/>
      <c r="O3994" s="3"/>
      <c r="P3994" s="125"/>
      <c r="Q3994" s="125"/>
      <c r="R3994" s="127"/>
      <c r="S3994" s="123"/>
      <c r="T3994" s="3"/>
      <c r="W3994" s="86"/>
      <c r="Y3994" s="75"/>
    </row>
    <row r="3995" spans="1:25" x14ac:dyDescent="0.25">
      <c r="A3995" s="75"/>
      <c r="C3995" s="81"/>
      <c r="D3995" s="81"/>
      <c r="I3995" s="81"/>
      <c r="K3995" s="82"/>
      <c r="L3995" s="123"/>
      <c r="M3995" s="3"/>
      <c r="N3995" s="3"/>
      <c r="O3995" s="3"/>
      <c r="P3995" s="125"/>
      <c r="Q3995" s="125"/>
      <c r="R3995" s="127"/>
      <c r="S3995" s="123"/>
      <c r="T3995" s="3"/>
      <c r="W3995" s="86"/>
      <c r="Y3995" s="75"/>
    </row>
    <row r="3996" spans="1:25" x14ac:dyDescent="0.25">
      <c r="A3996" s="75"/>
      <c r="C3996" s="81"/>
      <c r="D3996" s="81"/>
      <c r="I3996" s="81"/>
      <c r="K3996" s="82"/>
      <c r="L3996" s="123"/>
      <c r="M3996" s="3"/>
      <c r="N3996" s="3"/>
      <c r="O3996" s="3"/>
      <c r="P3996" s="125"/>
      <c r="Q3996" s="125"/>
      <c r="R3996" s="127"/>
      <c r="S3996" s="123"/>
      <c r="T3996" s="3"/>
      <c r="W3996" s="86"/>
      <c r="Y3996" s="75"/>
    </row>
    <row r="3997" spans="1:25" x14ac:dyDescent="0.25">
      <c r="A3997" s="75"/>
      <c r="C3997" s="81"/>
      <c r="D3997" s="81"/>
      <c r="I3997" s="81"/>
      <c r="K3997" s="82"/>
      <c r="L3997" s="123"/>
      <c r="M3997" s="3"/>
      <c r="N3997" s="3"/>
      <c r="O3997" s="3"/>
      <c r="P3997" s="125"/>
      <c r="Q3997" s="125"/>
      <c r="R3997" s="127"/>
      <c r="S3997" s="123"/>
      <c r="T3997" s="3"/>
      <c r="W3997" s="86"/>
      <c r="Y3997" s="75"/>
    </row>
    <row r="3998" spans="1:25" x14ac:dyDescent="0.25">
      <c r="A3998" s="75"/>
      <c r="C3998" s="81"/>
      <c r="D3998" s="81"/>
      <c r="I3998" s="81"/>
      <c r="K3998" s="82"/>
      <c r="L3998" s="123"/>
      <c r="M3998" s="3"/>
      <c r="N3998" s="3"/>
      <c r="O3998" s="3"/>
      <c r="P3998" s="125"/>
      <c r="Q3998" s="125"/>
      <c r="R3998" s="127"/>
      <c r="S3998" s="123"/>
      <c r="T3998" s="3"/>
      <c r="W3998" s="86"/>
      <c r="Y3998" s="75"/>
    </row>
    <row r="3999" spans="1:25" x14ac:dyDescent="0.25">
      <c r="A3999" s="75"/>
      <c r="C3999" s="81"/>
      <c r="D3999" s="81"/>
      <c r="I3999" s="81"/>
      <c r="K3999" s="82"/>
      <c r="L3999" s="123"/>
      <c r="M3999" s="3"/>
      <c r="N3999" s="3"/>
      <c r="O3999" s="3"/>
      <c r="P3999" s="125"/>
      <c r="Q3999" s="125"/>
      <c r="R3999" s="127"/>
      <c r="S3999" s="123"/>
      <c r="T3999" s="3"/>
      <c r="W3999" s="86"/>
      <c r="Y3999" s="75"/>
    </row>
    <row r="4000" spans="1:25" x14ac:dyDescent="0.25">
      <c r="A4000" s="75"/>
      <c r="C4000" s="81"/>
      <c r="D4000" s="81"/>
      <c r="I4000" s="81"/>
      <c r="K4000" s="82"/>
      <c r="L4000" s="123"/>
      <c r="M4000" s="3"/>
      <c r="N4000" s="3"/>
      <c r="O4000" s="3"/>
      <c r="P4000" s="125"/>
      <c r="Q4000" s="125"/>
      <c r="R4000" s="127"/>
      <c r="S4000" s="123"/>
      <c r="T4000" s="3"/>
      <c r="W4000" s="86"/>
      <c r="Y4000" s="75"/>
    </row>
    <row r="4001" spans="1:25" x14ac:dyDescent="0.25">
      <c r="A4001" s="75"/>
      <c r="C4001" s="81"/>
      <c r="D4001" s="81"/>
      <c r="I4001" s="81"/>
      <c r="K4001" s="82"/>
      <c r="L4001" s="123"/>
      <c r="M4001" s="3"/>
      <c r="N4001" s="3"/>
      <c r="O4001" s="3"/>
      <c r="P4001" s="125"/>
      <c r="Q4001" s="125"/>
      <c r="R4001" s="127"/>
      <c r="S4001" s="123"/>
      <c r="T4001" s="3"/>
      <c r="W4001" s="86"/>
      <c r="Y4001" s="75"/>
    </row>
    <row r="4002" spans="1:25" x14ac:dyDescent="0.25">
      <c r="A4002" s="75"/>
      <c r="C4002" s="81"/>
      <c r="D4002" s="81"/>
      <c r="I4002" s="81"/>
      <c r="K4002" s="82"/>
      <c r="L4002" s="123"/>
      <c r="M4002" s="3"/>
      <c r="N4002" s="3"/>
      <c r="O4002" s="3"/>
      <c r="P4002" s="125"/>
      <c r="Q4002" s="125"/>
      <c r="R4002" s="127"/>
      <c r="S4002" s="123"/>
      <c r="T4002" s="3"/>
      <c r="W4002" s="86"/>
      <c r="Y4002" s="75"/>
    </row>
    <row r="4003" spans="1:25" x14ac:dyDescent="0.25">
      <c r="A4003" s="75"/>
      <c r="C4003" s="81"/>
      <c r="D4003" s="81"/>
      <c r="I4003" s="81"/>
      <c r="K4003" s="82"/>
      <c r="L4003" s="123"/>
      <c r="M4003" s="3"/>
      <c r="N4003" s="3"/>
      <c r="O4003" s="3"/>
      <c r="P4003" s="125"/>
      <c r="Q4003" s="125"/>
      <c r="R4003" s="127"/>
      <c r="S4003" s="123"/>
      <c r="T4003" s="3"/>
      <c r="W4003" s="86"/>
      <c r="Y4003" s="75"/>
    </row>
    <row r="4004" spans="1:25" x14ac:dyDescent="0.25">
      <c r="A4004" s="75"/>
      <c r="C4004" s="81"/>
      <c r="D4004" s="81"/>
      <c r="I4004" s="81"/>
      <c r="K4004" s="82"/>
      <c r="L4004" s="123"/>
      <c r="M4004" s="3"/>
      <c r="N4004" s="3"/>
      <c r="O4004" s="3"/>
      <c r="P4004" s="125"/>
      <c r="Q4004" s="125"/>
      <c r="R4004" s="127"/>
      <c r="S4004" s="123"/>
      <c r="T4004" s="3"/>
      <c r="W4004" s="86"/>
      <c r="Y4004" s="75"/>
    </row>
    <row r="4005" spans="1:25" x14ac:dyDescent="0.25">
      <c r="A4005" s="75"/>
      <c r="C4005" s="81"/>
      <c r="D4005" s="81"/>
      <c r="I4005" s="81"/>
      <c r="K4005" s="82"/>
      <c r="L4005" s="123"/>
      <c r="M4005" s="3"/>
      <c r="N4005" s="3"/>
      <c r="O4005" s="3"/>
      <c r="P4005" s="125"/>
      <c r="Q4005" s="125"/>
      <c r="R4005" s="127"/>
      <c r="S4005" s="123"/>
      <c r="T4005" s="3"/>
      <c r="W4005" s="86"/>
      <c r="Y4005" s="75"/>
    </row>
    <row r="4006" spans="1:25" x14ac:dyDescent="0.25">
      <c r="A4006" s="75"/>
      <c r="C4006" s="81"/>
      <c r="D4006" s="81"/>
      <c r="I4006" s="81"/>
      <c r="K4006" s="82"/>
      <c r="L4006" s="123"/>
      <c r="M4006" s="3"/>
      <c r="N4006" s="3"/>
      <c r="O4006" s="3"/>
      <c r="P4006" s="125"/>
      <c r="Q4006" s="125"/>
      <c r="R4006" s="127"/>
      <c r="S4006" s="123"/>
      <c r="T4006" s="3"/>
      <c r="W4006" s="86"/>
      <c r="Y4006" s="75"/>
    </row>
    <row r="4007" spans="1:25" x14ac:dyDescent="0.25">
      <c r="A4007" s="75"/>
      <c r="C4007" s="81"/>
      <c r="D4007" s="81"/>
      <c r="I4007" s="81"/>
      <c r="K4007" s="82"/>
      <c r="L4007" s="123"/>
      <c r="M4007" s="3"/>
      <c r="N4007" s="3"/>
      <c r="O4007" s="3"/>
      <c r="P4007" s="125"/>
      <c r="Q4007" s="125"/>
      <c r="R4007" s="127"/>
      <c r="S4007" s="123"/>
      <c r="T4007" s="3"/>
      <c r="W4007" s="86"/>
      <c r="Y4007" s="75"/>
    </row>
    <row r="4008" spans="1:25" x14ac:dyDescent="0.25">
      <c r="A4008" s="75"/>
      <c r="C4008" s="81"/>
      <c r="D4008" s="81"/>
      <c r="I4008" s="81"/>
      <c r="K4008" s="82"/>
      <c r="L4008" s="123"/>
      <c r="M4008" s="3"/>
      <c r="N4008" s="3"/>
      <c r="O4008" s="3"/>
      <c r="P4008" s="125"/>
      <c r="Q4008" s="125"/>
      <c r="R4008" s="127"/>
      <c r="S4008" s="123"/>
      <c r="T4008" s="3"/>
      <c r="W4008" s="86"/>
      <c r="Y4008" s="75"/>
    </row>
    <row r="4009" spans="1:25" x14ac:dyDescent="0.25">
      <c r="A4009" s="75"/>
      <c r="C4009" s="81"/>
      <c r="D4009" s="81"/>
      <c r="I4009" s="81"/>
      <c r="K4009" s="82"/>
      <c r="L4009" s="123"/>
      <c r="M4009" s="3"/>
      <c r="N4009" s="3"/>
      <c r="O4009" s="3"/>
      <c r="P4009" s="125"/>
      <c r="Q4009" s="125"/>
      <c r="R4009" s="127"/>
      <c r="S4009" s="123"/>
      <c r="T4009" s="3"/>
      <c r="W4009" s="86"/>
      <c r="Y4009" s="75"/>
    </row>
    <row r="4010" spans="1:25" x14ac:dyDescent="0.25">
      <c r="A4010" s="75"/>
      <c r="C4010" s="81"/>
      <c r="D4010" s="81"/>
      <c r="I4010" s="81"/>
      <c r="K4010" s="82"/>
      <c r="L4010" s="123"/>
      <c r="M4010" s="3"/>
      <c r="N4010" s="3"/>
      <c r="O4010" s="3"/>
      <c r="P4010" s="125"/>
      <c r="Q4010" s="125"/>
      <c r="R4010" s="127"/>
      <c r="S4010" s="123"/>
      <c r="T4010" s="3"/>
      <c r="W4010" s="86"/>
      <c r="Y4010" s="75"/>
    </row>
    <row r="4011" spans="1:25" x14ac:dyDescent="0.25">
      <c r="A4011" s="75"/>
      <c r="C4011" s="81"/>
      <c r="D4011" s="81"/>
      <c r="I4011" s="81"/>
      <c r="K4011" s="82"/>
      <c r="L4011" s="123"/>
      <c r="M4011" s="3"/>
      <c r="N4011" s="3"/>
      <c r="O4011" s="3"/>
      <c r="P4011" s="125"/>
      <c r="Q4011" s="125"/>
      <c r="R4011" s="127"/>
      <c r="S4011" s="123"/>
      <c r="T4011" s="3"/>
      <c r="W4011" s="86"/>
      <c r="Y4011" s="75"/>
    </row>
    <row r="4012" spans="1:25" x14ac:dyDescent="0.25">
      <c r="A4012" s="75"/>
      <c r="C4012" s="81"/>
      <c r="D4012" s="81"/>
      <c r="I4012" s="81"/>
      <c r="K4012" s="82"/>
      <c r="L4012" s="123"/>
      <c r="M4012" s="3"/>
      <c r="N4012" s="3"/>
      <c r="O4012" s="3"/>
      <c r="P4012" s="125"/>
      <c r="Q4012" s="125"/>
      <c r="R4012" s="127"/>
      <c r="S4012" s="123"/>
      <c r="T4012" s="3"/>
      <c r="W4012" s="86"/>
      <c r="Y4012" s="75"/>
    </row>
    <row r="4013" spans="1:25" x14ac:dyDescent="0.25">
      <c r="A4013" s="75"/>
      <c r="C4013" s="81"/>
      <c r="D4013" s="81"/>
      <c r="I4013" s="81"/>
      <c r="K4013" s="82"/>
      <c r="L4013" s="123"/>
      <c r="M4013" s="3"/>
      <c r="N4013" s="3"/>
      <c r="O4013" s="3"/>
      <c r="P4013" s="125"/>
      <c r="Q4013" s="125"/>
      <c r="R4013" s="127"/>
      <c r="S4013" s="123"/>
      <c r="T4013" s="3"/>
      <c r="W4013" s="86"/>
      <c r="Y4013" s="75"/>
    </row>
    <row r="4014" spans="1:25" x14ac:dyDescent="0.25">
      <c r="A4014" s="75"/>
      <c r="C4014" s="81"/>
      <c r="D4014" s="81"/>
      <c r="I4014" s="81"/>
      <c r="K4014" s="82"/>
      <c r="L4014" s="123"/>
      <c r="M4014" s="3"/>
      <c r="N4014" s="3"/>
      <c r="O4014" s="3"/>
      <c r="P4014" s="125"/>
      <c r="Q4014" s="125"/>
      <c r="R4014" s="127"/>
      <c r="S4014" s="123"/>
      <c r="T4014" s="3"/>
      <c r="W4014" s="86"/>
      <c r="Y4014" s="75"/>
    </row>
    <row r="4015" spans="1:25" x14ac:dyDescent="0.25">
      <c r="A4015" s="75"/>
      <c r="C4015" s="81"/>
      <c r="D4015" s="81"/>
      <c r="I4015" s="81"/>
      <c r="K4015" s="82"/>
      <c r="L4015" s="123"/>
      <c r="M4015" s="3"/>
      <c r="N4015" s="3"/>
      <c r="O4015" s="3"/>
      <c r="P4015" s="125"/>
      <c r="Q4015" s="125"/>
      <c r="R4015" s="127"/>
      <c r="S4015" s="123"/>
      <c r="T4015" s="3"/>
      <c r="W4015" s="86"/>
      <c r="Y4015" s="75"/>
    </row>
    <row r="4016" spans="1:25" x14ac:dyDescent="0.25">
      <c r="A4016" s="75"/>
      <c r="C4016" s="81"/>
      <c r="D4016" s="81"/>
      <c r="I4016" s="81"/>
      <c r="K4016" s="82"/>
      <c r="L4016" s="123"/>
      <c r="M4016" s="3"/>
      <c r="N4016" s="3"/>
      <c r="O4016" s="3"/>
      <c r="P4016" s="125"/>
      <c r="Q4016" s="125"/>
      <c r="R4016" s="127"/>
      <c r="S4016" s="123"/>
      <c r="T4016" s="3"/>
      <c r="W4016" s="86"/>
      <c r="Y4016" s="75"/>
    </row>
    <row r="4017" spans="1:25" x14ac:dyDescent="0.25">
      <c r="A4017" s="75"/>
      <c r="C4017" s="81"/>
      <c r="D4017" s="81"/>
      <c r="I4017" s="81"/>
      <c r="K4017" s="82"/>
      <c r="L4017" s="123"/>
      <c r="M4017" s="3"/>
      <c r="N4017" s="3"/>
      <c r="O4017" s="3"/>
      <c r="P4017" s="125"/>
      <c r="Q4017" s="125"/>
      <c r="R4017" s="127"/>
      <c r="S4017" s="123"/>
      <c r="T4017" s="3"/>
      <c r="W4017" s="86"/>
      <c r="Y4017" s="75"/>
    </row>
    <row r="4018" spans="1:25" x14ac:dyDescent="0.25">
      <c r="A4018" s="75"/>
      <c r="C4018" s="81"/>
      <c r="D4018" s="81"/>
      <c r="I4018" s="81"/>
      <c r="K4018" s="82"/>
      <c r="L4018" s="123"/>
      <c r="M4018" s="3"/>
      <c r="N4018" s="3"/>
      <c r="O4018" s="3"/>
      <c r="P4018" s="125"/>
      <c r="Q4018" s="125"/>
      <c r="R4018" s="127"/>
      <c r="S4018" s="123"/>
      <c r="T4018" s="3"/>
      <c r="W4018" s="86"/>
      <c r="Y4018" s="75"/>
    </row>
    <row r="4019" spans="1:25" x14ac:dyDescent="0.25">
      <c r="A4019" s="75"/>
      <c r="C4019" s="81"/>
      <c r="D4019" s="81"/>
      <c r="I4019" s="81"/>
      <c r="K4019" s="82"/>
      <c r="L4019" s="123"/>
      <c r="M4019" s="3"/>
      <c r="N4019" s="3"/>
      <c r="O4019" s="3"/>
      <c r="P4019" s="125"/>
      <c r="Q4019" s="125"/>
      <c r="R4019" s="127"/>
      <c r="S4019" s="123"/>
      <c r="T4019" s="3"/>
      <c r="W4019" s="86"/>
      <c r="Y4019" s="75"/>
    </row>
    <row r="4020" spans="1:25" x14ac:dyDescent="0.25">
      <c r="A4020" s="75"/>
      <c r="C4020" s="81"/>
      <c r="D4020" s="81"/>
      <c r="I4020" s="81"/>
      <c r="K4020" s="82"/>
      <c r="L4020" s="123"/>
      <c r="M4020" s="3"/>
      <c r="N4020" s="3"/>
      <c r="O4020" s="3"/>
      <c r="P4020" s="125"/>
      <c r="Q4020" s="125"/>
      <c r="R4020" s="127"/>
      <c r="S4020" s="123"/>
      <c r="T4020" s="3"/>
      <c r="W4020" s="86"/>
      <c r="Y4020" s="75"/>
    </row>
    <row r="4021" spans="1:25" x14ac:dyDescent="0.25">
      <c r="A4021" s="75"/>
      <c r="C4021" s="81"/>
      <c r="D4021" s="81"/>
      <c r="I4021" s="81"/>
      <c r="K4021" s="82"/>
      <c r="L4021" s="123"/>
      <c r="M4021" s="3"/>
      <c r="N4021" s="3"/>
      <c r="O4021" s="3"/>
      <c r="P4021" s="125"/>
      <c r="Q4021" s="125"/>
      <c r="R4021" s="127"/>
      <c r="S4021" s="123"/>
      <c r="T4021" s="3"/>
      <c r="W4021" s="86"/>
      <c r="Y4021" s="75"/>
    </row>
    <row r="4022" spans="1:25" x14ac:dyDescent="0.25">
      <c r="A4022" s="75"/>
      <c r="C4022" s="81"/>
      <c r="D4022" s="81"/>
      <c r="I4022" s="81"/>
      <c r="K4022" s="82"/>
      <c r="L4022" s="123"/>
      <c r="M4022" s="3"/>
      <c r="N4022" s="3"/>
      <c r="O4022" s="3"/>
      <c r="P4022" s="125"/>
      <c r="Q4022" s="125"/>
      <c r="R4022" s="127"/>
      <c r="S4022" s="123"/>
      <c r="T4022" s="3"/>
      <c r="W4022" s="86"/>
      <c r="Y4022" s="75"/>
    </row>
    <row r="4023" spans="1:25" x14ac:dyDescent="0.25">
      <c r="A4023" s="75"/>
      <c r="C4023" s="81"/>
      <c r="D4023" s="81"/>
      <c r="I4023" s="81"/>
      <c r="K4023" s="82"/>
      <c r="L4023" s="123"/>
      <c r="M4023" s="3"/>
      <c r="N4023" s="3"/>
      <c r="O4023" s="3"/>
      <c r="P4023" s="125"/>
      <c r="Q4023" s="125"/>
      <c r="R4023" s="127"/>
      <c r="S4023" s="123"/>
      <c r="T4023" s="3"/>
      <c r="W4023" s="86"/>
      <c r="Y4023" s="75"/>
    </row>
    <row r="4024" spans="1:25" x14ac:dyDescent="0.25">
      <c r="A4024" s="75"/>
      <c r="C4024" s="81"/>
      <c r="D4024" s="81"/>
      <c r="I4024" s="81"/>
      <c r="K4024" s="82"/>
      <c r="L4024" s="123"/>
      <c r="M4024" s="3"/>
      <c r="N4024" s="3"/>
      <c r="O4024" s="3"/>
      <c r="P4024" s="125"/>
      <c r="Q4024" s="125"/>
      <c r="R4024" s="127"/>
      <c r="S4024" s="123"/>
      <c r="T4024" s="3"/>
      <c r="W4024" s="86"/>
      <c r="Y4024" s="75"/>
    </row>
    <row r="4025" spans="1:25" x14ac:dyDescent="0.25">
      <c r="A4025" s="75"/>
      <c r="C4025" s="81"/>
      <c r="D4025" s="81"/>
      <c r="I4025" s="81"/>
      <c r="K4025" s="82"/>
      <c r="L4025" s="123"/>
      <c r="M4025" s="3"/>
      <c r="N4025" s="3"/>
      <c r="O4025" s="3"/>
      <c r="P4025" s="125"/>
      <c r="Q4025" s="125"/>
      <c r="R4025" s="127"/>
      <c r="S4025" s="123"/>
      <c r="T4025" s="3"/>
      <c r="W4025" s="86"/>
      <c r="Y4025" s="75"/>
    </row>
    <row r="4026" spans="1:25" x14ac:dyDescent="0.25">
      <c r="A4026" s="75"/>
      <c r="C4026" s="81"/>
      <c r="D4026" s="81"/>
      <c r="I4026" s="81"/>
      <c r="K4026" s="82"/>
      <c r="L4026" s="123"/>
      <c r="M4026" s="3"/>
      <c r="N4026" s="3"/>
      <c r="O4026" s="3"/>
      <c r="P4026" s="125"/>
      <c r="Q4026" s="125"/>
      <c r="R4026" s="127"/>
      <c r="S4026" s="123"/>
      <c r="T4026" s="3"/>
      <c r="W4026" s="86"/>
      <c r="Y4026" s="75"/>
    </row>
    <row r="4027" spans="1:25" x14ac:dyDescent="0.25">
      <c r="A4027" s="75"/>
      <c r="C4027" s="81"/>
      <c r="D4027" s="81"/>
      <c r="I4027" s="81"/>
      <c r="K4027" s="82"/>
      <c r="L4027" s="123"/>
      <c r="M4027" s="3"/>
      <c r="N4027" s="3"/>
      <c r="O4027" s="3"/>
      <c r="P4027" s="125"/>
      <c r="Q4027" s="125"/>
      <c r="R4027" s="127"/>
      <c r="S4027" s="123"/>
      <c r="T4027" s="3"/>
      <c r="W4027" s="86"/>
      <c r="Y4027" s="75"/>
    </row>
    <row r="4028" spans="1:25" x14ac:dyDescent="0.25">
      <c r="A4028" s="75"/>
      <c r="C4028" s="81"/>
      <c r="D4028" s="81"/>
      <c r="I4028" s="81"/>
      <c r="K4028" s="82"/>
      <c r="L4028" s="123"/>
      <c r="M4028" s="3"/>
      <c r="N4028" s="3"/>
      <c r="O4028" s="3"/>
      <c r="P4028" s="125"/>
      <c r="Q4028" s="125"/>
      <c r="R4028" s="127"/>
      <c r="S4028" s="123"/>
      <c r="T4028" s="3"/>
      <c r="W4028" s="86"/>
      <c r="Y4028" s="75"/>
    </row>
    <row r="4029" spans="1:25" x14ac:dyDescent="0.25">
      <c r="A4029" s="75"/>
      <c r="C4029" s="81"/>
      <c r="D4029" s="81"/>
      <c r="I4029" s="81"/>
      <c r="K4029" s="82"/>
      <c r="L4029" s="123"/>
      <c r="M4029" s="3"/>
      <c r="N4029" s="3"/>
      <c r="O4029" s="3"/>
      <c r="P4029" s="125"/>
      <c r="Q4029" s="125"/>
      <c r="R4029" s="127"/>
      <c r="S4029" s="123"/>
      <c r="T4029" s="3"/>
      <c r="W4029" s="86"/>
      <c r="Y4029" s="75"/>
    </row>
    <row r="4030" spans="1:25" x14ac:dyDescent="0.25">
      <c r="A4030" s="75"/>
      <c r="C4030" s="81"/>
      <c r="D4030" s="81"/>
      <c r="I4030" s="81"/>
      <c r="K4030" s="82"/>
      <c r="L4030" s="123"/>
      <c r="M4030" s="3"/>
      <c r="N4030" s="3"/>
      <c r="O4030" s="3"/>
      <c r="P4030" s="125"/>
      <c r="Q4030" s="125"/>
      <c r="R4030" s="127"/>
      <c r="S4030" s="123"/>
      <c r="T4030" s="3"/>
      <c r="W4030" s="86"/>
      <c r="Y4030" s="75"/>
    </row>
    <row r="4031" spans="1:25" x14ac:dyDescent="0.25">
      <c r="A4031" s="75"/>
      <c r="C4031" s="81"/>
      <c r="D4031" s="81"/>
      <c r="I4031" s="81"/>
      <c r="K4031" s="82"/>
      <c r="L4031" s="123"/>
      <c r="M4031" s="3"/>
      <c r="N4031" s="3"/>
      <c r="O4031" s="3"/>
      <c r="P4031" s="125"/>
      <c r="Q4031" s="125"/>
      <c r="R4031" s="127"/>
      <c r="S4031" s="123"/>
      <c r="T4031" s="3"/>
      <c r="W4031" s="86"/>
      <c r="Y4031" s="75"/>
    </row>
    <row r="4032" spans="1:25" x14ac:dyDescent="0.25">
      <c r="A4032" s="75"/>
      <c r="C4032" s="81"/>
      <c r="D4032" s="81"/>
      <c r="I4032" s="81"/>
      <c r="K4032" s="82"/>
      <c r="L4032" s="123"/>
      <c r="M4032" s="3"/>
      <c r="N4032" s="3"/>
      <c r="O4032" s="3"/>
      <c r="P4032" s="125"/>
      <c r="Q4032" s="125"/>
      <c r="R4032" s="127"/>
      <c r="S4032" s="123"/>
      <c r="T4032" s="3"/>
      <c r="W4032" s="86"/>
      <c r="Y4032" s="75"/>
    </row>
    <row r="4033" spans="1:25" x14ac:dyDescent="0.25">
      <c r="A4033" s="75"/>
      <c r="C4033" s="81"/>
      <c r="D4033" s="81"/>
      <c r="I4033" s="81"/>
      <c r="K4033" s="82"/>
      <c r="L4033" s="123"/>
      <c r="M4033" s="3"/>
      <c r="N4033" s="3"/>
      <c r="O4033" s="3"/>
      <c r="P4033" s="125"/>
      <c r="Q4033" s="125"/>
      <c r="R4033" s="127"/>
      <c r="S4033" s="123"/>
      <c r="T4033" s="3"/>
      <c r="W4033" s="86"/>
      <c r="Y4033" s="75"/>
    </row>
    <row r="4034" spans="1:25" x14ac:dyDescent="0.25">
      <c r="A4034" s="75"/>
      <c r="C4034" s="81"/>
      <c r="D4034" s="81"/>
      <c r="I4034" s="81"/>
      <c r="K4034" s="82"/>
      <c r="L4034" s="123"/>
      <c r="M4034" s="3"/>
      <c r="N4034" s="3"/>
      <c r="O4034" s="3"/>
      <c r="P4034" s="125"/>
      <c r="Q4034" s="125"/>
      <c r="R4034" s="127"/>
      <c r="S4034" s="123"/>
      <c r="T4034" s="3"/>
      <c r="W4034" s="86"/>
      <c r="Y4034" s="75"/>
    </row>
    <row r="4035" spans="1:25" x14ac:dyDescent="0.25">
      <c r="A4035" s="75"/>
      <c r="C4035" s="81"/>
      <c r="D4035" s="81"/>
      <c r="I4035" s="81"/>
      <c r="K4035" s="82"/>
      <c r="L4035" s="123"/>
      <c r="M4035" s="3"/>
      <c r="N4035" s="3"/>
      <c r="O4035" s="3"/>
      <c r="P4035" s="125"/>
      <c r="Q4035" s="125"/>
      <c r="R4035" s="127"/>
      <c r="S4035" s="123"/>
      <c r="T4035" s="3"/>
      <c r="W4035" s="86"/>
      <c r="Y4035" s="75"/>
    </row>
    <row r="4036" spans="1:25" x14ac:dyDescent="0.25">
      <c r="A4036" s="75"/>
      <c r="C4036" s="81"/>
      <c r="D4036" s="81"/>
      <c r="I4036" s="81"/>
      <c r="K4036" s="82"/>
      <c r="L4036" s="123"/>
      <c r="M4036" s="3"/>
      <c r="N4036" s="3"/>
      <c r="O4036" s="3"/>
      <c r="P4036" s="125"/>
      <c r="Q4036" s="125"/>
      <c r="R4036" s="127"/>
      <c r="S4036" s="123"/>
      <c r="T4036" s="3"/>
      <c r="W4036" s="86"/>
      <c r="Y4036" s="75"/>
    </row>
    <row r="4037" spans="1:25" x14ac:dyDescent="0.25">
      <c r="A4037" s="75"/>
      <c r="C4037" s="81"/>
      <c r="D4037" s="81"/>
      <c r="I4037" s="81"/>
      <c r="K4037" s="82"/>
      <c r="L4037" s="123"/>
      <c r="M4037" s="3"/>
      <c r="N4037" s="3"/>
      <c r="O4037" s="3"/>
      <c r="P4037" s="125"/>
      <c r="Q4037" s="125"/>
      <c r="R4037" s="127"/>
      <c r="S4037" s="123"/>
      <c r="T4037" s="3"/>
      <c r="W4037" s="86"/>
      <c r="Y4037" s="75"/>
    </row>
    <row r="4038" spans="1:25" x14ac:dyDescent="0.25">
      <c r="A4038" s="75"/>
      <c r="C4038" s="81"/>
      <c r="D4038" s="81"/>
      <c r="I4038" s="81"/>
      <c r="K4038" s="82"/>
      <c r="L4038" s="123"/>
      <c r="M4038" s="3"/>
      <c r="N4038" s="3"/>
      <c r="O4038" s="3"/>
      <c r="P4038" s="125"/>
      <c r="Q4038" s="125"/>
      <c r="R4038" s="127"/>
      <c r="S4038" s="123"/>
      <c r="T4038" s="3"/>
      <c r="W4038" s="86"/>
      <c r="Y4038" s="75"/>
    </row>
    <row r="4039" spans="1:25" x14ac:dyDescent="0.25">
      <c r="A4039" s="75"/>
      <c r="C4039" s="81"/>
      <c r="D4039" s="81"/>
      <c r="I4039" s="81"/>
      <c r="K4039" s="82"/>
      <c r="L4039" s="123"/>
      <c r="M4039" s="3"/>
      <c r="N4039" s="3"/>
      <c r="O4039" s="3"/>
      <c r="P4039" s="125"/>
      <c r="Q4039" s="125"/>
      <c r="R4039" s="127"/>
      <c r="S4039" s="123"/>
      <c r="T4039" s="3"/>
      <c r="W4039" s="86"/>
      <c r="Y4039" s="75"/>
    </row>
    <row r="4040" spans="1:25" x14ac:dyDescent="0.25">
      <c r="A4040" s="75"/>
      <c r="C4040" s="81"/>
      <c r="D4040" s="81"/>
      <c r="I4040" s="81"/>
      <c r="K4040" s="82"/>
      <c r="L4040" s="123"/>
      <c r="M4040" s="3"/>
      <c r="N4040" s="3"/>
      <c r="O4040" s="3"/>
      <c r="P4040" s="125"/>
      <c r="Q4040" s="125"/>
      <c r="R4040" s="127"/>
      <c r="S4040" s="123"/>
      <c r="T4040" s="3"/>
      <c r="W4040" s="86"/>
      <c r="Y4040" s="75"/>
    </row>
    <row r="4041" spans="1:25" x14ac:dyDescent="0.25">
      <c r="A4041" s="75"/>
      <c r="C4041" s="81"/>
      <c r="D4041" s="81"/>
      <c r="I4041" s="81"/>
      <c r="K4041" s="82"/>
      <c r="L4041" s="123"/>
      <c r="M4041" s="3"/>
      <c r="N4041" s="3"/>
      <c r="O4041" s="3"/>
      <c r="P4041" s="125"/>
      <c r="Q4041" s="125"/>
      <c r="R4041" s="127"/>
      <c r="S4041" s="123"/>
      <c r="T4041" s="3"/>
      <c r="W4041" s="86"/>
      <c r="Y4041" s="75"/>
    </row>
    <row r="4042" spans="1:25" x14ac:dyDescent="0.25">
      <c r="A4042" s="75"/>
      <c r="C4042" s="81"/>
      <c r="D4042" s="81"/>
      <c r="I4042" s="81"/>
      <c r="K4042" s="82"/>
      <c r="L4042" s="123"/>
      <c r="M4042" s="3"/>
      <c r="N4042" s="3"/>
      <c r="O4042" s="3"/>
      <c r="P4042" s="125"/>
      <c r="Q4042" s="125"/>
      <c r="R4042" s="127"/>
      <c r="S4042" s="123"/>
      <c r="T4042" s="3"/>
      <c r="W4042" s="86"/>
      <c r="Y4042" s="75"/>
    </row>
    <row r="4043" spans="1:25" x14ac:dyDescent="0.25">
      <c r="A4043" s="75"/>
      <c r="C4043" s="81"/>
      <c r="D4043" s="81"/>
      <c r="I4043" s="81"/>
      <c r="K4043" s="82"/>
      <c r="L4043" s="123"/>
      <c r="M4043" s="3"/>
      <c r="N4043" s="3"/>
      <c r="O4043" s="3"/>
      <c r="P4043" s="125"/>
      <c r="Q4043" s="125"/>
      <c r="R4043" s="127"/>
      <c r="S4043" s="123"/>
      <c r="T4043" s="3"/>
      <c r="W4043" s="86"/>
      <c r="Y4043" s="75"/>
    </row>
    <row r="4044" spans="1:25" x14ac:dyDescent="0.25">
      <c r="A4044" s="75"/>
      <c r="C4044" s="81"/>
      <c r="D4044" s="81"/>
      <c r="I4044" s="81"/>
      <c r="K4044" s="82"/>
      <c r="L4044" s="123"/>
      <c r="M4044" s="3"/>
      <c r="N4044" s="3"/>
      <c r="O4044" s="3"/>
      <c r="P4044" s="125"/>
      <c r="Q4044" s="125"/>
      <c r="R4044" s="127"/>
      <c r="S4044" s="123"/>
      <c r="T4044" s="3"/>
      <c r="W4044" s="86"/>
      <c r="Y4044" s="75"/>
    </row>
    <row r="4045" spans="1:25" x14ac:dyDescent="0.25">
      <c r="A4045" s="75"/>
      <c r="C4045" s="81"/>
      <c r="D4045" s="81"/>
      <c r="I4045" s="81"/>
      <c r="K4045" s="82"/>
      <c r="L4045" s="123"/>
      <c r="M4045" s="3"/>
      <c r="N4045" s="3"/>
      <c r="O4045" s="3"/>
      <c r="P4045" s="125"/>
      <c r="Q4045" s="125"/>
      <c r="R4045" s="127"/>
      <c r="S4045" s="123"/>
      <c r="T4045" s="3"/>
      <c r="W4045" s="86"/>
      <c r="Y4045" s="75"/>
    </row>
    <row r="4046" spans="1:25" x14ac:dyDescent="0.25">
      <c r="A4046" s="75"/>
      <c r="C4046" s="81"/>
      <c r="D4046" s="81"/>
      <c r="I4046" s="81"/>
      <c r="K4046" s="82"/>
      <c r="L4046" s="123"/>
      <c r="M4046" s="3"/>
      <c r="N4046" s="3"/>
      <c r="O4046" s="3"/>
      <c r="P4046" s="125"/>
      <c r="Q4046" s="125"/>
      <c r="R4046" s="127"/>
      <c r="S4046" s="123"/>
      <c r="T4046" s="3"/>
      <c r="W4046" s="86"/>
      <c r="Y4046" s="75"/>
    </row>
    <row r="4047" spans="1:25" x14ac:dyDescent="0.25">
      <c r="A4047" s="75"/>
      <c r="C4047" s="81"/>
      <c r="D4047" s="81"/>
      <c r="I4047" s="81"/>
      <c r="K4047" s="82"/>
      <c r="L4047" s="123"/>
      <c r="M4047" s="3"/>
      <c r="N4047" s="3"/>
      <c r="O4047" s="3"/>
      <c r="P4047" s="125"/>
      <c r="Q4047" s="125"/>
      <c r="R4047" s="127"/>
      <c r="S4047" s="123"/>
      <c r="T4047" s="3"/>
      <c r="W4047" s="86"/>
      <c r="Y4047" s="75"/>
    </row>
    <row r="4048" spans="1:25" x14ac:dyDescent="0.25">
      <c r="A4048" s="75"/>
      <c r="C4048" s="81"/>
      <c r="D4048" s="81"/>
      <c r="I4048" s="81"/>
      <c r="K4048" s="82"/>
      <c r="L4048" s="123"/>
      <c r="M4048" s="3"/>
      <c r="N4048" s="3"/>
      <c r="O4048" s="3"/>
      <c r="P4048" s="125"/>
      <c r="Q4048" s="125"/>
      <c r="R4048" s="127"/>
      <c r="S4048" s="123"/>
      <c r="T4048" s="3"/>
      <c r="W4048" s="86"/>
      <c r="Y4048" s="75"/>
    </row>
    <row r="4049" spans="1:25" x14ac:dyDescent="0.25">
      <c r="A4049" s="75"/>
      <c r="C4049" s="81"/>
      <c r="D4049" s="81"/>
      <c r="I4049" s="81"/>
      <c r="K4049" s="82"/>
      <c r="L4049" s="123"/>
      <c r="M4049" s="3"/>
      <c r="N4049" s="3"/>
      <c r="O4049" s="3"/>
      <c r="P4049" s="125"/>
      <c r="Q4049" s="125"/>
      <c r="R4049" s="127"/>
      <c r="S4049" s="123"/>
      <c r="T4049" s="3"/>
      <c r="W4049" s="86"/>
      <c r="Y4049" s="75"/>
    </row>
    <row r="4050" spans="1:25" x14ac:dyDescent="0.25">
      <c r="A4050" s="75"/>
      <c r="C4050" s="81"/>
      <c r="D4050" s="81"/>
      <c r="I4050" s="81"/>
      <c r="K4050" s="82"/>
      <c r="L4050" s="123"/>
      <c r="M4050" s="3"/>
      <c r="N4050" s="3"/>
      <c r="O4050" s="3"/>
      <c r="P4050" s="125"/>
      <c r="Q4050" s="125"/>
      <c r="R4050" s="127"/>
      <c r="S4050" s="123"/>
      <c r="T4050" s="3"/>
      <c r="W4050" s="86"/>
      <c r="Y4050" s="75"/>
    </row>
    <row r="4051" spans="1:25" x14ac:dyDescent="0.25">
      <c r="A4051" s="75"/>
      <c r="C4051" s="81"/>
      <c r="D4051" s="81"/>
      <c r="I4051" s="81"/>
      <c r="K4051" s="82"/>
      <c r="L4051" s="123"/>
      <c r="M4051" s="3"/>
      <c r="N4051" s="3"/>
      <c r="O4051" s="3"/>
      <c r="P4051" s="125"/>
      <c r="Q4051" s="125"/>
      <c r="R4051" s="127"/>
      <c r="S4051" s="123"/>
      <c r="T4051" s="3"/>
      <c r="W4051" s="86"/>
      <c r="Y4051" s="75"/>
    </row>
    <row r="4052" spans="1:25" x14ac:dyDescent="0.25">
      <c r="A4052" s="75"/>
      <c r="C4052" s="81"/>
      <c r="D4052" s="81"/>
      <c r="I4052" s="81"/>
      <c r="K4052" s="82"/>
      <c r="L4052" s="123"/>
      <c r="M4052" s="3"/>
      <c r="N4052" s="3"/>
      <c r="O4052" s="3"/>
      <c r="P4052" s="125"/>
      <c r="Q4052" s="125"/>
      <c r="R4052" s="127"/>
      <c r="S4052" s="123"/>
      <c r="T4052" s="3"/>
      <c r="W4052" s="86"/>
      <c r="Y4052" s="75"/>
    </row>
    <row r="4053" spans="1:25" x14ac:dyDescent="0.25">
      <c r="A4053" s="75"/>
      <c r="C4053" s="81"/>
      <c r="D4053" s="81"/>
      <c r="I4053" s="81"/>
      <c r="K4053" s="82"/>
      <c r="L4053" s="123"/>
      <c r="M4053" s="3"/>
      <c r="N4053" s="3"/>
      <c r="O4053" s="3"/>
      <c r="P4053" s="125"/>
      <c r="Q4053" s="125"/>
      <c r="R4053" s="127"/>
      <c r="S4053" s="123"/>
      <c r="T4053" s="3"/>
      <c r="W4053" s="86"/>
      <c r="Y4053" s="75"/>
    </row>
    <row r="4054" spans="1:25" x14ac:dyDescent="0.25">
      <c r="A4054" s="75"/>
      <c r="C4054" s="81"/>
      <c r="D4054" s="81"/>
      <c r="I4054" s="81"/>
      <c r="K4054" s="82"/>
      <c r="L4054" s="123"/>
      <c r="M4054" s="3"/>
      <c r="N4054" s="3"/>
      <c r="O4054" s="3"/>
      <c r="P4054" s="125"/>
      <c r="Q4054" s="125"/>
      <c r="R4054" s="127"/>
      <c r="S4054" s="123"/>
      <c r="T4054" s="3"/>
      <c r="W4054" s="86"/>
      <c r="Y4054" s="75"/>
    </row>
    <row r="4055" spans="1:25" x14ac:dyDescent="0.25">
      <c r="A4055" s="75"/>
      <c r="C4055" s="81"/>
      <c r="D4055" s="81"/>
      <c r="I4055" s="81"/>
      <c r="K4055" s="82"/>
      <c r="L4055" s="123"/>
      <c r="M4055" s="3"/>
      <c r="N4055" s="3"/>
      <c r="O4055" s="3"/>
      <c r="P4055" s="125"/>
      <c r="Q4055" s="125"/>
      <c r="R4055" s="127"/>
      <c r="S4055" s="123"/>
      <c r="T4055" s="3"/>
      <c r="W4055" s="86"/>
      <c r="Y4055" s="75"/>
    </row>
    <row r="4056" spans="1:25" x14ac:dyDescent="0.25">
      <c r="A4056" s="75"/>
      <c r="C4056" s="81"/>
      <c r="D4056" s="81"/>
      <c r="I4056" s="81"/>
      <c r="K4056" s="82"/>
      <c r="L4056" s="123"/>
      <c r="M4056" s="3"/>
      <c r="N4056" s="3"/>
      <c r="O4056" s="3"/>
      <c r="P4056" s="125"/>
      <c r="Q4056" s="125"/>
      <c r="R4056" s="127"/>
      <c r="S4056" s="123"/>
      <c r="T4056" s="3"/>
      <c r="W4056" s="86"/>
      <c r="Y4056" s="75"/>
    </row>
    <row r="4057" spans="1:25" x14ac:dyDescent="0.25">
      <c r="A4057" s="75"/>
      <c r="C4057" s="81"/>
      <c r="D4057" s="81"/>
      <c r="I4057" s="81"/>
      <c r="K4057" s="82"/>
      <c r="L4057" s="123"/>
      <c r="M4057" s="3"/>
      <c r="N4057" s="3"/>
      <c r="O4057" s="3"/>
      <c r="P4057" s="125"/>
      <c r="Q4057" s="125"/>
      <c r="R4057" s="127"/>
      <c r="S4057" s="123"/>
      <c r="T4057" s="3"/>
      <c r="W4057" s="86"/>
      <c r="Y4057" s="75"/>
    </row>
    <row r="4058" spans="1:25" x14ac:dyDescent="0.25">
      <c r="A4058" s="75"/>
      <c r="C4058" s="81"/>
      <c r="D4058" s="81"/>
      <c r="I4058" s="81"/>
      <c r="K4058" s="82"/>
      <c r="L4058" s="123"/>
      <c r="M4058" s="3"/>
      <c r="N4058" s="3"/>
      <c r="O4058" s="3"/>
      <c r="P4058" s="125"/>
      <c r="Q4058" s="125"/>
      <c r="R4058" s="127"/>
      <c r="S4058" s="123"/>
      <c r="T4058" s="3"/>
      <c r="W4058" s="86"/>
      <c r="Y4058" s="75"/>
    </row>
    <row r="4059" spans="1:25" x14ac:dyDescent="0.25">
      <c r="A4059" s="75"/>
      <c r="C4059" s="81"/>
      <c r="D4059" s="81"/>
      <c r="I4059" s="81"/>
      <c r="K4059" s="82"/>
      <c r="L4059" s="123"/>
      <c r="M4059" s="3"/>
      <c r="N4059" s="3"/>
      <c r="O4059" s="3"/>
      <c r="P4059" s="125"/>
      <c r="Q4059" s="125"/>
      <c r="R4059" s="127"/>
      <c r="S4059" s="123"/>
      <c r="T4059" s="3"/>
      <c r="W4059" s="86"/>
      <c r="Y4059" s="75"/>
    </row>
    <row r="4060" spans="1:25" x14ac:dyDescent="0.25">
      <c r="A4060" s="75"/>
      <c r="C4060" s="81"/>
      <c r="D4060" s="81"/>
      <c r="I4060" s="81"/>
      <c r="K4060" s="82"/>
      <c r="L4060" s="123"/>
      <c r="M4060" s="3"/>
      <c r="N4060" s="3"/>
      <c r="O4060" s="3"/>
      <c r="P4060" s="125"/>
      <c r="Q4060" s="125"/>
      <c r="R4060" s="127"/>
      <c r="S4060" s="123"/>
      <c r="T4060" s="3"/>
      <c r="W4060" s="86"/>
      <c r="Y4060" s="75"/>
    </row>
    <row r="4061" spans="1:25" x14ac:dyDescent="0.25">
      <c r="A4061" s="75"/>
      <c r="C4061" s="81"/>
      <c r="D4061" s="81"/>
      <c r="I4061" s="81"/>
      <c r="K4061" s="82"/>
      <c r="L4061" s="123"/>
      <c r="M4061" s="3"/>
      <c r="N4061" s="3"/>
      <c r="O4061" s="3"/>
      <c r="P4061" s="125"/>
      <c r="Q4061" s="125"/>
      <c r="R4061" s="127"/>
      <c r="S4061" s="123"/>
      <c r="T4061" s="3"/>
      <c r="W4061" s="86"/>
      <c r="Y4061" s="75"/>
    </row>
    <row r="4062" spans="1:25" x14ac:dyDescent="0.25">
      <c r="A4062" s="75"/>
      <c r="C4062" s="81"/>
      <c r="D4062" s="81"/>
      <c r="I4062" s="81"/>
      <c r="K4062" s="82"/>
      <c r="L4062" s="123"/>
      <c r="M4062" s="3"/>
      <c r="N4062" s="3"/>
      <c r="O4062" s="3"/>
      <c r="P4062" s="125"/>
      <c r="Q4062" s="125"/>
      <c r="R4062" s="127"/>
      <c r="S4062" s="123"/>
      <c r="T4062" s="3"/>
      <c r="W4062" s="86"/>
      <c r="Y4062" s="75"/>
    </row>
    <row r="4063" spans="1:25" x14ac:dyDescent="0.25">
      <c r="A4063" s="75"/>
      <c r="C4063" s="81"/>
      <c r="D4063" s="81"/>
      <c r="I4063" s="81"/>
      <c r="K4063" s="82"/>
      <c r="L4063" s="123"/>
      <c r="M4063" s="3"/>
      <c r="N4063" s="3"/>
      <c r="O4063" s="3"/>
      <c r="P4063" s="125"/>
      <c r="Q4063" s="125"/>
      <c r="R4063" s="127"/>
      <c r="S4063" s="123"/>
      <c r="T4063" s="3"/>
      <c r="W4063" s="86"/>
      <c r="Y4063" s="75"/>
    </row>
    <row r="4064" spans="1:25" x14ac:dyDescent="0.25">
      <c r="A4064" s="75"/>
      <c r="C4064" s="81"/>
      <c r="D4064" s="81"/>
      <c r="I4064" s="81"/>
      <c r="K4064" s="82"/>
      <c r="L4064" s="123"/>
      <c r="M4064" s="3"/>
      <c r="N4064" s="3"/>
      <c r="O4064" s="3"/>
      <c r="P4064" s="125"/>
      <c r="Q4064" s="125"/>
      <c r="R4064" s="127"/>
      <c r="S4064" s="123"/>
      <c r="T4064" s="3"/>
      <c r="W4064" s="86"/>
      <c r="Y4064" s="75"/>
    </row>
    <row r="4065" spans="1:25" x14ac:dyDescent="0.25">
      <c r="A4065" s="75"/>
      <c r="C4065" s="81"/>
      <c r="D4065" s="81"/>
      <c r="I4065" s="81"/>
      <c r="K4065" s="82"/>
      <c r="L4065" s="123"/>
      <c r="M4065" s="3"/>
      <c r="N4065" s="3"/>
      <c r="O4065" s="3"/>
      <c r="P4065" s="125"/>
      <c r="Q4065" s="125"/>
      <c r="R4065" s="127"/>
      <c r="S4065" s="123"/>
      <c r="T4065" s="3"/>
      <c r="W4065" s="86"/>
      <c r="Y4065" s="75"/>
    </row>
    <row r="4066" spans="1:25" x14ac:dyDescent="0.25">
      <c r="A4066" s="75"/>
      <c r="C4066" s="81"/>
      <c r="D4066" s="81"/>
      <c r="I4066" s="81"/>
      <c r="K4066" s="82"/>
      <c r="L4066" s="123"/>
      <c r="M4066" s="3"/>
      <c r="N4066" s="3"/>
      <c r="O4066" s="3"/>
      <c r="P4066" s="125"/>
      <c r="Q4066" s="125"/>
      <c r="R4066" s="127"/>
      <c r="S4066" s="123"/>
      <c r="T4066" s="3"/>
      <c r="W4066" s="86"/>
      <c r="Y4066" s="75"/>
    </row>
    <row r="4067" spans="1:25" x14ac:dyDescent="0.25">
      <c r="A4067" s="75"/>
      <c r="C4067" s="81"/>
      <c r="D4067" s="81"/>
      <c r="I4067" s="81"/>
      <c r="K4067" s="82"/>
      <c r="L4067" s="123"/>
      <c r="M4067" s="3"/>
      <c r="N4067" s="3"/>
      <c r="O4067" s="3"/>
      <c r="P4067" s="125"/>
      <c r="Q4067" s="125"/>
      <c r="R4067" s="127"/>
      <c r="S4067" s="123"/>
      <c r="T4067" s="3"/>
      <c r="W4067" s="86"/>
      <c r="Y4067" s="75"/>
    </row>
    <row r="4068" spans="1:25" x14ac:dyDescent="0.25">
      <c r="A4068" s="75"/>
      <c r="C4068" s="81"/>
      <c r="D4068" s="81"/>
      <c r="I4068" s="81"/>
      <c r="K4068" s="82"/>
      <c r="L4068" s="123"/>
      <c r="M4068" s="3"/>
      <c r="N4068" s="3"/>
      <c r="O4068" s="3"/>
      <c r="P4068" s="125"/>
      <c r="Q4068" s="125"/>
      <c r="R4068" s="127"/>
      <c r="S4068" s="123"/>
      <c r="T4068" s="3"/>
      <c r="W4068" s="86"/>
      <c r="Y4068" s="75"/>
    </row>
    <row r="4069" spans="1:25" x14ac:dyDescent="0.25">
      <c r="A4069" s="75"/>
      <c r="C4069" s="81"/>
      <c r="D4069" s="81"/>
      <c r="I4069" s="81"/>
      <c r="K4069" s="82"/>
      <c r="L4069" s="123"/>
      <c r="M4069" s="3"/>
      <c r="N4069" s="3"/>
      <c r="O4069" s="3"/>
      <c r="P4069" s="125"/>
      <c r="Q4069" s="125"/>
      <c r="R4069" s="127"/>
      <c r="S4069" s="123"/>
      <c r="T4069" s="3"/>
      <c r="W4069" s="86"/>
      <c r="Y4069" s="75"/>
    </row>
    <row r="4070" spans="1:25" x14ac:dyDescent="0.25">
      <c r="A4070" s="75"/>
      <c r="C4070" s="81"/>
      <c r="D4070" s="81"/>
      <c r="I4070" s="81"/>
      <c r="K4070" s="82"/>
      <c r="L4070" s="123"/>
      <c r="M4070" s="3"/>
      <c r="N4070" s="3"/>
      <c r="O4070" s="3"/>
      <c r="P4070" s="125"/>
      <c r="Q4070" s="125"/>
      <c r="R4070" s="127"/>
      <c r="S4070" s="123"/>
      <c r="T4070" s="3"/>
      <c r="W4070" s="86"/>
      <c r="Y4070" s="75"/>
    </row>
    <row r="4071" spans="1:25" x14ac:dyDescent="0.25">
      <c r="A4071" s="75"/>
      <c r="C4071" s="81"/>
      <c r="D4071" s="81"/>
      <c r="I4071" s="81"/>
      <c r="K4071" s="82"/>
      <c r="L4071" s="123"/>
      <c r="M4071" s="3"/>
      <c r="N4071" s="3"/>
      <c r="O4071" s="3"/>
      <c r="P4071" s="125"/>
      <c r="Q4071" s="125"/>
      <c r="R4071" s="127"/>
      <c r="S4071" s="123"/>
      <c r="T4071" s="3"/>
      <c r="W4071" s="86"/>
      <c r="Y4071" s="75"/>
    </row>
    <row r="4072" spans="1:25" x14ac:dyDescent="0.25">
      <c r="A4072" s="75"/>
      <c r="C4072" s="81"/>
      <c r="D4072" s="81"/>
      <c r="I4072" s="81"/>
      <c r="K4072" s="82"/>
      <c r="L4072" s="123"/>
      <c r="M4072" s="3"/>
      <c r="N4072" s="3"/>
      <c r="O4072" s="3"/>
      <c r="P4072" s="125"/>
      <c r="Q4072" s="125"/>
      <c r="R4072" s="127"/>
      <c r="S4072" s="123"/>
      <c r="T4072" s="3"/>
      <c r="W4072" s="86"/>
      <c r="Y4072" s="75"/>
    </row>
    <row r="4073" spans="1:25" x14ac:dyDescent="0.25">
      <c r="A4073" s="75"/>
      <c r="C4073" s="81"/>
      <c r="D4073" s="81"/>
      <c r="I4073" s="81"/>
      <c r="K4073" s="82"/>
      <c r="L4073" s="123"/>
      <c r="M4073" s="3"/>
      <c r="N4073" s="3"/>
      <c r="O4073" s="3"/>
      <c r="P4073" s="125"/>
      <c r="Q4073" s="125"/>
      <c r="R4073" s="127"/>
      <c r="S4073" s="123"/>
      <c r="T4073" s="3"/>
      <c r="W4073" s="86"/>
      <c r="Y4073" s="75"/>
    </row>
    <row r="4074" spans="1:25" x14ac:dyDescent="0.25">
      <c r="A4074" s="75"/>
      <c r="C4074" s="81"/>
      <c r="D4074" s="81"/>
      <c r="I4074" s="81"/>
      <c r="K4074" s="82"/>
      <c r="L4074" s="123"/>
      <c r="M4074" s="3"/>
      <c r="N4074" s="3"/>
      <c r="O4074" s="3"/>
      <c r="P4074" s="125"/>
      <c r="Q4074" s="125"/>
      <c r="R4074" s="127"/>
      <c r="S4074" s="123"/>
      <c r="T4074" s="3"/>
      <c r="W4074" s="86"/>
      <c r="Y4074" s="75"/>
    </row>
    <row r="4075" spans="1:25" x14ac:dyDescent="0.25">
      <c r="A4075" s="75"/>
      <c r="C4075" s="81"/>
      <c r="D4075" s="81"/>
      <c r="I4075" s="81"/>
      <c r="K4075" s="82"/>
      <c r="L4075" s="123"/>
      <c r="M4075" s="3"/>
      <c r="N4075" s="3"/>
      <c r="O4075" s="3"/>
      <c r="P4075" s="125"/>
      <c r="Q4075" s="125"/>
      <c r="R4075" s="127"/>
      <c r="S4075" s="123"/>
      <c r="T4075" s="3"/>
      <c r="W4075" s="86"/>
      <c r="Y4075" s="75"/>
    </row>
    <row r="4076" spans="1:25" x14ac:dyDescent="0.25">
      <c r="A4076" s="75"/>
      <c r="C4076" s="81"/>
      <c r="D4076" s="81"/>
      <c r="I4076" s="81"/>
      <c r="K4076" s="82"/>
      <c r="L4076" s="123"/>
      <c r="M4076" s="3"/>
      <c r="N4076" s="3"/>
      <c r="O4076" s="3"/>
      <c r="P4076" s="125"/>
      <c r="Q4076" s="125"/>
      <c r="R4076" s="127"/>
      <c r="S4076" s="123"/>
      <c r="T4076" s="3"/>
      <c r="W4076" s="86"/>
      <c r="Y4076" s="75"/>
    </row>
    <row r="4077" spans="1:25" x14ac:dyDescent="0.25">
      <c r="A4077" s="75"/>
      <c r="C4077" s="81"/>
      <c r="D4077" s="81"/>
      <c r="I4077" s="81"/>
      <c r="K4077" s="82"/>
      <c r="L4077" s="123"/>
      <c r="M4077" s="3"/>
      <c r="N4077" s="3"/>
      <c r="O4077" s="3"/>
      <c r="P4077" s="125"/>
      <c r="Q4077" s="125"/>
      <c r="R4077" s="127"/>
      <c r="S4077" s="123"/>
      <c r="T4077" s="3"/>
      <c r="W4077" s="86"/>
      <c r="Y4077" s="75"/>
    </row>
    <row r="4078" spans="1:25" x14ac:dyDescent="0.25">
      <c r="A4078" s="75"/>
      <c r="C4078" s="81"/>
      <c r="D4078" s="81"/>
      <c r="I4078" s="81"/>
      <c r="K4078" s="82"/>
      <c r="L4078" s="123"/>
      <c r="M4078" s="3"/>
      <c r="N4078" s="3"/>
      <c r="O4078" s="3"/>
      <c r="P4078" s="125"/>
      <c r="Q4078" s="125"/>
      <c r="R4078" s="127"/>
      <c r="S4078" s="123"/>
      <c r="T4078" s="3"/>
      <c r="W4078" s="86"/>
      <c r="Y4078" s="75"/>
    </row>
    <row r="4079" spans="1:25" x14ac:dyDescent="0.25">
      <c r="A4079" s="75"/>
      <c r="C4079" s="81"/>
      <c r="D4079" s="81"/>
      <c r="I4079" s="81"/>
      <c r="K4079" s="82"/>
      <c r="L4079" s="123"/>
      <c r="M4079" s="3"/>
      <c r="N4079" s="3"/>
      <c r="O4079" s="3"/>
      <c r="P4079" s="125"/>
      <c r="Q4079" s="125"/>
      <c r="R4079" s="127"/>
      <c r="S4079" s="123"/>
      <c r="T4079" s="3"/>
      <c r="W4079" s="86"/>
      <c r="Y4079" s="75"/>
    </row>
    <row r="4080" spans="1:25" x14ac:dyDescent="0.25">
      <c r="A4080" s="75"/>
      <c r="C4080" s="81"/>
      <c r="D4080" s="81"/>
      <c r="I4080" s="81"/>
      <c r="K4080" s="82"/>
      <c r="L4080" s="123"/>
      <c r="M4080" s="3"/>
      <c r="N4080" s="3"/>
      <c r="O4080" s="3"/>
      <c r="P4080" s="125"/>
      <c r="Q4080" s="125"/>
      <c r="R4080" s="127"/>
      <c r="S4080" s="123"/>
      <c r="T4080" s="3"/>
      <c r="W4080" s="86"/>
      <c r="Y4080" s="75"/>
    </row>
    <row r="4081" spans="1:25" x14ac:dyDescent="0.25">
      <c r="A4081" s="75"/>
      <c r="C4081" s="81"/>
      <c r="D4081" s="81"/>
      <c r="I4081" s="81"/>
      <c r="K4081" s="82"/>
      <c r="L4081" s="123"/>
      <c r="M4081" s="3"/>
      <c r="N4081" s="3"/>
      <c r="O4081" s="3"/>
      <c r="P4081" s="125"/>
      <c r="Q4081" s="125"/>
      <c r="R4081" s="127"/>
      <c r="S4081" s="123"/>
      <c r="T4081" s="3"/>
      <c r="W4081" s="86"/>
      <c r="Y4081" s="75"/>
    </row>
    <row r="4082" spans="1:25" x14ac:dyDescent="0.25">
      <c r="A4082" s="75"/>
      <c r="C4082" s="81"/>
      <c r="D4082" s="81"/>
      <c r="I4082" s="81"/>
      <c r="K4082" s="82"/>
      <c r="L4082" s="123"/>
      <c r="M4082" s="3"/>
      <c r="N4082" s="3"/>
      <c r="O4082" s="3"/>
      <c r="P4082" s="125"/>
      <c r="Q4082" s="125"/>
      <c r="R4082" s="127"/>
      <c r="S4082" s="123"/>
      <c r="T4082" s="3"/>
      <c r="W4082" s="86"/>
      <c r="Y4082" s="75"/>
    </row>
    <row r="4083" spans="1:25" x14ac:dyDescent="0.25">
      <c r="A4083" s="75"/>
      <c r="C4083" s="81"/>
      <c r="D4083" s="81"/>
      <c r="I4083" s="81"/>
      <c r="K4083" s="82"/>
      <c r="L4083" s="123"/>
      <c r="M4083" s="3"/>
      <c r="N4083" s="3"/>
      <c r="O4083" s="3"/>
      <c r="P4083" s="125"/>
      <c r="Q4083" s="125"/>
      <c r="R4083" s="127"/>
      <c r="S4083" s="123"/>
      <c r="T4083" s="3"/>
      <c r="W4083" s="86"/>
      <c r="Y4083" s="75"/>
    </row>
    <row r="4084" spans="1:25" x14ac:dyDescent="0.25">
      <c r="A4084" s="75"/>
      <c r="C4084" s="81"/>
      <c r="D4084" s="81"/>
      <c r="I4084" s="81"/>
      <c r="K4084" s="82"/>
      <c r="L4084" s="123"/>
      <c r="M4084" s="3"/>
      <c r="N4084" s="3"/>
      <c r="O4084" s="3"/>
      <c r="P4084" s="125"/>
      <c r="Q4084" s="125"/>
      <c r="R4084" s="127"/>
      <c r="S4084" s="123"/>
      <c r="T4084" s="3"/>
      <c r="W4084" s="86"/>
      <c r="Y4084" s="75"/>
    </row>
    <row r="4085" spans="1:25" x14ac:dyDescent="0.25">
      <c r="A4085" s="75"/>
      <c r="C4085" s="81"/>
      <c r="D4085" s="81"/>
      <c r="I4085" s="81"/>
      <c r="K4085" s="82"/>
      <c r="L4085" s="123"/>
      <c r="M4085" s="3"/>
      <c r="N4085" s="3"/>
      <c r="O4085" s="3"/>
      <c r="P4085" s="125"/>
      <c r="Q4085" s="125"/>
      <c r="R4085" s="127"/>
      <c r="S4085" s="123"/>
      <c r="T4085" s="3"/>
      <c r="W4085" s="86"/>
      <c r="Y4085" s="75"/>
    </row>
    <row r="4086" spans="1:25" x14ac:dyDescent="0.25">
      <c r="A4086" s="75"/>
      <c r="C4086" s="81"/>
      <c r="D4086" s="81"/>
      <c r="I4086" s="81"/>
      <c r="K4086" s="82"/>
      <c r="L4086" s="123"/>
      <c r="M4086" s="3"/>
      <c r="N4086" s="3"/>
      <c r="O4086" s="3"/>
      <c r="P4086" s="125"/>
      <c r="Q4086" s="125"/>
      <c r="R4086" s="127"/>
      <c r="S4086" s="123"/>
      <c r="T4086" s="3"/>
      <c r="W4086" s="86"/>
      <c r="Y4086" s="75"/>
    </row>
    <row r="4087" spans="1:25" x14ac:dyDescent="0.25">
      <c r="A4087" s="75"/>
      <c r="C4087" s="81"/>
      <c r="D4087" s="81"/>
      <c r="I4087" s="81"/>
      <c r="K4087" s="82"/>
      <c r="L4087" s="123"/>
      <c r="M4087" s="3"/>
      <c r="N4087" s="3"/>
      <c r="O4087" s="3"/>
      <c r="P4087" s="125"/>
      <c r="Q4087" s="125"/>
      <c r="R4087" s="127"/>
      <c r="S4087" s="123"/>
      <c r="T4087" s="3"/>
      <c r="W4087" s="86"/>
      <c r="Y4087" s="75"/>
    </row>
    <row r="4088" spans="1:25" x14ac:dyDescent="0.25">
      <c r="A4088" s="75"/>
      <c r="C4088" s="81"/>
      <c r="D4088" s="81"/>
      <c r="I4088" s="81"/>
      <c r="K4088" s="82"/>
      <c r="L4088" s="123"/>
      <c r="M4088" s="3"/>
      <c r="N4088" s="3"/>
      <c r="O4088" s="3"/>
      <c r="P4088" s="125"/>
      <c r="Q4088" s="125"/>
      <c r="R4088" s="127"/>
      <c r="S4088" s="123"/>
      <c r="T4088" s="3"/>
      <c r="W4088" s="86"/>
      <c r="Y4088" s="75"/>
    </row>
    <row r="4089" spans="1:25" x14ac:dyDescent="0.25">
      <c r="A4089" s="75"/>
      <c r="C4089" s="81"/>
      <c r="D4089" s="81"/>
      <c r="I4089" s="81"/>
      <c r="K4089" s="82"/>
      <c r="L4089" s="123"/>
      <c r="M4089" s="3"/>
      <c r="N4089" s="3"/>
      <c r="O4089" s="3"/>
      <c r="P4089" s="125"/>
      <c r="Q4089" s="125"/>
      <c r="R4089" s="127"/>
      <c r="S4089" s="123"/>
      <c r="T4089" s="3"/>
      <c r="W4089" s="86"/>
      <c r="Y4089" s="75"/>
    </row>
    <row r="4090" spans="1:25" x14ac:dyDescent="0.25">
      <c r="A4090" s="75"/>
      <c r="C4090" s="81"/>
      <c r="D4090" s="81"/>
      <c r="I4090" s="81"/>
      <c r="K4090" s="82"/>
      <c r="L4090" s="123"/>
      <c r="M4090" s="3"/>
      <c r="N4090" s="3"/>
      <c r="O4090" s="3"/>
      <c r="P4090" s="125"/>
      <c r="Q4090" s="125"/>
      <c r="R4090" s="127"/>
      <c r="S4090" s="123"/>
      <c r="T4090" s="3"/>
      <c r="W4090" s="86"/>
      <c r="Y4090" s="75"/>
    </row>
    <row r="4091" spans="1:25" x14ac:dyDescent="0.25">
      <c r="A4091" s="75"/>
      <c r="C4091" s="81"/>
      <c r="D4091" s="81"/>
      <c r="I4091" s="81"/>
      <c r="K4091" s="82"/>
      <c r="L4091" s="123"/>
      <c r="M4091" s="3"/>
      <c r="N4091" s="3"/>
      <c r="O4091" s="3"/>
      <c r="P4091" s="125"/>
      <c r="Q4091" s="125"/>
      <c r="R4091" s="127"/>
      <c r="S4091" s="123"/>
      <c r="T4091" s="3"/>
      <c r="W4091" s="86"/>
      <c r="Y4091" s="75"/>
    </row>
    <row r="4092" spans="1:25" x14ac:dyDescent="0.25">
      <c r="A4092" s="75"/>
      <c r="C4092" s="81"/>
      <c r="D4092" s="81"/>
      <c r="I4092" s="81"/>
      <c r="K4092" s="82"/>
      <c r="L4092" s="123"/>
      <c r="M4092" s="3"/>
      <c r="N4092" s="3"/>
      <c r="O4092" s="3"/>
      <c r="P4092" s="125"/>
      <c r="Q4092" s="125"/>
      <c r="R4092" s="127"/>
      <c r="S4092" s="123"/>
      <c r="T4092" s="3"/>
      <c r="W4092" s="86"/>
      <c r="Y4092" s="75"/>
    </row>
    <row r="4093" spans="1:25" x14ac:dyDescent="0.25">
      <c r="A4093" s="75"/>
      <c r="C4093" s="81"/>
      <c r="D4093" s="81"/>
      <c r="I4093" s="81"/>
      <c r="K4093" s="82"/>
      <c r="L4093" s="123"/>
      <c r="M4093" s="3"/>
      <c r="N4093" s="3"/>
      <c r="O4093" s="3"/>
      <c r="P4093" s="125"/>
      <c r="Q4093" s="125"/>
      <c r="R4093" s="127"/>
      <c r="S4093" s="123"/>
      <c r="T4093" s="3"/>
      <c r="W4093" s="86"/>
      <c r="Y4093" s="75"/>
    </row>
    <row r="4094" spans="1:25" x14ac:dyDescent="0.25">
      <c r="A4094" s="75"/>
      <c r="C4094" s="81"/>
      <c r="D4094" s="81"/>
      <c r="I4094" s="81"/>
      <c r="K4094" s="82"/>
      <c r="L4094" s="123"/>
      <c r="M4094" s="3"/>
      <c r="N4094" s="3"/>
      <c r="O4094" s="3"/>
      <c r="P4094" s="125"/>
      <c r="Q4094" s="125"/>
      <c r="R4094" s="127"/>
      <c r="S4094" s="123"/>
      <c r="T4094" s="3"/>
      <c r="W4094" s="86"/>
      <c r="Y4094" s="75"/>
    </row>
    <row r="4095" spans="1:25" x14ac:dyDescent="0.25">
      <c r="A4095" s="75"/>
      <c r="C4095" s="81"/>
      <c r="D4095" s="81"/>
      <c r="I4095" s="81"/>
      <c r="K4095" s="82"/>
      <c r="L4095" s="123"/>
      <c r="M4095" s="3"/>
      <c r="N4095" s="3"/>
      <c r="O4095" s="3"/>
      <c r="P4095" s="125"/>
      <c r="Q4095" s="125"/>
      <c r="R4095" s="127"/>
      <c r="S4095" s="123"/>
      <c r="T4095" s="3"/>
      <c r="W4095" s="86"/>
      <c r="Y4095" s="75"/>
    </row>
    <row r="4096" spans="1:25" x14ac:dyDescent="0.25">
      <c r="A4096" s="75"/>
      <c r="C4096" s="81"/>
      <c r="D4096" s="81"/>
      <c r="I4096" s="81"/>
      <c r="K4096" s="82"/>
      <c r="L4096" s="123"/>
      <c r="M4096" s="3"/>
      <c r="N4096" s="3"/>
      <c r="O4096" s="3"/>
      <c r="P4096" s="125"/>
      <c r="Q4096" s="125"/>
      <c r="R4096" s="127"/>
      <c r="S4096" s="123"/>
      <c r="T4096" s="3"/>
      <c r="W4096" s="86"/>
      <c r="Y4096" s="75"/>
    </row>
    <row r="4097" spans="1:25" x14ac:dyDescent="0.25">
      <c r="A4097" s="75"/>
      <c r="C4097" s="81"/>
      <c r="D4097" s="81"/>
      <c r="I4097" s="81"/>
      <c r="K4097" s="82"/>
      <c r="L4097" s="123"/>
      <c r="M4097" s="3"/>
      <c r="N4097" s="3"/>
      <c r="O4097" s="3"/>
      <c r="P4097" s="125"/>
      <c r="Q4097" s="125"/>
      <c r="R4097" s="127"/>
      <c r="S4097" s="123"/>
      <c r="T4097" s="3"/>
      <c r="W4097" s="86"/>
      <c r="Y4097" s="75"/>
    </row>
    <row r="4098" spans="1:25" x14ac:dyDescent="0.25">
      <c r="A4098" s="75"/>
      <c r="C4098" s="81"/>
      <c r="D4098" s="81"/>
      <c r="I4098" s="81"/>
      <c r="K4098" s="82"/>
      <c r="L4098" s="123"/>
      <c r="M4098" s="3"/>
      <c r="N4098" s="3"/>
      <c r="O4098" s="3"/>
      <c r="P4098" s="125"/>
      <c r="Q4098" s="125"/>
      <c r="R4098" s="127"/>
      <c r="S4098" s="123"/>
      <c r="T4098" s="3"/>
      <c r="W4098" s="86"/>
      <c r="Y4098" s="75"/>
    </row>
    <row r="4099" spans="1:25" x14ac:dyDescent="0.25">
      <c r="A4099" s="75"/>
      <c r="C4099" s="81"/>
      <c r="D4099" s="81"/>
      <c r="I4099" s="81"/>
      <c r="K4099" s="82"/>
      <c r="L4099" s="123"/>
      <c r="M4099" s="3"/>
      <c r="N4099" s="3"/>
      <c r="O4099" s="3"/>
      <c r="P4099" s="125"/>
      <c r="Q4099" s="125"/>
      <c r="R4099" s="127"/>
      <c r="S4099" s="123"/>
      <c r="T4099" s="3"/>
      <c r="W4099" s="86"/>
      <c r="Y4099" s="75"/>
    </row>
    <row r="4100" spans="1:25" x14ac:dyDescent="0.25">
      <c r="A4100" s="75"/>
      <c r="C4100" s="81"/>
      <c r="D4100" s="81"/>
      <c r="I4100" s="81"/>
      <c r="K4100" s="82"/>
      <c r="L4100" s="123"/>
      <c r="M4100" s="3"/>
      <c r="N4100" s="3"/>
      <c r="O4100" s="3"/>
      <c r="P4100" s="125"/>
      <c r="Q4100" s="125"/>
      <c r="R4100" s="127"/>
      <c r="S4100" s="123"/>
      <c r="T4100" s="3"/>
      <c r="W4100" s="86"/>
      <c r="Y4100" s="75"/>
    </row>
    <row r="4101" spans="1:25" x14ac:dyDescent="0.25">
      <c r="A4101" s="75"/>
      <c r="C4101" s="81"/>
      <c r="D4101" s="81"/>
      <c r="I4101" s="81"/>
      <c r="K4101" s="82"/>
      <c r="L4101" s="123"/>
      <c r="M4101" s="3"/>
      <c r="N4101" s="3"/>
      <c r="O4101" s="3"/>
      <c r="P4101" s="125"/>
      <c r="Q4101" s="125"/>
      <c r="R4101" s="127"/>
      <c r="S4101" s="123"/>
      <c r="T4101" s="3"/>
      <c r="W4101" s="86"/>
      <c r="Y4101" s="75"/>
    </row>
    <row r="4102" spans="1:25" x14ac:dyDescent="0.25">
      <c r="A4102" s="75"/>
      <c r="C4102" s="81"/>
      <c r="D4102" s="81"/>
      <c r="I4102" s="81"/>
      <c r="K4102" s="82"/>
      <c r="L4102" s="123"/>
      <c r="M4102" s="3"/>
      <c r="N4102" s="3"/>
      <c r="O4102" s="3"/>
      <c r="P4102" s="125"/>
      <c r="Q4102" s="125"/>
      <c r="R4102" s="127"/>
      <c r="S4102" s="123"/>
      <c r="T4102" s="3"/>
      <c r="W4102" s="86"/>
      <c r="Y4102" s="75"/>
    </row>
    <row r="4103" spans="1:25" x14ac:dyDescent="0.25">
      <c r="A4103" s="75"/>
      <c r="C4103" s="81"/>
      <c r="D4103" s="81"/>
      <c r="I4103" s="81"/>
      <c r="K4103" s="82"/>
      <c r="L4103" s="123"/>
      <c r="M4103" s="3"/>
      <c r="N4103" s="3"/>
      <c r="O4103" s="3"/>
      <c r="P4103" s="125"/>
      <c r="Q4103" s="125"/>
      <c r="R4103" s="127"/>
      <c r="S4103" s="123"/>
      <c r="T4103" s="3"/>
      <c r="W4103" s="86"/>
      <c r="Y4103" s="75"/>
    </row>
    <row r="4104" spans="1:25" x14ac:dyDescent="0.25">
      <c r="A4104" s="75"/>
      <c r="C4104" s="81"/>
      <c r="D4104" s="81"/>
      <c r="I4104" s="81"/>
      <c r="K4104" s="82"/>
      <c r="L4104" s="123"/>
      <c r="M4104" s="3"/>
      <c r="N4104" s="3"/>
      <c r="O4104" s="3"/>
      <c r="P4104" s="125"/>
      <c r="Q4104" s="125"/>
      <c r="R4104" s="127"/>
      <c r="S4104" s="123"/>
      <c r="T4104" s="3"/>
      <c r="W4104" s="86"/>
      <c r="Y4104" s="75"/>
    </row>
    <row r="4105" spans="1:25" x14ac:dyDescent="0.25">
      <c r="A4105" s="75"/>
      <c r="C4105" s="81"/>
      <c r="D4105" s="81"/>
      <c r="I4105" s="81"/>
      <c r="K4105" s="82"/>
      <c r="L4105" s="123"/>
      <c r="M4105" s="3"/>
      <c r="N4105" s="3"/>
      <c r="O4105" s="3"/>
      <c r="P4105" s="125"/>
      <c r="Q4105" s="125"/>
      <c r="R4105" s="127"/>
      <c r="S4105" s="123"/>
      <c r="T4105" s="3"/>
      <c r="W4105" s="86"/>
      <c r="Y4105" s="75"/>
    </row>
    <row r="4106" spans="1:25" x14ac:dyDescent="0.25">
      <c r="A4106" s="75"/>
      <c r="C4106" s="81"/>
      <c r="D4106" s="81"/>
      <c r="I4106" s="81"/>
      <c r="K4106" s="82"/>
      <c r="L4106" s="123"/>
      <c r="M4106" s="3"/>
      <c r="N4106" s="3"/>
      <c r="O4106" s="3"/>
      <c r="P4106" s="125"/>
      <c r="Q4106" s="125"/>
      <c r="R4106" s="127"/>
      <c r="S4106" s="123"/>
      <c r="T4106" s="3"/>
      <c r="W4106" s="86"/>
      <c r="Y4106" s="75"/>
    </row>
    <row r="4107" spans="1:25" x14ac:dyDescent="0.25">
      <c r="A4107" s="75"/>
      <c r="C4107" s="81"/>
      <c r="D4107" s="81"/>
      <c r="I4107" s="81"/>
      <c r="K4107" s="82"/>
      <c r="L4107" s="123"/>
      <c r="M4107" s="3"/>
      <c r="N4107" s="3"/>
      <c r="O4107" s="3"/>
      <c r="P4107" s="125"/>
      <c r="Q4107" s="125"/>
      <c r="R4107" s="127"/>
      <c r="S4107" s="123"/>
      <c r="T4107" s="3"/>
      <c r="W4107" s="86"/>
      <c r="Y4107" s="75"/>
    </row>
    <row r="4108" spans="1:25" x14ac:dyDescent="0.25">
      <c r="A4108" s="75"/>
      <c r="C4108" s="81"/>
      <c r="D4108" s="81"/>
      <c r="I4108" s="81"/>
      <c r="K4108" s="82"/>
      <c r="L4108" s="123"/>
      <c r="M4108" s="3"/>
      <c r="N4108" s="3"/>
      <c r="O4108" s="3"/>
      <c r="P4108" s="125"/>
      <c r="Q4108" s="125"/>
      <c r="R4108" s="127"/>
      <c r="S4108" s="123"/>
      <c r="T4108" s="3"/>
      <c r="W4108" s="86"/>
      <c r="Y4108" s="75"/>
    </row>
    <row r="4109" spans="1:25" x14ac:dyDescent="0.25">
      <c r="A4109" s="75"/>
      <c r="C4109" s="81"/>
      <c r="D4109" s="81"/>
      <c r="I4109" s="81"/>
      <c r="K4109" s="82"/>
      <c r="L4109" s="123"/>
      <c r="M4109" s="3"/>
      <c r="N4109" s="3"/>
      <c r="O4109" s="3"/>
      <c r="P4109" s="125"/>
      <c r="Q4109" s="125"/>
      <c r="R4109" s="127"/>
      <c r="S4109" s="123"/>
      <c r="T4109" s="3"/>
      <c r="W4109" s="86"/>
      <c r="Y4109" s="75"/>
    </row>
    <row r="4110" spans="1:25" x14ac:dyDescent="0.25">
      <c r="A4110" s="75"/>
      <c r="C4110" s="81"/>
      <c r="D4110" s="81"/>
      <c r="I4110" s="81"/>
      <c r="K4110" s="82"/>
      <c r="L4110" s="123"/>
      <c r="M4110" s="3"/>
      <c r="N4110" s="3"/>
      <c r="O4110" s="3"/>
      <c r="P4110" s="125"/>
      <c r="Q4110" s="125"/>
      <c r="R4110" s="127"/>
      <c r="S4110" s="123"/>
      <c r="T4110" s="3"/>
      <c r="W4110" s="86"/>
      <c r="Y4110" s="75"/>
    </row>
    <row r="4111" spans="1:25" x14ac:dyDescent="0.25">
      <c r="A4111" s="75"/>
      <c r="C4111" s="81"/>
      <c r="D4111" s="81"/>
      <c r="I4111" s="81"/>
      <c r="K4111" s="82"/>
      <c r="L4111" s="123"/>
      <c r="M4111" s="3"/>
      <c r="N4111" s="3"/>
      <c r="O4111" s="3"/>
      <c r="P4111" s="125"/>
      <c r="Q4111" s="125"/>
      <c r="R4111" s="127"/>
      <c r="S4111" s="123"/>
      <c r="T4111" s="3"/>
      <c r="W4111" s="86"/>
      <c r="Y4111" s="75"/>
    </row>
    <row r="4112" spans="1:25" x14ac:dyDescent="0.25">
      <c r="A4112" s="75"/>
      <c r="C4112" s="81"/>
      <c r="D4112" s="81"/>
      <c r="I4112" s="81"/>
      <c r="K4112" s="82"/>
      <c r="L4112" s="123"/>
      <c r="M4112" s="3"/>
      <c r="N4112" s="3"/>
      <c r="O4112" s="3"/>
      <c r="P4112" s="125"/>
      <c r="Q4112" s="125"/>
      <c r="R4112" s="127"/>
      <c r="S4112" s="123"/>
      <c r="T4112" s="3"/>
      <c r="W4112" s="86"/>
      <c r="Y4112" s="75"/>
    </row>
    <row r="4113" spans="1:25" x14ac:dyDescent="0.25">
      <c r="A4113" s="75"/>
      <c r="C4113" s="81"/>
      <c r="D4113" s="81"/>
      <c r="I4113" s="81"/>
      <c r="K4113" s="82"/>
      <c r="L4113" s="123"/>
      <c r="M4113" s="3"/>
      <c r="N4113" s="3"/>
      <c r="O4113" s="3"/>
      <c r="P4113" s="125"/>
      <c r="Q4113" s="125"/>
      <c r="R4113" s="127"/>
      <c r="S4113" s="123"/>
      <c r="T4113" s="3"/>
      <c r="W4113" s="86"/>
      <c r="Y4113" s="75"/>
    </row>
    <row r="4114" spans="1:25" x14ac:dyDescent="0.25">
      <c r="A4114" s="75"/>
      <c r="C4114" s="81"/>
      <c r="D4114" s="81"/>
      <c r="I4114" s="81"/>
      <c r="K4114" s="82"/>
      <c r="L4114" s="123"/>
      <c r="M4114" s="3"/>
      <c r="N4114" s="3"/>
      <c r="O4114" s="3"/>
      <c r="P4114" s="125"/>
      <c r="Q4114" s="125"/>
      <c r="R4114" s="127"/>
      <c r="S4114" s="123"/>
      <c r="T4114" s="3"/>
      <c r="W4114" s="86"/>
      <c r="Y4114" s="75"/>
    </row>
    <row r="4115" spans="1:25" x14ac:dyDescent="0.25">
      <c r="A4115" s="75"/>
      <c r="C4115" s="81"/>
      <c r="D4115" s="81"/>
      <c r="I4115" s="81"/>
      <c r="K4115" s="82"/>
      <c r="L4115" s="123"/>
      <c r="M4115" s="3"/>
      <c r="N4115" s="3"/>
      <c r="O4115" s="3"/>
      <c r="P4115" s="125"/>
      <c r="Q4115" s="125"/>
      <c r="R4115" s="127"/>
      <c r="S4115" s="123"/>
      <c r="T4115" s="3"/>
      <c r="W4115" s="86"/>
      <c r="Y4115" s="75"/>
    </row>
    <row r="4116" spans="1:25" x14ac:dyDescent="0.25">
      <c r="A4116" s="75"/>
      <c r="C4116" s="81"/>
      <c r="D4116" s="81"/>
      <c r="I4116" s="81"/>
      <c r="K4116" s="82"/>
      <c r="L4116" s="123"/>
      <c r="M4116" s="3"/>
      <c r="N4116" s="3"/>
      <c r="O4116" s="3"/>
      <c r="P4116" s="125"/>
      <c r="Q4116" s="125"/>
      <c r="R4116" s="127"/>
      <c r="S4116" s="123"/>
      <c r="T4116" s="3"/>
      <c r="W4116" s="86"/>
      <c r="Y4116" s="75"/>
    </row>
    <row r="4117" spans="1:25" x14ac:dyDescent="0.25">
      <c r="A4117" s="75"/>
      <c r="C4117" s="81"/>
      <c r="D4117" s="81"/>
      <c r="I4117" s="81"/>
      <c r="K4117" s="82"/>
      <c r="L4117" s="123"/>
      <c r="M4117" s="3"/>
      <c r="N4117" s="3"/>
      <c r="O4117" s="3"/>
      <c r="P4117" s="125"/>
      <c r="Q4117" s="125"/>
      <c r="R4117" s="127"/>
      <c r="S4117" s="123"/>
      <c r="T4117" s="3"/>
      <c r="W4117" s="86"/>
      <c r="Y4117" s="75"/>
    </row>
    <row r="4118" spans="1:25" x14ac:dyDescent="0.25">
      <c r="A4118" s="75"/>
      <c r="C4118" s="81"/>
      <c r="D4118" s="81"/>
      <c r="I4118" s="81"/>
      <c r="K4118" s="82"/>
      <c r="L4118" s="123"/>
      <c r="M4118" s="3"/>
      <c r="N4118" s="3"/>
      <c r="O4118" s="3"/>
      <c r="P4118" s="125"/>
      <c r="Q4118" s="125"/>
      <c r="R4118" s="127"/>
      <c r="S4118" s="123"/>
      <c r="T4118" s="3"/>
      <c r="W4118" s="86"/>
      <c r="Y4118" s="75"/>
    </row>
    <row r="4119" spans="1:25" x14ac:dyDescent="0.25">
      <c r="A4119" s="75"/>
      <c r="C4119" s="81"/>
      <c r="D4119" s="81"/>
      <c r="I4119" s="81"/>
      <c r="K4119" s="82"/>
      <c r="L4119" s="123"/>
      <c r="M4119" s="3"/>
      <c r="N4119" s="3"/>
      <c r="O4119" s="3"/>
      <c r="P4119" s="125"/>
      <c r="Q4119" s="125"/>
      <c r="R4119" s="127"/>
      <c r="S4119" s="123"/>
      <c r="T4119" s="3"/>
      <c r="W4119" s="86"/>
      <c r="Y4119" s="75"/>
    </row>
    <row r="4120" spans="1:25" x14ac:dyDescent="0.25">
      <c r="A4120" s="75"/>
      <c r="C4120" s="81"/>
      <c r="D4120" s="81"/>
      <c r="I4120" s="81"/>
      <c r="K4120" s="82"/>
      <c r="L4120" s="123"/>
      <c r="M4120" s="3"/>
      <c r="N4120" s="3"/>
      <c r="O4120" s="3"/>
      <c r="P4120" s="125"/>
      <c r="Q4120" s="125"/>
      <c r="R4120" s="127"/>
      <c r="S4120" s="123"/>
      <c r="T4120" s="3"/>
      <c r="W4120" s="86"/>
      <c r="Y4120" s="75"/>
    </row>
    <row r="4121" spans="1:25" x14ac:dyDescent="0.25">
      <c r="A4121" s="75"/>
      <c r="C4121" s="81"/>
      <c r="D4121" s="81"/>
      <c r="I4121" s="81"/>
      <c r="K4121" s="82"/>
      <c r="L4121" s="123"/>
      <c r="M4121" s="3"/>
      <c r="N4121" s="3"/>
      <c r="O4121" s="3"/>
      <c r="P4121" s="125"/>
      <c r="Q4121" s="125"/>
      <c r="R4121" s="127"/>
      <c r="S4121" s="123"/>
      <c r="T4121" s="3"/>
      <c r="W4121" s="86"/>
      <c r="Y4121" s="75"/>
    </row>
    <row r="4122" spans="1:25" x14ac:dyDescent="0.25">
      <c r="A4122" s="75"/>
      <c r="C4122" s="81"/>
      <c r="D4122" s="81"/>
      <c r="I4122" s="81"/>
      <c r="K4122" s="82"/>
      <c r="L4122" s="123"/>
      <c r="M4122" s="3"/>
      <c r="N4122" s="3"/>
      <c r="O4122" s="3"/>
      <c r="P4122" s="125"/>
      <c r="Q4122" s="125"/>
      <c r="R4122" s="127"/>
      <c r="S4122" s="123"/>
      <c r="T4122" s="3"/>
      <c r="W4122" s="86"/>
      <c r="Y4122" s="75"/>
    </row>
    <row r="4123" spans="1:25" x14ac:dyDescent="0.25">
      <c r="A4123" s="75"/>
      <c r="C4123" s="81"/>
      <c r="D4123" s="81"/>
      <c r="I4123" s="81"/>
      <c r="K4123" s="82"/>
      <c r="L4123" s="123"/>
      <c r="M4123" s="3"/>
      <c r="N4123" s="3"/>
      <c r="O4123" s="3"/>
      <c r="P4123" s="125"/>
      <c r="Q4123" s="125"/>
      <c r="R4123" s="127"/>
      <c r="S4123" s="123"/>
      <c r="T4123" s="3"/>
      <c r="W4123" s="86"/>
      <c r="Y4123" s="75"/>
    </row>
    <row r="4124" spans="1:25" x14ac:dyDescent="0.25">
      <c r="A4124" s="75"/>
      <c r="C4124" s="81"/>
      <c r="D4124" s="81"/>
      <c r="I4124" s="81"/>
      <c r="K4124" s="82"/>
      <c r="L4124" s="123"/>
      <c r="M4124" s="3"/>
      <c r="N4124" s="3"/>
      <c r="O4124" s="3"/>
      <c r="P4124" s="125"/>
      <c r="Q4124" s="125"/>
      <c r="R4124" s="127"/>
      <c r="S4124" s="123"/>
      <c r="T4124" s="3"/>
      <c r="W4124" s="86"/>
      <c r="Y4124" s="75"/>
    </row>
    <row r="4125" spans="1:25" x14ac:dyDescent="0.25">
      <c r="A4125" s="75"/>
      <c r="C4125" s="81"/>
      <c r="D4125" s="81"/>
      <c r="I4125" s="81"/>
      <c r="K4125" s="82"/>
      <c r="L4125" s="123"/>
      <c r="M4125" s="3"/>
      <c r="N4125" s="3"/>
      <c r="O4125" s="3"/>
      <c r="P4125" s="125"/>
      <c r="Q4125" s="125"/>
      <c r="R4125" s="127"/>
      <c r="S4125" s="123"/>
      <c r="T4125" s="3"/>
      <c r="W4125" s="86"/>
      <c r="Y4125" s="75"/>
    </row>
    <row r="4126" spans="1:25" x14ac:dyDescent="0.25">
      <c r="A4126" s="75"/>
      <c r="C4126" s="81"/>
      <c r="D4126" s="81"/>
      <c r="I4126" s="81"/>
      <c r="K4126" s="82"/>
      <c r="L4126" s="123"/>
      <c r="M4126" s="3"/>
      <c r="N4126" s="3"/>
      <c r="O4126" s="3"/>
      <c r="P4126" s="125"/>
      <c r="Q4126" s="125"/>
      <c r="R4126" s="127"/>
      <c r="S4126" s="123"/>
      <c r="T4126" s="3"/>
      <c r="W4126" s="86"/>
      <c r="Y4126" s="75"/>
    </row>
    <row r="4127" spans="1:25" x14ac:dyDescent="0.25">
      <c r="A4127" s="75"/>
      <c r="C4127" s="81"/>
      <c r="D4127" s="81"/>
      <c r="I4127" s="81"/>
      <c r="K4127" s="82"/>
      <c r="L4127" s="123"/>
      <c r="M4127" s="3"/>
      <c r="N4127" s="3"/>
      <c r="O4127" s="3"/>
      <c r="P4127" s="125"/>
      <c r="Q4127" s="125"/>
      <c r="R4127" s="127"/>
      <c r="S4127" s="123"/>
      <c r="T4127" s="3"/>
      <c r="W4127" s="86"/>
      <c r="Y4127" s="75"/>
    </row>
    <row r="4128" spans="1:25" x14ac:dyDescent="0.25">
      <c r="A4128" s="75"/>
      <c r="C4128" s="81"/>
      <c r="D4128" s="81"/>
      <c r="I4128" s="81"/>
      <c r="K4128" s="82"/>
      <c r="L4128" s="123"/>
      <c r="M4128" s="3"/>
      <c r="N4128" s="3"/>
      <c r="O4128" s="3"/>
      <c r="P4128" s="125"/>
      <c r="Q4128" s="125"/>
      <c r="R4128" s="127"/>
      <c r="S4128" s="123"/>
      <c r="T4128" s="3"/>
      <c r="W4128" s="86"/>
      <c r="Y4128" s="75"/>
    </row>
    <row r="4129" spans="1:25" x14ac:dyDescent="0.25">
      <c r="A4129" s="75"/>
      <c r="C4129" s="81"/>
      <c r="D4129" s="81"/>
      <c r="I4129" s="81"/>
      <c r="K4129" s="82"/>
      <c r="L4129" s="123"/>
      <c r="M4129" s="3"/>
      <c r="N4129" s="3"/>
      <c r="O4129" s="3"/>
      <c r="P4129" s="125"/>
      <c r="Q4129" s="125"/>
      <c r="R4129" s="127"/>
      <c r="S4129" s="123"/>
      <c r="T4129" s="3"/>
      <c r="W4129" s="86"/>
      <c r="Y4129" s="75"/>
    </row>
    <row r="4130" spans="1:25" x14ac:dyDescent="0.25">
      <c r="A4130" s="75"/>
      <c r="C4130" s="81"/>
      <c r="D4130" s="81"/>
      <c r="I4130" s="81"/>
      <c r="K4130" s="82"/>
      <c r="L4130" s="123"/>
      <c r="M4130" s="3"/>
      <c r="N4130" s="3"/>
      <c r="O4130" s="3"/>
      <c r="P4130" s="125"/>
      <c r="Q4130" s="125"/>
      <c r="R4130" s="127"/>
      <c r="S4130" s="123"/>
      <c r="T4130" s="3"/>
      <c r="W4130" s="86"/>
      <c r="Y4130" s="75"/>
    </row>
    <row r="4131" spans="1:25" x14ac:dyDescent="0.25">
      <c r="A4131" s="75"/>
      <c r="C4131" s="81"/>
      <c r="D4131" s="81"/>
      <c r="I4131" s="81"/>
      <c r="K4131" s="82"/>
      <c r="L4131" s="123"/>
      <c r="M4131" s="3"/>
      <c r="N4131" s="3"/>
      <c r="O4131" s="3"/>
      <c r="P4131" s="125"/>
      <c r="Q4131" s="125"/>
      <c r="R4131" s="127"/>
      <c r="S4131" s="123"/>
      <c r="T4131" s="3"/>
      <c r="W4131" s="86"/>
      <c r="Y4131" s="75"/>
    </row>
    <row r="4132" spans="1:25" x14ac:dyDescent="0.25">
      <c r="A4132" s="75"/>
      <c r="C4132" s="81"/>
      <c r="D4132" s="81"/>
      <c r="I4132" s="81"/>
      <c r="K4132" s="82"/>
      <c r="L4132" s="123"/>
      <c r="M4132" s="3"/>
      <c r="N4132" s="3"/>
      <c r="O4132" s="3"/>
      <c r="P4132" s="125"/>
      <c r="Q4132" s="125"/>
      <c r="R4132" s="127"/>
      <c r="S4132" s="123"/>
      <c r="T4132" s="3"/>
      <c r="W4132" s="86"/>
      <c r="Y4132" s="75"/>
    </row>
    <row r="4133" spans="1:25" x14ac:dyDescent="0.25">
      <c r="A4133" s="75"/>
      <c r="C4133" s="81"/>
      <c r="D4133" s="81"/>
      <c r="I4133" s="81"/>
      <c r="K4133" s="82"/>
      <c r="L4133" s="123"/>
      <c r="M4133" s="3"/>
      <c r="N4133" s="3"/>
      <c r="O4133" s="3"/>
      <c r="P4133" s="125"/>
      <c r="Q4133" s="125"/>
      <c r="R4133" s="127"/>
      <c r="S4133" s="123"/>
      <c r="T4133" s="3"/>
      <c r="W4133" s="86"/>
      <c r="Y4133" s="75"/>
    </row>
    <row r="4134" spans="1:25" x14ac:dyDescent="0.25">
      <c r="A4134" s="75"/>
      <c r="C4134" s="81"/>
      <c r="D4134" s="81"/>
      <c r="I4134" s="81"/>
      <c r="K4134" s="82"/>
      <c r="L4134" s="123"/>
      <c r="M4134" s="3"/>
      <c r="N4134" s="3"/>
      <c r="O4134" s="3"/>
      <c r="P4134" s="125"/>
      <c r="Q4134" s="125"/>
      <c r="R4134" s="127"/>
      <c r="S4134" s="123"/>
      <c r="T4134" s="3"/>
      <c r="W4134" s="86"/>
      <c r="Y4134" s="75"/>
    </row>
    <row r="4135" spans="1:25" x14ac:dyDescent="0.25">
      <c r="A4135" s="75"/>
      <c r="C4135" s="81"/>
      <c r="D4135" s="81"/>
      <c r="I4135" s="81"/>
      <c r="K4135" s="82"/>
      <c r="L4135" s="123"/>
      <c r="M4135" s="3"/>
      <c r="N4135" s="3"/>
      <c r="O4135" s="3"/>
      <c r="P4135" s="125"/>
      <c r="Q4135" s="125"/>
      <c r="R4135" s="127"/>
      <c r="S4135" s="123"/>
      <c r="T4135" s="3"/>
      <c r="W4135" s="86"/>
      <c r="Y4135" s="75"/>
    </row>
    <row r="4136" spans="1:25" x14ac:dyDescent="0.25">
      <c r="A4136" s="75"/>
      <c r="C4136" s="81"/>
      <c r="D4136" s="81"/>
      <c r="I4136" s="81"/>
      <c r="K4136" s="82"/>
      <c r="L4136" s="123"/>
      <c r="M4136" s="3"/>
      <c r="N4136" s="3"/>
      <c r="O4136" s="3"/>
      <c r="P4136" s="125"/>
      <c r="Q4136" s="125"/>
      <c r="R4136" s="127"/>
      <c r="S4136" s="123"/>
      <c r="T4136" s="3"/>
      <c r="W4136" s="86"/>
      <c r="Y4136" s="75"/>
    </row>
    <row r="4137" spans="1:25" x14ac:dyDescent="0.25">
      <c r="A4137" s="75"/>
      <c r="C4137" s="81"/>
      <c r="D4137" s="81"/>
      <c r="I4137" s="81"/>
      <c r="K4137" s="82"/>
      <c r="L4137" s="123"/>
      <c r="M4137" s="3"/>
      <c r="N4137" s="3"/>
      <c r="O4137" s="3"/>
      <c r="P4137" s="125"/>
      <c r="Q4137" s="125"/>
      <c r="R4137" s="127"/>
      <c r="S4137" s="123"/>
      <c r="T4137" s="3"/>
      <c r="W4137" s="86"/>
      <c r="Y4137" s="75"/>
    </row>
    <row r="4138" spans="1:25" x14ac:dyDescent="0.25">
      <c r="A4138" s="75"/>
      <c r="C4138" s="81"/>
      <c r="D4138" s="81"/>
      <c r="I4138" s="81"/>
      <c r="K4138" s="82"/>
      <c r="L4138" s="123"/>
      <c r="M4138" s="3"/>
      <c r="N4138" s="3"/>
      <c r="O4138" s="3"/>
      <c r="P4138" s="125"/>
      <c r="Q4138" s="125"/>
      <c r="R4138" s="127"/>
      <c r="S4138" s="123"/>
      <c r="T4138" s="3"/>
      <c r="W4138" s="86"/>
      <c r="Y4138" s="75"/>
    </row>
    <row r="4139" spans="1:25" x14ac:dyDescent="0.25">
      <c r="A4139" s="75"/>
      <c r="C4139" s="81"/>
      <c r="D4139" s="81"/>
      <c r="I4139" s="81"/>
      <c r="K4139" s="82"/>
      <c r="L4139" s="123"/>
      <c r="M4139" s="3"/>
      <c r="N4139" s="3"/>
      <c r="O4139" s="3"/>
      <c r="P4139" s="125"/>
      <c r="Q4139" s="125"/>
      <c r="R4139" s="127"/>
      <c r="S4139" s="123"/>
      <c r="T4139" s="3"/>
      <c r="W4139" s="86"/>
      <c r="Y4139" s="75"/>
    </row>
    <row r="4140" spans="1:25" x14ac:dyDescent="0.25">
      <c r="A4140" s="75"/>
      <c r="C4140" s="81"/>
      <c r="D4140" s="81"/>
      <c r="I4140" s="81"/>
      <c r="K4140" s="82"/>
      <c r="L4140" s="123"/>
      <c r="M4140" s="3"/>
      <c r="N4140" s="3"/>
      <c r="O4140" s="3"/>
      <c r="P4140" s="125"/>
      <c r="Q4140" s="125"/>
      <c r="R4140" s="127"/>
      <c r="S4140" s="123"/>
      <c r="T4140" s="3"/>
      <c r="W4140" s="86"/>
      <c r="Y4140" s="75"/>
    </row>
    <row r="4141" spans="1:25" x14ac:dyDescent="0.25">
      <c r="A4141" s="75"/>
      <c r="C4141" s="81"/>
      <c r="D4141" s="81"/>
      <c r="I4141" s="81"/>
      <c r="K4141" s="82"/>
      <c r="L4141" s="123"/>
      <c r="M4141" s="3"/>
      <c r="N4141" s="3"/>
      <c r="O4141" s="3"/>
      <c r="P4141" s="125"/>
      <c r="Q4141" s="125"/>
      <c r="R4141" s="127"/>
      <c r="S4141" s="123"/>
      <c r="T4141" s="3"/>
      <c r="W4141" s="86"/>
      <c r="Y4141" s="75"/>
    </row>
    <row r="4142" spans="1:25" x14ac:dyDescent="0.25">
      <c r="A4142" s="75"/>
      <c r="C4142" s="81"/>
      <c r="D4142" s="81"/>
      <c r="I4142" s="81"/>
      <c r="K4142" s="82"/>
      <c r="L4142" s="123"/>
      <c r="M4142" s="3"/>
      <c r="N4142" s="3"/>
      <c r="O4142" s="3"/>
      <c r="P4142" s="125"/>
      <c r="Q4142" s="125"/>
      <c r="R4142" s="127"/>
      <c r="S4142" s="123"/>
      <c r="T4142" s="3"/>
      <c r="W4142" s="86"/>
      <c r="Y4142" s="75"/>
    </row>
    <row r="4143" spans="1:25" x14ac:dyDescent="0.25">
      <c r="A4143" s="75"/>
      <c r="C4143" s="81"/>
      <c r="D4143" s="81"/>
      <c r="I4143" s="81"/>
      <c r="K4143" s="82"/>
      <c r="L4143" s="123"/>
      <c r="M4143" s="3"/>
      <c r="N4143" s="3"/>
      <c r="O4143" s="3"/>
      <c r="P4143" s="125"/>
      <c r="Q4143" s="125"/>
      <c r="R4143" s="127"/>
      <c r="S4143" s="123"/>
      <c r="T4143" s="3"/>
      <c r="W4143" s="86"/>
      <c r="Y4143" s="75"/>
    </row>
    <row r="4144" spans="1:25" x14ac:dyDescent="0.25">
      <c r="A4144" s="75"/>
      <c r="C4144" s="81"/>
      <c r="D4144" s="81"/>
      <c r="I4144" s="81"/>
      <c r="K4144" s="82"/>
      <c r="L4144" s="123"/>
      <c r="M4144" s="3"/>
      <c r="N4144" s="3"/>
      <c r="O4144" s="3"/>
      <c r="P4144" s="125"/>
      <c r="Q4144" s="125"/>
      <c r="R4144" s="127"/>
      <c r="S4144" s="123"/>
      <c r="T4144" s="3"/>
      <c r="W4144" s="86"/>
      <c r="Y4144" s="75"/>
    </row>
    <row r="4145" spans="1:25" x14ac:dyDescent="0.25">
      <c r="A4145" s="75"/>
      <c r="C4145" s="81"/>
      <c r="D4145" s="81"/>
      <c r="I4145" s="81"/>
      <c r="K4145" s="82"/>
      <c r="L4145" s="123"/>
      <c r="M4145" s="3"/>
      <c r="N4145" s="3"/>
      <c r="O4145" s="3"/>
      <c r="P4145" s="125"/>
      <c r="Q4145" s="125"/>
      <c r="R4145" s="127"/>
      <c r="S4145" s="123"/>
      <c r="T4145" s="3"/>
      <c r="W4145" s="86"/>
      <c r="Y4145" s="75"/>
    </row>
    <row r="4146" spans="1:25" x14ac:dyDescent="0.25">
      <c r="A4146" s="75"/>
      <c r="C4146" s="81"/>
      <c r="D4146" s="81"/>
      <c r="I4146" s="81"/>
      <c r="K4146" s="82"/>
      <c r="L4146" s="123"/>
      <c r="M4146" s="3"/>
      <c r="N4146" s="3"/>
      <c r="O4146" s="3"/>
      <c r="P4146" s="125"/>
      <c r="Q4146" s="125"/>
      <c r="R4146" s="127"/>
      <c r="S4146" s="123"/>
      <c r="T4146" s="3"/>
      <c r="W4146" s="86"/>
      <c r="Y4146" s="75"/>
    </row>
    <row r="4147" spans="1:25" x14ac:dyDescent="0.25">
      <c r="A4147" s="75"/>
      <c r="C4147" s="81"/>
      <c r="D4147" s="81"/>
      <c r="I4147" s="81"/>
      <c r="K4147" s="82"/>
      <c r="L4147" s="123"/>
      <c r="M4147" s="3"/>
      <c r="N4147" s="3"/>
      <c r="O4147" s="3"/>
      <c r="P4147" s="125"/>
      <c r="Q4147" s="125"/>
      <c r="R4147" s="127"/>
      <c r="S4147" s="123"/>
      <c r="T4147" s="3"/>
      <c r="W4147" s="86"/>
      <c r="Y4147" s="75"/>
    </row>
    <row r="4148" spans="1:25" x14ac:dyDescent="0.25">
      <c r="A4148" s="75"/>
      <c r="C4148" s="81"/>
      <c r="D4148" s="81"/>
      <c r="I4148" s="81"/>
      <c r="K4148" s="82"/>
      <c r="L4148" s="123"/>
      <c r="M4148" s="3"/>
      <c r="N4148" s="3"/>
      <c r="O4148" s="3"/>
      <c r="P4148" s="125"/>
      <c r="Q4148" s="125"/>
      <c r="R4148" s="127"/>
      <c r="S4148" s="123"/>
      <c r="T4148" s="3"/>
      <c r="W4148" s="86"/>
      <c r="Y4148" s="75"/>
    </row>
    <row r="4149" spans="1:25" x14ac:dyDescent="0.25">
      <c r="A4149" s="75"/>
      <c r="C4149" s="81"/>
      <c r="D4149" s="81"/>
      <c r="I4149" s="81"/>
      <c r="K4149" s="82"/>
      <c r="L4149" s="123"/>
      <c r="M4149" s="3"/>
      <c r="N4149" s="3"/>
      <c r="O4149" s="3"/>
      <c r="P4149" s="125"/>
      <c r="Q4149" s="125"/>
      <c r="R4149" s="127"/>
      <c r="S4149" s="123"/>
      <c r="T4149" s="3"/>
      <c r="W4149" s="86"/>
      <c r="Y4149" s="75"/>
    </row>
    <row r="4150" spans="1:25" x14ac:dyDescent="0.25">
      <c r="A4150" s="75"/>
      <c r="C4150" s="81"/>
      <c r="D4150" s="81"/>
      <c r="I4150" s="81"/>
      <c r="K4150" s="82"/>
      <c r="L4150" s="123"/>
      <c r="M4150" s="3"/>
      <c r="N4150" s="3"/>
      <c r="O4150" s="3"/>
      <c r="P4150" s="125"/>
      <c r="Q4150" s="125"/>
      <c r="R4150" s="127"/>
      <c r="S4150" s="123"/>
      <c r="T4150" s="3"/>
      <c r="W4150" s="86"/>
      <c r="Y4150" s="75"/>
    </row>
    <row r="4151" spans="1:25" x14ac:dyDescent="0.25">
      <c r="A4151" s="75"/>
      <c r="C4151" s="81"/>
      <c r="D4151" s="81"/>
      <c r="I4151" s="81"/>
      <c r="K4151" s="82"/>
      <c r="L4151" s="123"/>
      <c r="M4151" s="3"/>
      <c r="N4151" s="3"/>
      <c r="O4151" s="3"/>
      <c r="P4151" s="125"/>
      <c r="Q4151" s="125"/>
      <c r="R4151" s="127"/>
      <c r="S4151" s="123"/>
      <c r="T4151" s="3"/>
      <c r="W4151" s="86"/>
      <c r="Y4151" s="75"/>
    </row>
    <row r="4152" spans="1:25" x14ac:dyDescent="0.25">
      <c r="A4152" s="75"/>
      <c r="C4152" s="81"/>
      <c r="D4152" s="81"/>
      <c r="I4152" s="81"/>
      <c r="K4152" s="82"/>
      <c r="L4152" s="123"/>
      <c r="M4152" s="3"/>
      <c r="N4152" s="3"/>
      <c r="O4152" s="3"/>
      <c r="P4152" s="125"/>
      <c r="Q4152" s="125"/>
      <c r="R4152" s="127"/>
      <c r="S4152" s="123"/>
      <c r="T4152" s="3"/>
      <c r="W4152" s="86"/>
      <c r="Y4152" s="75"/>
    </row>
    <row r="4153" spans="1:25" x14ac:dyDescent="0.25">
      <c r="A4153" s="75"/>
      <c r="C4153" s="81"/>
      <c r="D4153" s="81"/>
      <c r="I4153" s="81"/>
      <c r="K4153" s="82"/>
      <c r="L4153" s="123"/>
      <c r="M4153" s="3"/>
      <c r="N4153" s="3"/>
      <c r="O4153" s="3"/>
      <c r="P4153" s="125"/>
      <c r="Q4153" s="125"/>
      <c r="R4153" s="127"/>
      <c r="S4153" s="123"/>
      <c r="T4153" s="3"/>
      <c r="W4153" s="86"/>
      <c r="Y4153" s="75"/>
    </row>
    <row r="4154" spans="1:25" x14ac:dyDescent="0.25">
      <c r="A4154" s="75"/>
      <c r="C4154" s="81"/>
      <c r="D4154" s="81"/>
      <c r="I4154" s="81"/>
      <c r="K4154" s="82"/>
      <c r="L4154" s="123"/>
      <c r="M4154" s="3"/>
      <c r="N4154" s="3"/>
      <c r="O4154" s="3"/>
      <c r="P4154" s="125"/>
      <c r="Q4154" s="125"/>
      <c r="R4154" s="127"/>
      <c r="S4154" s="123"/>
      <c r="T4154" s="3"/>
      <c r="W4154" s="86"/>
      <c r="Y4154" s="75"/>
    </row>
    <row r="4155" spans="1:25" x14ac:dyDescent="0.25">
      <c r="A4155" s="75"/>
      <c r="C4155" s="81"/>
      <c r="D4155" s="81"/>
      <c r="I4155" s="81"/>
      <c r="K4155" s="82"/>
      <c r="L4155" s="123"/>
      <c r="M4155" s="3"/>
      <c r="N4155" s="3"/>
      <c r="O4155" s="3"/>
      <c r="P4155" s="125"/>
      <c r="Q4155" s="125"/>
      <c r="R4155" s="127"/>
      <c r="S4155" s="123"/>
      <c r="T4155" s="3"/>
      <c r="W4155" s="86"/>
      <c r="Y4155" s="75"/>
    </row>
    <row r="4156" spans="1:25" x14ac:dyDescent="0.25">
      <c r="A4156" s="75"/>
      <c r="C4156" s="81"/>
      <c r="D4156" s="81"/>
      <c r="I4156" s="81"/>
      <c r="K4156" s="82"/>
      <c r="L4156" s="123"/>
      <c r="M4156" s="3"/>
      <c r="N4156" s="3"/>
      <c r="O4156" s="3"/>
      <c r="P4156" s="125"/>
      <c r="Q4156" s="125"/>
      <c r="R4156" s="127"/>
      <c r="S4156" s="123"/>
      <c r="T4156" s="3"/>
      <c r="W4156" s="86"/>
      <c r="Y4156" s="75"/>
    </row>
    <row r="4157" spans="1:25" x14ac:dyDescent="0.25">
      <c r="A4157" s="75"/>
      <c r="C4157" s="81"/>
      <c r="D4157" s="81"/>
      <c r="I4157" s="81"/>
      <c r="K4157" s="82"/>
      <c r="L4157" s="123"/>
      <c r="M4157" s="3"/>
      <c r="N4157" s="3"/>
      <c r="O4157" s="3"/>
      <c r="P4157" s="125"/>
      <c r="Q4157" s="125"/>
      <c r="R4157" s="127"/>
      <c r="S4157" s="123"/>
      <c r="T4157" s="3"/>
      <c r="W4157" s="86"/>
      <c r="Y4157" s="75"/>
    </row>
    <row r="4158" spans="1:25" x14ac:dyDescent="0.25">
      <c r="A4158" s="75"/>
      <c r="C4158" s="81"/>
      <c r="D4158" s="81"/>
      <c r="I4158" s="81"/>
      <c r="K4158" s="82"/>
      <c r="L4158" s="123"/>
      <c r="M4158" s="3"/>
      <c r="N4158" s="3"/>
      <c r="O4158" s="3"/>
      <c r="P4158" s="125"/>
      <c r="Q4158" s="125"/>
      <c r="R4158" s="127"/>
      <c r="S4158" s="123"/>
      <c r="T4158" s="3"/>
      <c r="W4158" s="86"/>
      <c r="Y4158" s="75"/>
    </row>
    <row r="4159" spans="1:25" x14ac:dyDescent="0.25">
      <c r="A4159" s="75"/>
      <c r="C4159" s="81"/>
      <c r="D4159" s="81"/>
      <c r="I4159" s="81"/>
      <c r="K4159" s="82"/>
      <c r="L4159" s="123"/>
      <c r="M4159" s="3"/>
      <c r="N4159" s="3"/>
      <c r="O4159" s="3"/>
      <c r="P4159" s="125"/>
      <c r="Q4159" s="125"/>
      <c r="R4159" s="127"/>
      <c r="S4159" s="123"/>
      <c r="T4159" s="3"/>
      <c r="W4159" s="86"/>
      <c r="Y4159" s="75"/>
    </row>
    <row r="4160" spans="1:25" x14ac:dyDescent="0.25">
      <c r="A4160" s="75"/>
      <c r="C4160" s="81"/>
      <c r="D4160" s="81"/>
      <c r="I4160" s="81"/>
      <c r="K4160" s="82"/>
      <c r="L4160" s="123"/>
      <c r="M4160" s="3"/>
      <c r="N4160" s="3"/>
      <c r="O4160" s="3"/>
      <c r="P4160" s="125"/>
      <c r="Q4160" s="125"/>
      <c r="R4160" s="127"/>
      <c r="S4160" s="123"/>
      <c r="T4160" s="3"/>
      <c r="W4160" s="86"/>
      <c r="Y4160" s="75"/>
    </row>
    <row r="4161" spans="1:25" x14ac:dyDescent="0.25">
      <c r="A4161" s="75"/>
      <c r="C4161" s="81"/>
      <c r="D4161" s="81"/>
      <c r="I4161" s="81"/>
      <c r="K4161" s="82"/>
      <c r="L4161" s="123"/>
      <c r="M4161" s="3"/>
      <c r="N4161" s="3"/>
      <c r="O4161" s="3"/>
      <c r="P4161" s="125"/>
      <c r="Q4161" s="125"/>
      <c r="R4161" s="127"/>
      <c r="S4161" s="123"/>
      <c r="T4161" s="3"/>
      <c r="W4161" s="86"/>
      <c r="Y4161" s="75"/>
    </row>
    <row r="4162" spans="1:25" x14ac:dyDescent="0.25">
      <c r="A4162" s="75"/>
      <c r="C4162" s="81"/>
      <c r="D4162" s="81"/>
      <c r="I4162" s="81"/>
      <c r="K4162" s="82"/>
      <c r="L4162" s="123"/>
      <c r="M4162" s="3"/>
      <c r="N4162" s="3"/>
      <c r="O4162" s="3"/>
      <c r="P4162" s="125"/>
      <c r="Q4162" s="125"/>
      <c r="R4162" s="127"/>
      <c r="S4162" s="123"/>
      <c r="T4162" s="3"/>
      <c r="W4162" s="86"/>
      <c r="Y4162" s="75"/>
    </row>
    <row r="4163" spans="1:25" x14ac:dyDescent="0.25">
      <c r="A4163" s="75"/>
      <c r="C4163" s="81"/>
      <c r="D4163" s="81"/>
      <c r="I4163" s="81"/>
      <c r="K4163" s="82"/>
      <c r="L4163" s="123"/>
      <c r="M4163" s="3"/>
      <c r="N4163" s="3"/>
      <c r="O4163" s="3"/>
      <c r="P4163" s="125"/>
      <c r="Q4163" s="125"/>
      <c r="R4163" s="127"/>
      <c r="S4163" s="123"/>
      <c r="T4163" s="3"/>
      <c r="W4163" s="86"/>
      <c r="Y4163" s="75"/>
    </row>
    <row r="4164" spans="1:25" x14ac:dyDescent="0.25">
      <c r="A4164" s="75"/>
      <c r="C4164" s="81"/>
      <c r="D4164" s="81"/>
      <c r="I4164" s="81"/>
      <c r="K4164" s="82"/>
      <c r="L4164" s="123"/>
      <c r="M4164" s="3"/>
      <c r="N4164" s="3"/>
      <c r="O4164" s="3"/>
      <c r="P4164" s="125"/>
      <c r="Q4164" s="125"/>
      <c r="R4164" s="127"/>
      <c r="S4164" s="123"/>
      <c r="T4164" s="3"/>
      <c r="W4164" s="86"/>
      <c r="Y4164" s="75"/>
    </row>
    <row r="4165" spans="1:25" x14ac:dyDescent="0.25">
      <c r="A4165" s="75"/>
      <c r="C4165" s="81"/>
      <c r="D4165" s="81"/>
      <c r="I4165" s="81"/>
      <c r="K4165" s="82"/>
      <c r="L4165" s="123"/>
      <c r="M4165" s="3"/>
      <c r="N4165" s="3"/>
      <c r="O4165" s="3"/>
      <c r="P4165" s="125"/>
      <c r="Q4165" s="125"/>
      <c r="R4165" s="127"/>
      <c r="S4165" s="123"/>
      <c r="T4165" s="3"/>
      <c r="W4165" s="86"/>
      <c r="Y4165" s="75"/>
    </row>
    <row r="4166" spans="1:25" x14ac:dyDescent="0.25">
      <c r="A4166" s="75"/>
      <c r="C4166" s="81"/>
      <c r="D4166" s="81"/>
      <c r="I4166" s="81"/>
      <c r="K4166" s="82"/>
      <c r="L4166" s="123"/>
      <c r="M4166" s="3"/>
      <c r="N4166" s="3"/>
      <c r="O4166" s="3"/>
      <c r="P4166" s="125"/>
      <c r="Q4166" s="125"/>
      <c r="R4166" s="127"/>
      <c r="S4166" s="123"/>
      <c r="T4166" s="3"/>
      <c r="W4166" s="86"/>
      <c r="Y4166" s="75"/>
    </row>
    <row r="4167" spans="1:25" x14ac:dyDescent="0.25">
      <c r="A4167" s="75"/>
      <c r="C4167" s="81"/>
      <c r="D4167" s="81"/>
      <c r="I4167" s="81"/>
      <c r="K4167" s="82"/>
      <c r="L4167" s="123"/>
      <c r="M4167" s="3"/>
      <c r="N4167" s="3"/>
      <c r="O4167" s="3"/>
      <c r="P4167" s="125"/>
      <c r="Q4167" s="125"/>
      <c r="R4167" s="127"/>
      <c r="S4167" s="123"/>
      <c r="T4167" s="3"/>
      <c r="W4167" s="86"/>
      <c r="Y4167" s="75"/>
    </row>
    <row r="4168" spans="1:25" x14ac:dyDescent="0.25">
      <c r="A4168" s="75"/>
      <c r="C4168" s="81"/>
      <c r="D4168" s="81"/>
      <c r="I4168" s="81"/>
      <c r="K4168" s="82"/>
      <c r="L4168" s="123"/>
      <c r="M4168" s="3"/>
      <c r="N4168" s="3"/>
      <c r="O4168" s="3"/>
      <c r="P4168" s="125"/>
      <c r="Q4168" s="125"/>
      <c r="R4168" s="127"/>
      <c r="S4168" s="123"/>
      <c r="T4168" s="3"/>
      <c r="W4168" s="86"/>
      <c r="Y4168" s="75"/>
    </row>
    <row r="4169" spans="1:25" x14ac:dyDescent="0.25">
      <c r="A4169" s="75"/>
      <c r="C4169" s="81"/>
      <c r="D4169" s="81"/>
      <c r="I4169" s="81"/>
      <c r="K4169" s="82"/>
      <c r="L4169" s="123"/>
      <c r="M4169" s="3"/>
      <c r="N4169" s="3"/>
      <c r="O4169" s="3"/>
      <c r="P4169" s="125"/>
      <c r="Q4169" s="125"/>
      <c r="R4169" s="127"/>
      <c r="S4169" s="123"/>
      <c r="T4169" s="3"/>
      <c r="W4169" s="86"/>
      <c r="Y4169" s="75"/>
    </row>
    <row r="4170" spans="1:25" x14ac:dyDescent="0.25">
      <c r="A4170" s="75"/>
      <c r="C4170" s="81"/>
      <c r="D4170" s="81"/>
      <c r="I4170" s="81"/>
      <c r="K4170" s="82"/>
      <c r="L4170" s="123"/>
      <c r="M4170" s="3"/>
      <c r="N4170" s="3"/>
      <c r="O4170" s="3"/>
      <c r="P4170" s="125"/>
      <c r="Q4170" s="125"/>
      <c r="R4170" s="127"/>
      <c r="S4170" s="123"/>
      <c r="T4170" s="3"/>
      <c r="W4170" s="86"/>
      <c r="Y4170" s="75"/>
    </row>
    <row r="4171" spans="1:25" x14ac:dyDescent="0.25">
      <c r="A4171" s="75"/>
      <c r="C4171" s="81"/>
      <c r="D4171" s="81"/>
      <c r="I4171" s="81"/>
      <c r="K4171" s="82"/>
      <c r="L4171" s="123"/>
      <c r="M4171" s="3"/>
      <c r="N4171" s="3"/>
      <c r="O4171" s="3"/>
      <c r="P4171" s="125"/>
      <c r="Q4171" s="125"/>
      <c r="R4171" s="127"/>
      <c r="S4171" s="123"/>
      <c r="T4171" s="3"/>
      <c r="W4171" s="86"/>
      <c r="Y4171" s="75"/>
    </row>
    <row r="4172" spans="1:25" x14ac:dyDescent="0.25">
      <c r="A4172" s="75"/>
      <c r="C4172" s="81"/>
      <c r="D4172" s="81"/>
      <c r="I4172" s="81"/>
      <c r="K4172" s="82"/>
      <c r="L4172" s="123"/>
      <c r="M4172" s="3"/>
      <c r="N4172" s="3"/>
      <c r="O4172" s="3"/>
      <c r="P4172" s="125"/>
      <c r="Q4172" s="125"/>
      <c r="R4172" s="127"/>
      <c r="S4172" s="123"/>
      <c r="T4172" s="3"/>
      <c r="W4172" s="86"/>
      <c r="Y4172" s="75"/>
    </row>
    <row r="4173" spans="1:25" x14ac:dyDescent="0.25">
      <c r="A4173" s="75"/>
      <c r="C4173" s="81"/>
      <c r="D4173" s="81"/>
      <c r="I4173" s="81"/>
      <c r="K4173" s="82"/>
      <c r="L4173" s="123"/>
      <c r="M4173" s="3"/>
      <c r="N4173" s="3"/>
      <c r="O4173" s="3"/>
      <c r="P4173" s="125"/>
      <c r="Q4173" s="125"/>
      <c r="R4173" s="127"/>
      <c r="S4173" s="123"/>
      <c r="T4173" s="3"/>
      <c r="W4173" s="86"/>
      <c r="Y4173" s="75"/>
    </row>
    <row r="4174" spans="1:25" x14ac:dyDescent="0.25">
      <c r="A4174" s="75"/>
      <c r="C4174" s="81"/>
      <c r="D4174" s="81"/>
      <c r="I4174" s="81"/>
      <c r="K4174" s="82"/>
      <c r="L4174" s="123"/>
      <c r="M4174" s="3"/>
      <c r="N4174" s="3"/>
      <c r="O4174" s="3"/>
      <c r="P4174" s="125"/>
      <c r="Q4174" s="125"/>
      <c r="R4174" s="127"/>
      <c r="S4174" s="123"/>
      <c r="T4174" s="3"/>
      <c r="W4174" s="86"/>
      <c r="Y4174" s="75"/>
    </row>
    <row r="4175" spans="1:25" x14ac:dyDescent="0.25">
      <c r="A4175" s="75"/>
      <c r="C4175" s="81"/>
      <c r="D4175" s="81"/>
      <c r="I4175" s="81"/>
      <c r="K4175" s="82"/>
      <c r="L4175" s="123"/>
      <c r="M4175" s="3"/>
      <c r="N4175" s="3"/>
      <c r="O4175" s="3"/>
      <c r="P4175" s="125"/>
      <c r="Q4175" s="125"/>
      <c r="R4175" s="127"/>
      <c r="S4175" s="123"/>
      <c r="T4175" s="3"/>
      <c r="W4175" s="86"/>
      <c r="Y4175" s="75"/>
    </row>
    <row r="4176" spans="1:25" x14ac:dyDescent="0.25">
      <c r="A4176" s="75"/>
      <c r="C4176" s="81"/>
      <c r="D4176" s="81"/>
      <c r="I4176" s="81"/>
      <c r="K4176" s="82"/>
      <c r="L4176" s="123"/>
      <c r="M4176" s="3"/>
      <c r="N4176" s="3"/>
      <c r="O4176" s="3"/>
      <c r="P4176" s="125"/>
      <c r="Q4176" s="125"/>
      <c r="R4176" s="127"/>
      <c r="S4176" s="123"/>
      <c r="T4176" s="3"/>
      <c r="W4176" s="86"/>
      <c r="Y4176" s="75"/>
    </row>
    <row r="4177" spans="1:25" x14ac:dyDescent="0.25">
      <c r="A4177" s="75"/>
      <c r="C4177" s="81"/>
      <c r="D4177" s="81"/>
      <c r="I4177" s="81"/>
      <c r="K4177" s="82"/>
      <c r="L4177" s="123"/>
      <c r="M4177" s="3"/>
      <c r="N4177" s="3"/>
      <c r="O4177" s="3"/>
      <c r="P4177" s="125"/>
      <c r="Q4177" s="125"/>
      <c r="R4177" s="127"/>
      <c r="S4177" s="123"/>
      <c r="T4177" s="3"/>
      <c r="W4177" s="86"/>
      <c r="Y4177" s="75"/>
    </row>
    <row r="4178" spans="1:25" x14ac:dyDescent="0.25">
      <c r="A4178" s="75"/>
      <c r="C4178" s="81"/>
      <c r="D4178" s="81"/>
      <c r="I4178" s="81"/>
      <c r="K4178" s="82"/>
      <c r="L4178" s="123"/>
      <c r="M4178" s="3"/>
      <c r="N4178" s="3"/>
      <c r="O4178" s="3"/>
      <c r="P4178" s="125"/>
      <c r="Q4178" s="125"/>
      <c r="R4178" s="127"/>
      <c r="S4178" s="123"/>
      <c r="T4178" s="3"/>
      <c r="W4178" s="86"/>
      <c r="Y4178" s="75"/>
    </row>
    <row r="4179" spans="1:25" x14ac:dyDescent="0.25">
      <c r="A4179" s="75"/>
      <c r="C4179" s="81"/>
      <c r="D4179" s="81"/>
      <c r="I4179" s="81"/>
      <c r="K4179" s="82"/>
      <c r="L4179" s="123"/>
      <c r="M4179" s="3"/>
      <c r="N4179" s="3"/>
      <c r="O4179" s="3"/>
      <c r="P4179" s="125"/>
      <c r="Q4179" s="125"/>
      <c r="R4179" s="127"/>
      <c r="S4179" s="123"/>
      <c r="T4179" s="3"/>
      <c r="W4179" s="86"/>
      <c r="Y4179" s="75"/>
    </row>
    <row r="4180" spans="1:25" x14ac:dyDescent="0.25">
      <c r="A4180" s="75"/>
      <c r="C4180" s="81"/>
      <c r="D4180" s="81"/>
      <c r="I4180" s="81"/>
      <c r="K4180" s="82"/>
      <c r="L4180" s="123"/>
      <c r="M4180" s="3"/>
      <c r="N4180" s="3"/>
      <c r="O4180" s="3"/>
      <c r="P4180" s="125"/>
      <c r="Q4180" s="125"/>
      <c r="R4180" s="127"/>
      <c r="S4180" s="123"/>
      <c r="T4180" s="3"/>
      <c r="W4180" s="86"/>
      <c r="Y4180" s="75"/>
    </row>
    <row r="4181" spans="1:25" x14ac:dyDescent="0.25">
      <c r="A4181" s="75"/>
      <c r="C4181" s="81"/>
      <c r="D4181" s="81"/>
      <c r="I4181" s="81"/>
      <c r="K4181" s="82"/>
      <c r="L4181" s="123"/>
      <c r="M4181" s="3"/>
      <c r="N4181" s="3"/>
      <c r="O4181" s="3"/>
      <c r="P4181" s="125"/>
      <c r="Q4181" s="125"/>
      <c r="R4181" s="127"/>
      <c r="S4181" s="123"/>
      <c r="T4181" s="3"/>
      <c r="W4181" s="86"/>
      <c r="Y4181" s="75"/>
    </row>
    <row r="4182" spans="1:25" x14ac:dyDescent="0.25">
      <c r="A4182" s="75"/>
      <c r="C4182" s="81"/>
      <c r="D4182" s="81"/>
      <c r="I4182" s="81"/>
      <c r="K4182" s="82"/>
      <c r="L4182" s="123"/>
      <c r="M4182" s="3"/>
      <c r="N4182" s="3"/>
      <c r="O4182" s="3"/>
      <c r="P4182" s="125"/>
      <c r="Q4182" s="125"/>
      <c r="R4182" s="127"/>
      <c r="S4182" s="123"/>
      <c r="T4182" s="3"/>
      <c r="W4182" s="86"/>
      <c r="Y4182" s="75"/>
    </row>
    <row r="4183" spans="1:25" x14ac:dyDescent="0.25">
      <c r="A4183" s="75"/>
      <c r="C4183" s="81"/>
      <c r="D4183" s="81"/>
      <c r="I4183" s="81"/>
      <c r="K4183" s="82"/>
      <c r="L4183" s="123"/>
      <c r="M4183" s="3"/>
      <c r="N4183" s="3"/>
      <c r="O4183" s="3"/>
      <c r="P4183" s="125"/>
      <c r="Q4183" s="125"/>
      <c r="R4183" s="127"/>
      <c r="S4183" s="123"/>
      <c r="T4183" s="3"/>
      <c r="W4183" s="86"/>
      <c r="Y4183" s="75"/>
    </row>
    <row r="4184" spans="1:25" x14ac:dyDescent="0.25">
      <c r="A4184" s="75"/>
      <c r="C4184" s="81"/>
      <c r="D4184" s="81"/>
      <c r="I4184" s="81"/>
      <c r="K4184" s="82"/>
      <c r="L4184" s="123"/>
      <c r="M4184" s="3"/>
      <c r="N4184" s="3"/>
      <c r="O4184" s="3"/>
      <c r="P4184" s="125"/>
      <c r="Q4184" s="125"/>
      <c r="R4184" s="127"/>
      <c r="S4184" s="123"/>
      <c r="T4184" s="3"/>
      <c r="W4184" s="86"/>
      <c r="Y4184" s="75"/>
    </row>
    <row r="4185" spans="1:25" x14ac:dyDescent="0.25">
      <c r="A4185" s="75"/>
      <c r="C4185" s="81"/>
      <c r="D4185" s="81"/>
      <c r="I4185" s="81"/>
      <c r="K4185" s="82"/>
      <c r="L4185" s="123"/>
      <c r="M4185" s="3"/>
      <c r="N4185" s="3"/>
      <c r="O4185" s="3"/>
      <c r="P4185" s="125"/>
      <c r="Q4185" s="125"/>
      <c r="R4185" s="127"/>
      <c r="S4185" s="123"/>
      <c r="T4185" s="3"/>
      <c r="W4185" s="86"/>
      <c r="Y4185" s="75"/>
    </row>
    <row r="4186" spans="1:25" x14ac:dyDescent="0.25">
      <c r="A4186" s="75"/>
      <c r="C4186" s="81"/>
      <c r="D4186" s="81"/>
      <c r="I4186" s="81"/>
      <c r="K4186" s="82"/>
      <c r="L4186" s="123"/>
      <c r="M4186" s="3"/>
      <c r="N4186" s="3"/>
      <c r="O4186" s="3"/>
      <c r="P4186" s="125"/>
      <c r="Q4186" s="125"/>
      <c r="R4186" s="127"/>
      <c r="S4186" s="123"/>
      <c r="T4186" s="3"/>
      <c r="W4186" s="86"/>
      <c r="Y4186" s="75"/>
    </row>
    <row r="4187" spans="1:25" x14ac:dyDescent="0.25">
      <c r="A4187" s="75"/>
      <c r="C4187" s="81"/>
      <c r="D4187" s="81"/>
      <c r="I4187" s="81"/>
      <c r="K4187" s="82"/>
      <c r="L4187" s="123"/>
      <c r="M4187" s="3"/>
      <c r="N4187" s="3"/>
      <c r="O4187" s="3"/>
      <c r="P4187" s="125"/>
      <c r="Q4187" s="125"/>
      <c r="R4187" s="127"/>
      <c r="S4187" s="123"/>
      <c r="T4187" s="3"/>
      <c r="W4187" s="86"/>
      <c r="Y4187" s="75"/>
    </row>
    <row r="4188" spans="1:25" x14ac:dyDescent="0.25">
      <c r="A4188" s="75"/>
      <c r="C4188" s="81"/>
      <c r="D4188" s="81"/>
      <c r="I4188" s="81"/>
      <c r="K4188" s="82"/>
      <c r="L4188" s="123"/>
      <c r="M4188" s="3"/>
      <c r="N4188" s="3"/>
      <c r="O4188" s="3"/>
      <c r="P4188" s="125"/>
      <c r="Q4188" s="125"/>
      <c r="R4188" s="127"/>
      <c r="S4188" s="123"/>
      <c r="T4188" s="3"/>
      <c r="W4188" s="86"/>
      <c r="Y4188" s="75"/>
    </row>
    <row r="4189" spans="1:25" x14ac:dyDescent="0.25">
      <c r="A4189" s="75"/>
      <c r="C4189" s="81"/>
      <c r="D4189" s="81"/>
      <c r="I4189" s="81"/>
      <c r="K4189" s="82"/>
      <c r="L4189" s="123"/>
      <c r="M4189" s="3"/>
      <c r="N4189" s="3"/>
      <c r="O4189" s="3"/>
      <c r="P4189" s="125"/>
      <c r="Q4189" s="125"/>
      <c r="R4189" s="127"/>
      <c r="S4189" s="123"/>
      <c r="T4189" s="3"/>
      <c r="W4189" s="86"/>
      <c r="Y4189" s="75"/>
    </row>
    <row r="4190" spans="1:25" x14ac:dyDescent="0.25">
      <c r="A4190" s="75"/>
      <c r="C4190" s="81"/>
      <c r="D4190" s="81"/>
      <c r="I4190" s="81"/>
      <c r="K4190" s="82"/>
      <c r="L4190" s="123"/>
      <c r="M4190" s="3"/>
      <c r="N4190" s="3"/>
      <c r="O4190" s="3"/>
      <c r="P4190" s="125"/>
      <c r="Q4190" s="125"/>
      <c r="R4190" s="127"/>
      <c r="S4190" s="123"/>
      <c r="T4190" s="3"/>
      <c r="W4190" s="86"/>
      <c r="Y4190" s="75"/>
    </row>
    <row r="4191" spans="1:25" x14ac:dyDescent="0.25">
      <c r="A4191" s="75"/>
      <c r="C4191" s="81"/>
      <c r="D4191" s="81"/>
      <c r="I4191" s="81"/>
      <c r="K4191" s="82"/>
      <c r="L4191" s="123"/>
      <c r="M4191" s="3"/>
      <c r="N4191" s="3"/>
      <c r="O4191" s="3"/>
      <c r="P4191" s="125"/>
      <c r="Q4191" s="125"/>
      <c r="R4191" s="127"/>
      <c r="S4191" s="123"/>
      <c r="T4191" s="3"/>
      <c r="W4191" s="86"/>
      <c r="Y4191" s="75"/>
    </row>
    <row r="4192" spans="1:25" x14ac:dyDescent="0.25">
      <c r="A4192" s="75"/>
      <c r="C4192" s="81"/>
      <c r="D4192" s="81"/>
      <c r="I4192" s="81"/>
      <c r="K4192" s="82"/>
      <c r="L4192" s="123"/>
      <c r="M4192" s="3"/>
      <c r="N4192" s="3"/>
      <c r="O4192" s="3"/>
      <c r="P4192" s="125"/>
      <c r="Q4192" s="125"/>
      <c r="R4192" s="127"/>
      <c r="S4192" s="123"/>
      <c r="T4192" s="3"/>
      <c r="W4192" s="86"/>
      <c r="Y4192" s="75"/>
    </row>
    <row r="4193" spans="1:25" x14ac:dyDescent="0.25">
      <c r="A4193" s="75"/>
      <c r="C4193" s="81"/>
      <c r="D4193" s="81"/>
      <c r="I4193" s="81"/>
      <c r="K4193" s="82"/>
      <c r="L4193" s="123"/>
      <c r="M4193" s="3"/>
      <c r="N4193" s="3"/>
      <c r="O4193" s="3"/>
      <c r="P4193" s="125"/>
      <c r="Q4193" s="125"/>
      <c r="R4193" s="127"/>
      <c r="S4193" s="123"/>
      <c r="T4193" s="3"/>
      <c r="W4193" s="86"/>
      <c r="Y4193" s="75"/>
    </row>
    <row r="4194" spans="1:25" x14ac:dyDescent="0.25">
      <c r="A4194" s="75"/>
      <c r="C4194" s="81"/>
      <c r="D4194" s="81"/>
      <c r="I4194" s="81"/>
      <c r="K4194" s="82"/>
      <c r="L4194" s="123"/>
      <c r="M4194" s="3"/>
      <c r="N4194" s="3"/>
      <c r="O4194" s="3"/>
      <c r="P4194" s="125"/>
      <c r="Q4194" s="125"/>
      <c r="R4194" s="127"/>
      <c r="S4194" s="123"/>
      <c r="T4194" s="3"/>
      <c r="W4194" s="86"/>
      <c r="Y4194" s="75"/>
    </row>
    <row r="4195" spans="1:25" x14ac:dyDescent="0.25">
      <c r="A4195" s="75"/>
      <c r="C4195" s="81"/>
      <c r="D4195" s="81"/>
      <c r="I4195" s="81"/>
      <c r="K4195" s="82"/>
      <c r="L4195" s="123"/>
      <c r="M4195" s="3"/>
      <c r="N4195" s="3"/>
      <c r="O4195" s="3"/>
      <c r="P4195" s="125"/>
      <c r="Q4195" s="125"/>
      <c r="R4195" s="127"/>
      <c r="S4195" s="123"/>
      <c r="T4195" s="3"/>
      <c r="W4195" s="86"/>
      <c r="Y4195" s="75"/>
    </row>
    <row r="4196" spans="1:25" x14ac:dyDescent="0.25">
      <c r="A4196" s="75"/>
      <c r="C4196" s="81"/>
      <c r="D4196" s="81"/>
      <c r="I4196" s="81"/>
      <c r="K4196" s="82"/>
      <c r="L4196" s="123"/>
      <c r="M4196" s="3"/>
      <c r="N4196" s="3"/>
      <c r="O4196" s="3"/>
      <c r="P4196" s="125"/>
      <c r="Q4196" s="125"/>
      <c r="R4196" s="127"/>
      <c r="S4196" s="123"/>
      <c r="T4196" s="3"/>
      <c r="W4196" s="86"/>
      <c r="Y4196" s="75"/>
    </row>
    <row r="4197" spans="1:25" x14ac:dyDescent="0.25">
      <c r="A4197" s="75"/>
      <c r="C4197" s="81"/>
      <c r="D4197" s="81"/>
      <c r="I4197" s="81"/>
      <c r="K4197" s="82"/>
      <c r="L4197" s="123"/>
      <c r="M4197" s="3"/>
      <c r="N4197" s="3"/>
      <c r="O4197" s="3"/>
      <c r="P4197" s="125"/>
      <c r="Q4197" s="125"/>
      <c r="R4197" s="127"/>
      <c r="S4197" s="123"/>
      <c r="T4197" s="3"/>
      <c r="W4197" s="86"/>
      <c r="Y4197" s="75"/>
    </row>
    <row r="4198" spans="1:25" x14ac:dyDescent="0.25">
      <c r="A4198" s="75"/>
      <c r="C4198" s="81"/>
      <c r="D4198" s="81"/>
      <c r="I4198" s="81"/>
      <c r="K4198" s="82"/>
      <c r="L4198" s="123"/>
      <c r="M4198" s="3"/>
      <c r="N4198" s="3"/>
      <c r="O4198" s="3"/>
      <c r="P4198" s="125"/>
      <c r="Q4198" s="125"/>
      <c r="R4198" s="127"/>
      <c r="S4198" s="123"/>
      <c r="T4198" s="3"/>
      <c r="W4198" s="86"/>
      <c r="Y4198" s="75"/>
    </row>
    <row r="4199" spans="1:25" x14ac:dyDescent="0.25">
      <c r="A4199" s="75"/>
      <c r="C4199" s="81"/>
      <c r="D4199" s="81"/>
      <c r="I4199" s="81"/>
      <c r="K4199" s="82"/>
      <c r="L4199" s="123"/>
      <c r="M4199" s="3"/>
      <c r="N4199" s="3"/>
      <c r="O4199" s="3"/>
      <c r="P4199" s="125"/>
      <c r="Q4199" s="125"/>
      <c r="R4199" s="127"/>
      <c r="S4199" s="123"/>
      <c r="T4199" s="3"/>
      <c r="W4199" s="86"/>
      <c r="Y4199" s="75"/>
    </row>
    <row r="4200" spans="1:25" x14ac:dyDescent="0.25">
      <c r="A4200" s="75"/>
      <c r="C4200" s="81"/>
      <c r="D4200" s="81"/>
      <c r="I4200" s="81"/>
      <c r="K4200" s="82"/>
      <c r="L4200" s="123"/>
      <c r="M4200" s="3"/>
      <c r="N4200" s="3"/>
      <c r="O4200" s="3"/>
      <c r="P4200" s="125"/>
      <c r="Q4200" s="125"/>
      <c r="R4200" s="127"/>
      <c r="S4200" s="123"/>
      <c r="T4200" s="3"/>
      <c r="W4200" s="86"/>
      <c r="Y4200" s="75"/>
    </row>
    <row r="4201" spans="1:25" x14ac:dyDescent="0.25">
      <c r="A4201" s="75"/>
      <c r="C4201" s="81"/>
      <c r="D4201" s="81"/>
      <c r="I4201" s="81"/>
      <c r="K4201" s="82"/>
      <c r="L4201" s="123"/>
      <c r="M4201" s="3"/>
      <c r="N4201" s="3"/>
      <c r="O4201" s="3"/>
      <c r="P4201" s="125"/>
      <c r="Q4201" s="125"/>
      <c r="R4201" s="127"/>
      <c r="S4201" s="123"/>
      <c r="T4201" s="3"/>
      <c r="W4201" s="86"/>
      <c r="Y4201" s="75"/>
    </row>
    <row r="4202" spans="1:25" x14ac:dyDescent="0.25">
      <c r="A4202" s="75"/>
      <c r="C4202" s="81"/>
      <c r="D4202" s="81"/>
      <c r="I4202" s="81"/>
      <c r="K4202" s="82"/>
      <c r="L4202" s="123"/>
      <c r="M4202" s="3"/>
      <c r="N4202" s="3"/>
      <c r="O4202" s="3"/>
      <c r="P4202" s="125"/>
      <c r="Q4202" s="125"/>
      <c r="R4202" s="127"/>
      <c r="S4202" s="123"/>
      <c r="T4202" s="3"/>
      <c r="W4202" s="86"/>
      <c r="Y4202" s="75"/>
    </row>
    <row r="4203" spans="1:25" x14ac:dyDescent="0.25">
      <c r="A4203" s="75"/>
      <c r="C4203" s="81"/>
      <c r="D4203" s="81"/>
      <c r="I4203" s="81"/>
      <c r="K4203" s="82"/>
      <c r="L4203" s="123"/>
      <c r="M4203" s="3"/>
      <c r="N4203" s="3"/>
      <c r="O4203" s="3"/>
      <c r="P4203" s="125"/>
      <c r="Q4203" s="125"/>
      <c r="R4203" s="127"/>
      <c r="S4203" s="123"/>
      <c r="T4203" s="3"/>
      <c r="W4203" s="86"/>
      <c r="Y4203" s="75"/>
    </row>
    <row r="4204" spans="1:25" x14ac:dyDescent="0.25">
      <c r="A4204" s="75"/>
      <c r="C4204" s="81"/>
      <c r="D4204" s="81"/>
      <c r="I4204" s="81"/>
      <c r="K4204" s="82"/>
      <c r="L4204" s="123"/>
      <c r="M4204" s="3"/>
      <c r="N4204" s="3"/>
      <c r="O4204" s="3"/>
      <c r="P4204" s="125"/>
      <c r="Q4204" s="125"/>
      <c r="R4204" s="127"/>
      <c r="S4204" s="123"/>
      <c r="T4204" s="3"/>
      <c r="W4204" s="86"/>
      <c r="Y4204" s="75"/>
    </row>
    <row r="4205" spans="1:25" x14ac:dyDescent="0.25">
      <c r="A4205" s="75"/>
      <c r="C4205" s="81"/>
      <c r="D4205" s="81"/>
      <c r="I4205" s="81"/>
      <c r="K4205" s="82"/>
      <c r="L4205" s="123"/>
      <c r="M4205" s="3"/>
      <c r="N4205" s="3"/>
      <c r="O4205" s="3"/>
      <c r="P4205" s="125"/>
      <c r="Q4205" s="125"/>
      <c r="R4205" s="127"/>
      <c r="S4205" s="123"/>
      <c r="T4205" s="3"/>
      <c r="W4205" s="86"/>
      <c r="Y4205" s="75"/>
    </row>
    <row r="4206" spans="1:25" x14ac:dyDescent="0.25">
      <c r="A4206" s="75"/>
      <c r="C4206" s="81"/>
      <c r="D4206" s="81"/>
      <c r="I4206" s="81"/>
      <c r="K4206" s="82"/>
      <c r="L4206" s="123"/>
      <c r="M4206" s="3"/>
      <c r="N4206" s="3"/>
      <c r="O4206" s="3"/>
      <c r="P4206" s="125"/>
      <c r="Q4206" s="125"/>
      <c r="R4206" s="127"/>
      <c r="S4206" s="123"/>
      <c r="T4206" s="3"/>
      <c r="W4206" s="86"/>
      <c r="Y4206" s="75"/>
    </row>
    <row r="4207" spans="1:25" x14ac:dyDescent="0.25">
      <c r="A4207" s="75"/>
      <c r="C4207" s="81"/>
      <c r="D4207" s="81"/>
      <c r="I4207" s="81"/>
      <c r="K4207" s="82"/>
      <c r="L4207" s="123"/>
      <c r="M4207" s="3"/>
      <c r="N4207" s="3"/>
      <c r="O4207" s="3"/>
      <c r="P4207" s="125"/>
      <c r="Q4207" s="125"/>
      <c r="R4207" s="127"/>
      <c r="S4207" s="123"/>
      <c r="T4207" s="3"/>
      <c r="W4207" s="86"/>
      <c r="Y4207" s="75"/>
    </row>
    <row r="4208" spans="1:25" x14ac:dyDescent="0.25">
      <c r="A4208" s="75"/>
      <c r="C4208" s="81"/>
      <c r="D4208" s="81"/>
      <c r="I4208" s="81"/>
      <c r="K4208" s="82"/>
      <c r="L4208" s="123"/>
      <c r="M4208" s="3"/>
      <c r="N4208" s="3"/>
      <c r="O4208" s="3"/>
      <c r="P4208" s="125"/>
      <c r="Q4208" s="125"/>
      <c r="R4208" s="127"/>
      <c r="S4208" s="123"/>
      <c r="T4208" s="3"/>
      <c r="W4208" s="86"/>
      <c r="Y4208" s="75"/>
    </row>
    <row r="4209" spans="1:25" x14ac:dyDescent="0.25">
      <c r="A4209" s="75"/>
      <c r="C4209" s="81"/>
      <c r="D4209" s="81"/>
      <c r="I4209" s="81"/>
      <c r="K4209" s="82"/>
      <c r="L4209" s="123"/>
      <c r="M4209" s="3"/>
      <c r="N4209" s="3"/>
      <c r="O4209" s="3"/>
      <c r="P4209" s="125"/>
      <c r="Q4209" s="125"/>
      <c r="R4209" s="127"/>
      <c r="S4209" s="123"/>
      <c r="T4209" s="3"/>
      <c r="W4209" s="86"/>
      <c r="Y4209" s="75"/>
    </row>
    <row r="4210" spans="1:25" x14ac:dyDescent="0.25">
      <c r="A4210" s="75"/>
      <c r="C4210" s="81"/>
      <c r="D4210" s="81"/>
      <c r="I4210" s="81"/>
      <c r="K4210" s="82"/>
      <c r="L4210" s="123"/>
      <c r="M4210" s="3"/>
      <c r="N4210" s="3"/>
      <c r="O4210" s="3"/>
      <c r="P4210" s="125"/>
      <c r="Q4210" s="125"/>
      <c r="R4210" s="127"/>
      <c r="S4210" s="123"/>
      <c r="T4210" s="3"/>
      <c r="W4210" s="86"/>
      <c r="Y4210" s="75"/>
    </row>
    <row r="4211" spans="1:25" x14ac:dyDescent="0.25">
      <c r="A4211" s="75"/>
      <c r="C4211" s="81"/>
      <c r="D4211" s="81"/>
      <c r="I4211" s="81"/>
      <c r="K4211" s="82"/>
      <c r="L4211" s="123"/>
      <c r="M4211" s="3"/>
      <c r="N4211" s="3"/>
      <c r="O4211" s="3"/>
      <c r="P4211" s="125"/>
      <c r="Q4211" s="125"/>
      <c r="R4211" s="127"/>
      <c r="S4211" s="123"/>
      <c r="T4211" s="3"/>
      <c r="W4211" s="86"/>
      <c r="Y4211" s="75"/>
    </row>
    <row r="4212" spans="1:25" x14ac:dyDescent="0.25">
      <c r="A4212" s="75"/>
      <c r="C4212" s="81"/>
      <c r="D4212" s="81"/>
      <c r="I4212" s="81"/>
      <c r="K4212" s="82"/>
      <c r="L4212" s="123"/>
      <c r="M4212" s="3"/>
      <c r="N4212" s="3"/>
      <c r="O4212" s="3"/>
      <c r="P4212" s="125"/>
      <c r="Q4212" s="125"/>
      <c r="R4212" s="127"/>
      <c r="S4212" s="123"/>
      <c r="T4212" s="3"/>
      <c r="W4212" s="86"/>
      <c r="Y4212" s="75"/>
    </row>
    <row r="4213" spans="1:25" x14ac:dyDescent="0.25">
      <c r="A4213" s="75"/>
      <c r="C4213" s="81"/>
      <c r="D4213" s="81"/>
      <c r="I4213" s="81"/>
      <c r="K4213" s="82"/>
      <c r="L4213" s="123"/>
      <c r="M4213" s="3"/>
      <c r="N4213" s="3"/>
      <c r="O4213" s="3"/>
      <c r="P4213" s="125"/>
      <c r="Q4213" s="125"/>
      <c r="R4213" s="127"/>
      <c r="S4213" s="123"/>
      <c r="T4213" s="3"/>
      <c r="W4213" s="86"/>
      <c r="Y4213" s="75"/>
    </row>
    <row r="4214" spans="1:25" x14ac:dyDescent="0.25">
      <c r="A4214" s="75"/>
      <c r="C4214" s="81"/>
      <c r="D4214" s="81"/>
      <c r="I4214" s="81"/>
      <c r="K4214" s="82"/>
      <c r="L4214" s="123"/>
      <c r="M4214" s="3"/>
      <c r="N4214" s="3"/>
      <c r="O4214" s="3"/>
      <c r="P4214" s="125"/>
      <c r="Q4214" s="125"/>
      <c r="R4214" s="127"/>
      <c r="S4214" s="123"/>
      <c r="T4214" s="3"/>
      <c r="W4214" s="86"/>
      <c r="Y4214" s="75"/>
    </row>
    <row r="4215" spans="1:25" x14ac:dyDescent="0.25">
      <c r="A4215" s="75"/>
      <c r="C4215" s="81"/>
      <c r="D4215" s="81"/>
      <c r="I4215" s="81"/>
      <c r="K4215" s="82"/>
      <c r="L4215" s="123"/>
      <c r="M4215" s="3"/>
      <c r="N4215" s="3"/>
      <c r="O4215" s="3"/>
      <c r="P4215" s="125"/>
      <c r="Q4215" s="125"/>
      <c r="R4215" s="127"/>
      <c r="S4215" s="123"/>
      <c r="T4215" s="3"/>
      <c r="W4215" s="86"/>
      <c r="Y4215" s="75"/>
    </row>
    <row r="4216" spans="1:25" x14ac:dyDescent="0.25">
      <c r="A4216" s="75"/>
      <c r="C4216" s="81"/>
      <c r="D4216" s="81"/>
      <c r="I4216" s="81"/>
      <c r="K4216" s="82"/>
      <c r="L4216" s="123"/>
      <c r="M4216" s="3"/>
      <c r="N4216" s="3"/>
      <c r="O4216" s="3"/>
      <c r="P4216" s="125"/>
      <c r="Q4216" s="125"/>
      <c r="R4216" s="127"/>
      <c r="S4216" s="123"/>
      <c r="T4216" s="3"/>
      <c r="W4216" s="86"/>
      <c r="Y4216" s="75"/>
    </row>
    <row r="4217" spans="1:25" x14ac:dyDescent="0.25">
      <c r="A4217" s="75"/>
      <c r="C4217" s="81"/>
      <c r="D4217" s="81"/>
      <c r="I4217" s="81"/>
      <c r="K4217" s="82"/>
      <c r="L4217" s="123"/>
      <c r="M4217" s="3"/>
      <c r="N4217" s="3"/>
      <c r="O4217" s="3"/>
      <c r="P4217" s="125"/>
      <c r="Q4217" s="125"/>
      <c r="R4217" s="127"/>
      <c r="S4217" s="123"/>
      <c r="T4217" s="3"/>
      <c r="W4217" s="86"/>
      <c r="Y4217" s="75"/>
    </row>
    <row r="4218" spans="1:25" x14ac:dyDescent="0.25">
      <c r="A4218" s="75"/>
      <c r="C4218" s="81"/>
      <c r="D4218" s="81"/>
      <c r="I4218" s="81"/>
      <c r="K4218" s="82"/>
      <c r="L4218" s="123"/>
      <c r="M4218" s="3"/>
      <c r="N4218" s="3"/>
      <c r="O4218" s="3"/>
      <c r="P4218" s="125"/>
      <c r="Q4218" s="125"/>
      <c r="R4218" s="127"/>
      <c r="S4218" s="123"/>
      <c r="T4218" s="3"/>
      <c r="W4218" s="86"/>
      <c r="Y4218" s="75"/>
    </row>
    <row r="4219" spans="1:25" x14ac:dyDescent="0.25">
      <c r="A4219" s="75"/>
      <c r="C4219" s="81"/>
      <c r="D4219" s="81"/>
      <c r="I4219" s="81"/>
      <c r="K4219" s="82"/>
      <c r="L4219" s="123"/>
      <c r="M4219" s="3"/>
      <c r="N4219" s="3"/>
      <c r="O4219" s="3"/>
      <c r="P4219" s="125"/>
      <c r="Q4219" s="125"/>
      <c r="R4219" s="127"/>
      <c r="S4219" s="123"/>
      <c r="T4219" s="3"/>
      <c r="W4219" s="86"/>
      <c r="Y4219" s="75"/>
    </row>
    <row r="4220" spans="1:25" x14ac:dyDescent="0.25">
      <c r="A4220" s="75"/>
      <c r="C4220" s="81"/>
      <c r="D4220" s="81"/>
      <c r="I4220" s="81"/>
      <c r="K4220" s="82"/>
      <c r="L4220" s="123"/>
      <c r="M4220" s="3"/>
      <c r="N4220" s="3"/>
      <c r="O4220" s="3"/>
      <c r="P4220" s="125"/>
      <c r="Q4220" s="125"/>
      <c r="R4220" s="127"/>
      <c r="S4220" s="123"/>
      <c r="T4220" s="3"/>
      <c r="W4220" s="86"/>
      <c r="Y4220" s="75"/>
    </row>
    <row r="4221" spans="1:25" x14ac:dyDescent="0.25">
      <c r="A4221" s="75"/>
      <c r="C4221" s="81"/>
      <c r="D4221" s="81"/>
      <c r="I4221" s="81"/>
      <c r="K4221" s="82"/>
      <c r="L4221" s="123"/>
      <c r="M4221" s="3"/>
      <c r="N4221" s="3"/>
      <c r="O4221" s="3"/>
      <c r="P4221" s="125"/>
      <c r="Q4221" s="125"/>
      <c r="R4221" s="127"/>
      <c r="S4221" s="123"/>
      <c r="T4221" s="3"/>
      <c r="W4221" s="86"/>
      <c r="Y4221" s="75"/>
    </row>
    <row r="4222" spans="1:25" x14ac:dyDescent="0.25">
      <c r="A4222" s="75"/>
      <c r="C4222" s="81"/>
      <c r="D4222" s="81"/>
      <c r="I4222" s="81"/>
      <c r="K4222" s="82"/>
      <c r="L4222" s="123"/>
      <c r="M4222" s="3"/>
      <c r="N4222" s="3"/>
      <c r="O4222" s="3"/>
      <c r="P4222" s="125"/>
      <c r="Q4222" s="125"/>
      <c r="R4222" s="127"/>
      <c r="S4222" s="123"/>
      <c r="T4222" s="3"/>
      <c r="W4222" s="86"/>
      <c r="Y4222" s="75"/>
    </row>
    <row r="4223" spans="1:25" x14ac:dyDescent="0.25">
      <c r="A4223" s="75"/>
      <c r="C4223" s="81"/>
      <c r="D4223" s="81"/>
      <c r="I4223" s="81"/>
      <c r="K4223" s="82"/>
      <c r="L4223" s="123"/>
      <c r="M4223" s="3"/>
      <c r="N4223" s="3"/>
      <c r="O4223" s="3"/>
      <c r="P4223" s="125"/>
      <c r="Q4223" s="125"/>
      <c r="R4223" s="127"/>
      <c r="S4223" s="123"/>
      <c r="T4223" s="3"/>
      <c r="W4223" s="86"/>
      <c r="Y4223" s="75"/>
    </row>
    <row r="4224" spans="1:25" x14ac:dyDescent="0.25">
      <c r="A4224" s="75"/>
      <c r="C4224" s="81"/>
      <c r="D4224" s="81"/>
      <c r="I4224" s="81"/>
      <c r="K4224" s="82"/>
      <c r="L4224" s="123"/>
      <c r="M4224" s="3"/>
      <c r="N4224" s="3"/>
      <c r="O4224" s="3"/>
      <c r="P4224" s="125"/>
      <c r="Q4224" s="125"/>
      <c r="R4224" s="127"/>
      <c r="S4224" s="123"/>
      <c r="T4224" s="3"/>
      <c r="W4224" s="86"/>
      <c r="Y4224" s="75"/>
    </row>
    <row r="4225" spans="1:25" x14ac:dyDescent="0.25">
      <c r="A4225" s="75"/>
      <c r="C4225" s="81"/>
      <c r="D4225" s="81"/>
      <c r="I4225" s="81"/>
      <c r="K4225" s="82"/>
      <c r="L4225" s="123"/>
      <c r="M4225" s="3"/>
      <c r="N4225" s="3"/>
      <c r="O4225" s="3"/>
      <c r="P4225" s="125"/>
      <c r="Q4225" s="125"/>
      <c r="R4225" s="127"/>
      <c r="S4225" s="123"/>
      <c r="T4225" s="3"/>
      <c r="W4225" s="86"/>
      <c r="Y4225" s="75"/>
    </row>
    <row r="4226" spans="1:25" x14ac:dyDescent="0.25">
      <c r="A4226" s="75"/>
      <c r="C4226" s="81"/>
      <c r="D4226" s="81"/>
      <c r="I4226" s="81"/>
      <c r="K4226" s="82"/>
      <c r="L4226" s="123"/>
      <c r="M4226" s="3"/>
      <c r="N4226" s="3"/>
      <c r="O4226" s="3"/>
      <c r="P4226" s="125"/>
      <c r="Q4226" s="125"/>
      <c r="R4226" s="127"/>
      <c r="S4226" s="123"/>
      <c r="T4226" s="3"/>
      <c r="W4226" s="86"/>
      <c r="Y4226" s="75"/>
    </row>
    <row r="4227" spans="1:25" x14ac:dyDescent="0.25">
      <c r="A4227" s="75"/>
      <c r="C4227" s="81"/>
      <c r="D4227" s="81"/>
      <c r="I4227" s="81"/>
      <c r="K4227" s="82"/>
      <c r="L4227" s="123"/>
      <c r="M4227" s="3"/>
      <c r="N4227" s="3"/>
      <c r="O4227" s="3"/>
      <c r="P4227" s="125"/>
      <c r="Q4227" s="125"/>
      <c r="R4227" s="127"/>
      <c r="S4227" s="123"/>
      <c r="T4227" s="3"/>
      <c r="W4227" s="86"/>
      <c r="Y4227" s="75"/>
    </row>
    <row r="4228" spans="1:25" x14ac:dyDescent="0.25">
      <c r="A4228" s="75"/>
      <c r="C4228" s="81"/>
      <c r="D4228" s="81"/>
      <c r="I4228" s="81"/>
      <c r="K4228" s="82"/>
      <c r="L4228" s="123"/>
      <c r="M4228" s="3"/>
      <c r="N4228" s="3"/>
      <c r="O4228" s="3"/>
      <c r="P4228" s="125"/>
      <c r="Q4228" s="125"/>
      <c r="R4228" s="127"/>
      <c r="S4228" s="123"/>
      <c r="T4228" s="3"/>
      <c r="W4228" s="86"/>
      <c r="Y4228" s="75"/>
    </row>
    <row r="4229" spans="1:25" x14ac:dyDescent="0.25">
      <c r="A4229" s="75"/>
      <c r="C4229" s="81"/>
      <c r="D4229" s="81"/>
      <c r="I4229" s="81"/>
      <c r="K4229" s="82"/>
      <c r="L4229" s="123"/>
      <c r="M4229" s="3"/>
      <c r="N4229" s="3"/>
      <c r="O4229" s="3"/>
      <c r="P4229" s="125"/>
      <c r="Q4229" s="125"/>
      <c r="R4229" s="127"/>
      <c r="S4229" s="123"/>
      <c r="T4229" s="3"/>
      <c r="W4229" s="86"/>
      <c r="Y4229" s="75"/>
    </row>
    <row r="4230" spans="1:25" x14ac:dyDescent="0.25">
      <c r="A4230" s="75"/>
      <c r="C4230" s="81"/>
      <c r="D4230" s="81"/>
      <c r="I4230" s="81"/>
      <c r="K4230" s="82"/>
      <c r="L4230" s="123"/>
      <c r="M4230" s="3"/>
      <c r="N4230" s="3"/>
      <c r="O4230" s="3"/>
      <c r="P4230" s="125"/>
      <c r="Q4230" s="125"/>
      <c r="R4230" s="127"/>
      <c r="S4230" s="123"/>
      <c r="T4230" s="3"/>
      <c r="W4230" s="86"/>
      <c r="Y4230" s="75"/>
    </row>
    <row r="4231" spans="1:25" x14ac:dyDescent="0.25">
      <c r="A4231" s="75"/>
      <c r="C4231" s="81"/>
      <c r="D4231" s="81"/>
      <c r="I4231" s="81"/>
      <c r="K4231" s="82"/>
      <c r="L4231" s="123"/>
      <c r="M4231" s="3"/>
      <c r="N4231" s="3"/>
      <c r="O4231" s="3"/>
      <c r="P4231" s="125"/>
      <c r="Q4231" s="125"/>
      <c r="R4231" s="127"/>
      <c r="S4231" s="123"/>
      <c r="T4231" s="3"/>
      <c r="W4231" s="86"/>
      <c r="Y4231" s="75"/>
    </row>
    <row r="4232" spans="1:25" x14ac:dyDescent="0.25">
      <c r="A4232" s="75"/>
      <c r="C4232" s="81"/>
      <c r="D4232" s="81"/>
      <c r="I4232" s="81"/>
      <c r="K4232" s="82"/>
      <c r="L4232" s="123"/>
      <c r="M4232" s="3"/>
      <c r="N4232" s="3"/>
      <c r="O4232" s="3"/>
      <c r="P4232" s="125"/>
      <c r="Q4232" s="125"/>
      <c r="R4232" s="127"/>
      <c r="S4232" s="123"/>
      <c r="T4232" s="3"/>
      <c r="W4232" s="86"/>
      <c r="Y4232" s="75"/>
    </row>
    <row r="4233" spans="1:25" x14ac:dyDescent="0.25">
      <c r="A4233" s="75"/>
      <c r="C4233" s="81"/>
      <c r="D4233" s="81"/>
      <c r="I4233" s="81"/>
      <c r="K4233" s="82"/>
      <c r="L4233" s="123"/>
      <c r="M4233" s="3"/>
      <c r="N4233" s="3"/>
      <c r="O4233" s="3"/>
      <c r="P4233" s="125"/>
      <c r="Q4233" s="125"/>
      <c r="R4233" s="127"/>
      <c r="S4233" s="123"/>
      <c r="T4233" s="3"/>
      <c r="W4233" s="86"/>
      <c r="Y4233" s="75"/>
    </row>
    <row r="4234" spans="1:25" x14ac:dyDescent="0.25">
      <c r="A4234" s="75"/>
      <c r="C4234" s="81"/>
      <c r="D4234" s="81"/>
      <c r="I4234" s="81"/>
      <c r="K4234" s="82"/>
      <c r="L4234" s="123"/>
      <c r="M4234" s="3"/>
      <c r="N4234" s="3"/>
      <c r="O4234" s="3"/>
      <c r="P4234" s="125"/>
      <c r="Q4234" s="125"/>
      <c r="R4234" s="127"/>
      <c r="S4234" s="123"/>
      <c r="T4234" s="3"/>
      <c r="W4234" s="86"/>
      <c r="Y4234" s="75"/>
    </row>
    <row r="4235" spans="1:25" x14ac:dyDescent="0.25">
      <c r="A4235" s="75"/>
      <c r="C4235" s="81"/>
      <c r="D4235" s="81"/>
      <c r="I4235" s="81"/>
      <c r="K4235" s="82"/>
      <c r="L4235" s="123"/>
      <c r="M4235" s="3"/>
      <c r="N4235" s="3"/>
      <c r="O4235" s="3"/>
      <c r="P4235" s="125"/>
      <c r="Q4235" s="125"/>
      <c r="R4235" s="127"/>
      <c r="S4235" s="123"/>
      <c r="T4235" s="3"/>
      <c r="W4235" s="86"/>
      <c r="Y4235" s="75"/>
    </row>
    <row r="4236" spans="1:25" x14ac:dyDescent="0.25">
      <c r="A4236" s="75"/>
      <c r="C4236" s="81"/>
      <c r="D4236" s="81"/>
      <c r="I4236" s="81"/>
      <c r="K4236" s="82"/>
      <c r="L4236" s="123"/>
      <c r="M4236" s="3"/>
      <c r="N4236" s="3"/>
      <c r="O4236" s="3"/>
      <c r="P4236" s="125"/>
      <c r="Q4236" s="125"/>
      <c r="R4236" s="127"/>
      <c r="S4236" s="123"/>
      <c r="T4236" s="3"/>
      <c r="W4236" s="86"/>
      <c r="Y4236" s="75"/>
    </row>
    <row r="4237" spans="1:25" x14ac:dyDescent="0.25">
      <c r="A4237" s="75"/>
      <c r="C4237" s="81"/>
      <c r="D4237" s="81"/>
      <c r="I4237" s="81"/>
      <c r="K4237" s="82"/>
      <c r="L4237" s="123"/>
      <c r="M4237" s="3"/>
      <c r="N4237" s="3"/>
      <c r="O4237" s="3"/>
      <c r="P4237" s="125"/>
      <c r="Q4237" s="125"/>
      <c r="R4237" s="127"/>
      <c r="S4237" s="123"/>
      <c r="T4237" s="3"/>
      <c r="W4237" s="86"/>
      <c r="Y4237" s="75"/>
    </row>
    <row r="4238" spans="1:25" x14ac:dyDescent="0.25">
      <c r="A4238" s="75"/>
      <c r="C4238" s="81"/>
      <c r="D4238" s="81"/>
      <c r="I4238" s="81"/>
      <c r="K4238" s="82"/>
      <c r="L4238" s="123"/>
      <c r="M4238" s="3"/>
      <c r="N4238" s="3"/>
      <c r="O4238" s="3"/>
      <c r="P4238" s="125"/>
      <c r="Q4238" s="125"/>
      <c r="R4238" s="127"/>
      <c r="S4238" s="123"/>
      <c r="T4238" s="3"/>
      <c r="W4238" s="86"/>
      <c r="Y4238" s="75"/>
    </row>
    <row r="4239" spans="1:25" x14ac:dyDescent="0.25">
      <c r="A4239" s="75"/>
      <c r="C4239" s="81"/>
      <c r="D4239" s="81"/>
      <c r="I4239" s="81"/>
      <c r="K4239" s="82"/>
      <c r="L4239" s="123"/>
      <c r="M4239" s="3"/>
      <c r="N4239" s="3"/>
      <c r="O4239" s="3"/>
      <c r="P4239" s="125"/>
      <c r="Q4239" s="125"/>
      <c r="R4239" s="127"/>
      <c r="S4239" s="123"/>
      <c r="T4239" s="3"/>
      <c r="W4239" s="86"/>
      <c r="Y4239" s="75"/>
    </row>
    <row r="4240" spans="1:25" x14ac:dyDescent="0.25">
      <c r="A4240" s="75"/>
      <c r="C4240" s="81"/>
      <c r="D4240" s="81"/>
      <c r="I4240" s="81"/>
      <c r="K4240" s="82"/>
      <c r="L4240" s="123"/>
      <c r="M4240" s="3"/>
      <c r="N4240" s="3"/>
      <c r="O4240" s="3"/>
      <c r="P4240" s="125"/>
      <c r="Q4240" s="125"/>
      <c r="R4240" s="127"/>
      <c r="S4240" s="123"/>
      <c r="T4240" s="3"/>
      <c r="W4240" s="86"/>
      <c r="Y4240" s="75"/>
    </row>
    <row r="4241" spans="1:25" x14ac:dyDescent="0.25">
      <c r="A4241" s="75"/>
      <c r="C4241" s="81"/>
      <c r="D4241" s="81"/>
      <c r="I4241" s="81"/>
      <c r="K4241" s="82"/>
      <c r="L4241" s="123"/>
      <c r="M4241" s="3"/>
      <c r="N4241" s="3"/>
      <c r="O4241" s="3"/>
      <c r="P4241" s="125"/>
      <c r="Q4241" s="125"/>
      <c r="R4241" s="127"/>
      <c r="S4241" s="123"/>
      <c r="T4241" s="3"/>
      <c r="W4241" s="86"/>
      <c r="Y4241" s="75"/>
    </row>
    <row r="4242" spans="1:25" x14ac:dyDescent="0.25">
      <c r="A4242" s="75"/>
      <c r="C4242" s="81"/>
      <c r="D4242" s="81"/>
      <c r="I4242" s="81"/>
      <c r="K4242" s="82"/>
      <c r="L4242" s="123"/>
      <c r="M4242" s="3"/>
      <c r="N4242" s="3"/>
      <c r="O4242" s="3"/>
      <c r="P4242" s="125"/>
      <c r="Q4242" s="125"/>
      <c r="R4242" s="127"/>
      <c r="S4242" s="123"/>
      <c r="T4242" s="3"/>
      <c r="W4242" s="86"/>
      <c r="Y4242" s="75"/>
    </row>
    <row r="4243" spans="1:25" x14ac:dyDescent="0.25">
      <c r="A4243" s="75"/>
      <c r="C4243" s="81"/>
      <c r="D4243" s="81"/>
      <c r="I4243" s="81"/>
      <c r="K4243" s="82"/>
      <c r="L4243" s="123"/>
      <c r="M4243" s="3"/>
      <c r="N4243" s="3"/>
      <c r="O4243" s="3"/>
      <c r="P4243" s="125"/>
      <c r="Q4243" s="125"/>
      <c r="R4243" s="127"/>
      <c r="S4243" s="123"/>
      <c r="T4243" s="3"/>
      <c r="W4243" s="86"/>
      <c r="Y4243" s="75"/>
    </row>
    <row r="4244" spans="1:25" x14ac:dyDescent="0.25">
      <c r="A4244" s="75"/>
      <c r="C4244" s="81"/>
      <c r="D4244" s="81"/>
      <c r="I4244" s="81"/>
      <c r="K4244" s="82"/>
      <c r="L4244" s="123"/>
      <c r="M4244" s="3"/>
      <c r="N4244" s="3"/>
      <c r="O4244" s="3"/>
      <c r="P4244" s="125"/>
      <c r="Q4244" s="125"/>
      <c r="R4244" s="127"/>
      <c r="S4244" s="123"/>
      <c r="T4244" s="3"/>
      <c r="W4244" s="86"/>
      <c r="Y4244" s="75"/>
    </row>
    <row r="4245" spans="1:25" x14ac:dyDescent="0.25">
      <c r="A4245" s="75"/>
      <c r="C4245" s="81"/>
      <c r="D4245" s="81"/>
      <c r="I4245" s="81"/>
      <c r="K4245" s="82"/>
      <c r="L4245" s="123"/>
      <c r="M4245" s="3"/>
      <c r="N4245" s="3"/>
      <c r="O4245" s="3"/>
      <c r="P4245" s="125"/>
      <c r="Q4245" s="125"/>
      <c r="R4245" s="127"/>
      <c r="S4245" s="123"/>
      <c r="T4245" s="3"/>
      <c r="W4245" s="86"/>
      <c r="Y4245" s="75"/>
    </row>
    <row r="4246" spans="1:25" x14ac:dyDescent="0.25">
      <c r="A4246" s="75"/>
      <c r="C4246" s="81"/>
      <c r="D4246" s="81"/>
      <c r="I4246" s="81"/>
      <c r="K4246" s="82"/>
      <c r="L4246" s="123"/>
      <c r="M4246" s="3"/>
      <c r="N4246" s="3"/>
      <c r="O4246" s="3"/>
      <c r="P4246" s="125"/>
      <c r="Q4246" s="125"/>
      <c r="R4246" s="127"/>
      <c r="S4246" s="123"/>
      <c r="T4246" s="3"/>
      <c r="W4246" s="86"/>
      <c r="Y4246" s="75"/>
    </row>
    <row r="4247" spans="1:25" x14ac:dyDescent="0.25">
      <c r="A4247" s="75"/>
      <c r="C4247" s="81"/>
      <c r="D4247" s="81"/>
      <c r="I4247" s="81"/>
      <c r="K4247" s="82"/>
      <c r="L4247" s="123"/>
      <c r="M4247" s="3"/>
      <c r="N4247" s="3"/>
      <c r="O4247" s="3"/>
      <c r="P4247" s="125"/>
      <c r="Q4247" s="125"/>
      <c r="R4247" s="127"/>
      <c r="S4247" s="123"/>
      <c r="T4247" s="3"/>
      <c r="W4247" s="86"/>
      <c r="Y4247" s="75"/>
    </row>
    <row r="4248" spans="1:25" x14ac:dyDescent="0.25">
      <c r="A4248" s="75"/>
      <c r="C4248" s="81"/>
      <c r="D4248" s="81"/>
      <c r="I4248" s="81"/>
      <c r="K4248" s="82"/>
      <c r="L4248" s="123"/>
      <c r="M4248" s="3"/>
      <c r="N4248" s="3"/>
      <c r="O4248" s="3"/>
      <c r="P4248" s="125"/>
      <c r="Q4248" s="125"/>
      <c r="R4248" s="127"/>
      <c r="S4248" s="123"/>
      <c r="T4248" s="3"/>
      <c r="W4248" s="86"/>
      <c r="Y4248" s="75"/>
    </row>
    <row r="4249" spans="1:25" x14ac:dyDescent="0.25">
      <c r="A4249" s="75"/>
      <c r="C4249" s="81"/>
      <c r="D4249" s="81"/>
      <c r="I4249" s="81"/>
      <c r="K4249" s="82"/>
      <c r="L4249" s="123"/>
      <c r="M4249" s="3"/>
      <c r="N4249" s="3"/>
      <c r="O4249" s="3"/>
      <c r="P4249" s="125"/>
      <c r="Q4249" s="125"/>
      <c r="R4249" s="127"/>
      <c r="S4249" s="123"/>
      <c r="T4249" s="3"/>
      <c r="W4249" s="86"/>
      <c r="Y4249" s="75"/>
    </row>
    <row r="4250" spans="1:25" x14ac:dyDescent="0.25">
      <c r="A4250" s="75"/>
      <c r="C4250" s="81"/>
      <c r="D4250" s="81"/>
      <c r="I4250" s="81"/>
      <c r="K4250" s="82"/>
      <c r="L4250" s="123"/>
      <c r="M4250" s="3"/>
      <c r="N4250" s="3"/>
      <c r="O4250" s="3"/>
      <c r="P4250" s="125"/>
      <c r="Q4250" s="125"/>
      <c r="R4250" s="127"/>
      <c r="S4250" s="123"/>
      <c r="T4250" s="3"/>
      <c r="W4250" s="86"/>
      <c r="Y4250" s="75"/>
    </row>
    <row r="4251" spans="1:25" x14ac:dyDescent="0.25">
      <c r="A4251" s="75"/>
      <c r="C4251" s="81"/>
      <c r="D4251" s="81"/>
      <c r="I4251" s="81"/>
      <c r="K4251" s="82"/>
      <c r="L4251" s="123"/>
      <c r="M4251" s="3"/>
      <c r="N4251" s="3"/>
      <c r="O4251" s="3"/>
      <c r="P4251" s="125"/>
      <c r="Q4251" s="125"/>
      <c r="R4251" s="127"/>
      <c r="S4251" s="123"/>
      <c r="T4251" s="3"/>
      <c r="W4251" s="86"/>
      <c r="Y4251" s="75"/>
    </row>
    <row r="4252" spans="1:25" x14ac:dyDescent="0.25">
      <c r="A4252" s="75"/>
      <c r="C4252" s="81"/>
      <c r="D4252" s="81"/>
      <c r="I4252" s="81"/>
      <c r="K4252" s="82"/>
      <c r="L4252" s="123"/>
      <c r="M4252" s="3"/>
      <c r="N4252" s="3"/>
      <c r="O4252" s="3"/>
      <c r="P4252" s="125"/>
      <c r="Q4252" s="125"/>
      <c r="R4252" s="127"/>
      <c r="S4252" s="123"/>
      <c r="T4252" s="3"/>
      <c r="W4252" s="86"/>
      <c r="Y4252" s="75"/>
    </row>
    <row r="4253" spans="1:25" x14ac:dyDescent="0.25">
      <c r="A4253" s="75"/>
      <c r="C4253" s="81"/>
      <c r="D4253" s="81"/>
      <c r="I4253" s="81"/>
      <c r="K4253" s="82"/>
      <c r="L4253" s="123"/>
      <c r="M4253" s="3"/>
      <c r="N4253" s="3"/>
      <c r="O4253" s="3"/>
      <c r="P4253" s="125"/>
      <c r="Q4253" s="125"/>
      <c r="R4253" s="127"/>
      <c r="S4253" s="123"/>
      <c r="T4253" s="3"/>
      <c r="W4253" s="86"/>
      <c r="Y4253" s="75"/>
    </row>
    <row r="4254" spans="1:25" x14ac:dyDescent="0.25">
      <c r="A4254" s="75"/>
      <c r="C4254" s="81"/>
      <c r="D4254" s="81"/>
      <c r="I4254" s="81"/>
      <c r="K4254" s="82"/>
      <c r="L4254" s="123"/>
      <c r="M4254" s="3"/>
      <c r="N4254" s="3"/>
      <c r="O4254" s="3"/>
      <c r="P4254" s="125"/>
      <c r="Q4254" s="125"/>
      <c r="R4254" s="127"/>
      <c r="S4254" s="123"/>
      <c r="T4254" s="3"/>
      <c r="W4254" s="86"/>
      <c r="Y4254" s="75"/>
    </row>
    <row r="4255" spans="1:25" x14ac:dyDescent="0.25">
      <c r="A4255" s="75"/>
      <c r="C4255" s="81"/>
      <c r="D4255" s="81"/>
      <c r="I4255" s="81"/>
      <c r="K4255" s="82"/>
      <c r="L4255" s="123"/>
      <c r="M4255" s="3"/>
      <c r="N4255" s="3"/>
      <c r="O4255" s="3"/>
      <c r="P4255" s="125"/>
      <c r="Q4255" s="125"/>
      <c r="R4255" s="127"/>
      <c r="S4255" s="123"/>
      <c r="T4255" s="3"/>
      <c r="W4255" s="86"/>
      <c r="Y4255" s="75"/>
    </row>
    <row r="4256" spans="1:25" x14ac:dyDescent="0.25">
      <c r="A4256" s="75"/>
      <c r="C4256" s="81"/>
      <c r="D4256" s="81"/>
      <c r="I4256" s="81"/>
      <c r="K4256" s="82"/>
      <c r="L4256" s="123"/>
      <c r="M4256" s="3"/>
      <c r="N4256" s="3"/>
      <c r="O4256" s="3"/>
      <c r="P4256" s="125"/>
      <c r="Q4256" s="125"/>
      <c r="R4256" s="127"/>
      <c r="S4256" s="123"/>
      <c r="T4256" s="3"/>
      <c r="W4256" s="86"/>
      <c r="Y4256" s="75"/>
    </row>
    <row r="4257" spans="1:25" x14ac:dyDescent="0.25">
      <c r="A4257" s="75"/>
      <c r="C4257" s="81"/>
      <c r="D4257" s="81"/>
      <c r="I4257" s="81"/>
      <c r="K4257" s="82"/>
      <c r="L4257" s="123"/>
      <c r="M4257" s="3"/>
      <c r="N4257" s="3"/>
      <c r="O4257" s="3"/>
      <c r="P4257" s="125"/>
      <c r="Q4257" s="125"/>
      <c r="R4257" s="127"/>
      <c r="S4257" s="123"/>
      <c r="T4257" s="3"/>
      <c r="W4257" s="86"/>
      <c r="Y4257" s="75"/>
    </row>
    <row r="4258" spans="1:25" x14ac:dyDescent="0.25">
      <c r="A4258" s="75"/>
      <c r="C4258" s="81"/>
      <c r="D4258" s="81"/>
      <c r="I4258" s="81"/>
      <c r="K4258" s="82"/>
      <c r="L4258" s="123"/>
      <c r="M4258" s="3"/>
      <c r="N4258" s="3"/>
      <c r="O4258" s="3"/>
      <c r="P4258" s="125"/>
      <c r="Q4258" s="125"/>
      <c r="R4258" s="127"/>
      <c r="S4258" s="123"/>
      <c r="T4258" s="3"/>
      <c r="W4258" s="86"/>
      <c r="Y4258" s="75"/>
    </row>
    <row r="4259" spans="1:25" x14ac:dyDescent="0.25">
      <c r="A4259" s="75"/>
      <c r="C4259" s="81"/>
      <c r="D4259" s="81"/>
      <c r="I4259" s="81"/>
      <c r="K4259" s="82"/>
      <c r="L4259" s="123"/>
      <c r="M4259" s="3"/>
      <c r="N4259" s="3"/>
      <c r="O4259" s="3"/>
      <c r="P4259" s="125"/>
      <c r="Q4259" s="125"/>
      <c r="R4259" s="127"/>
      <c r="S4259" s="123"/>
      <c r="T4259" s="3"/>
      <c r="W4259" s="86"/>
      <c r="Y4259" s="75"/>
    </row>
    <row r="4260" spans="1:25" x14ac:dyDescent="0.25">
      <c r="A4260" s="75"/>
      <c r="C4260" s="81"/>
      <c r="D4260" s="81"/>
      <c r="I4260" s="81"/>
      <c r="K4260" s="82"/>
      <c r="L4260" s="123"/>
      <c r="M4260" s="3"/>
      <c r="N4260" s="3"/>
      <c r="O4260" s="3"/>
      <c r="P4260" s="125"/>
      <c r="Q4260" s="125"/>
      <c r="R4260" s="127"/>
      <c r="S4260" s="123"/>
      <c r="T4260" s="3"/>
      <c r="W4260" s="86"/>
      <c r="Y4260" s="75"/>
    </row>
    <row r="4261" spans="1:25" x14ac:dyDescent="0.25">
      <c r="A4261" s="75"/>
      <c r="C4261" s="81"/>
      <c r="D4261" s="81"/>
      <c r="I4261" s="81"/>
      <c r="K4261" s="82"/>
      <c r="L4261" s="123"/>
      <c r="M4261" s="3"/>
      <c r="N4261" s="3"/>
      <c r="O4261" s="3"/>
      <c r="P4261" s="125"/>
      <c r="Q4261" s="125"/>
      <c r="R4261" s="127"/>
      <c r="S4261" s="123"/>
      <c r="T4261" s="3"/>
      <c r="W4261" s="86"/>
      <c r="Y4261" s="75"/>
    </row>
    <row r="4262" spans="1:25" x14ac:dyDescent="0.25">
      <c r="A4262" s="75"/>
      <c r="C4262" s="81"/>
      <c r="D4262" s="81"/>
      <c r="I4262" s="81"/>
      <c r="K4262" s="82"/>
      <c r="L4262" s="123"/>
      <c r="M4262" s="3"/>
      <c r="N4262" s="3"/>
      <c r="O4262" s="3"/>
      <c r="P4262" s="125"/>
      <c r="Q4262" s="125"/>
      <c r="R4262" s="127"/>
      <c r="S4262" s="123"/>
      <c r="T4262" s="3"/>
      <c r="W4262" s="86"/>
      <c r="Y4262" s="75"/>
    </row>
    <row r="4263" spans="1:25" x14ac:dyDescent="0.25">
      <c r="A4263" s="75"/>
      <c r="C4263" s="81"/>
      <c r="D4263" s="81"/>
      <c r="I4263" s="81"/>
      <c r="K4263" s="82"/>
      <c r="L4263" s="123"/>
      <c r="M4263" s="3"/>
      <c r="N4263" s="3"/>
      <c r="O4263" s="3"/>
      <c r="P4263" s="125"/>
      <c r="Q4263" s="125"/>
      <c r="R4263" s="127"/>
      <c r="S4263" s="123"/>
      <c r="T4263" s="3"/>
      <c r="W4263" s="86"/>
      <c r="Y4263" s="75"/>
    </row>
    <row r="4264" spans="1:25" x14ac:dyDescent="0.25">
      <c r="A4264" s="75"/>
      <c r="C4264" s="81"/>
      <c r="D4264" s="81"/>
      <c r="I4264" s="81"/>
      <c r="K4264" s="82"/>
      <c r="L4264" s="123"/>
      <c r="M4264" s="3"/>
      <c r="N4264" s="3"/>
      <c r="O4264" s="3"/>
      <c r="P4264" s="125"/>
      <c r="Q4264" s="125"/>
      <c r="R4264" s="127"/>
      <c r="S4264" s="123"/>
      <c r="T4264" s="3"/>
      <c r="W4264" s="86"/>
      <c r="Y4264" s="75"/>
    </row>
    <row r="4265" spans="1:25" x14ac:dyDescent="0.25">
      <c r="A4265" s="75"/>
      <c r="C4265" s="81"/>
      <c r="D4265" s="81"/>
      <c r="I4265" s="81"/>
      <c r="K4265" s="82"/>
      <c r="L4265" s="123"/>
      <c r="M4265" s="3"/>
      <c r="N4265" s="3"/>
      <c r="O4265" s="3"/>
      <c r="P4265" s="125"/>
      <c r="Q4265" s="125"/>
      <c r="R4265" s="127"/>
      <c r="S4265" s="123"/>
      <c r="T4265" s="3"/>
      <c r="W4265" s="86"/>
      <c r="Y4265" s="75"/>
    </row>
    <row r="4266" spans="1:25" x14ac:dyDescent="0.25">
      <c r="A4266" s="75"/>
      <c r="C4266" s="81"/>
      <c r="D4266" s="81"/>
      <c r="I4266" s="81"/>
      <c r="K4266" s="82"/>
      <c r="L4266" s="123"/>
      <c r="M4266" s="3"/>
      <c r="N4266" s="3"/>
      <c r="O4266" s="3"/>
      <c r="P4266" s="125"/>
      <c r="Q4266" s="125"/>
      <c r="R4266" s="127"/>
      <c r="S4266" s="123"/>
      <c r="T4266" s="3"/>
      <c r="W4266" s="86"/>
      <c r="Y4266" s="75"/>
    </row>
    <row r="4267" spans="1:25" x14ac:dyDescent="0.25">
      <c r="A4267" s="75"/>
      <c r="C4267" s="81"/>
      <c r="D4267" s="81"/>
      <c r="I4267" s="81"/>
      <c r="K4267" s="82"/>
      <c r="L4267" s="123"/>
      <c r="M4267" s="3"/>
      <c r="N4267" s="3"/>
      <c r="O4267" s="3"/>
      <c r="P4267" s="125"/>
      <c r="Q4267" s="125"/>
      <c r="R4267" s="127"/>
      <c r="S4267" s="123"/>
      <c r="T4267" s="3"/>
      <c r="W4267" s="86"/>
      <c r="Y4267" s="75"/>
    </row>
    <row r="4268" spans="1:25" x14ac:dyDescent="0.25">
      <c r="A4268" s="75"/>
      <c r="C4268" s="81"/>
      <c r="D4268" s="81"/>
      <c r="I4268" s="81"/>
      <c r="K4268" s="82"/>
      <c r="L4268" s="123"/>
      <c r="M4268" s="3"/>
      <c r="N4268" s="3"/>
      <c r="O4268" s="3"/>
      <c r="P4268" s="125"/>
      <c r="Q4268" s="125"/>
      <c r="R4268" s="127"/>
      <c r="S4268" s="123"/>
      <c r="T4268" s="3"/>
      <c r="W4268" s="86"/>
      <c r="Y4268" s="75"/>
    </row>
    <row r="4269" spans="1:25" x14ac:dyDescent="0.25">
      <c r="A4269" s="75"/>
      <c r="C4269" s="81"/>
      <c r="D4269" s="81"/>
      <c r="I4269" s="81"/>
      <c r="K4269" s="82"/>
      <c r="L4269" s="123"/>
      <c r="M4269" s="3"/>
      <c r="N4269" s="3"/>
      <c r="O4269" s="3"/>
      <c r="P4269" s="125"/>
      <c r="Q4269" s="125"/>
      <c r="R4269" s="127"/>
      <c r="S4269" s="123"/>
      <c r="T4269" s="3"/>
      <c r="W4269" s="86"/>
      <c r="Y4269" s="75"/>
    </row>
    <row r="4270" spans="1:25" x14ac:dyDescent="0.25">
      <c r="A4270" s="75"/>
      <c r="C4270" s="81"/>
      <c r="D4270" s="81"/>
      <c r="I4270" s="81"/>
      <c r="K4270" s="82"/>
      <c r="L4270" s="123"/>
      <c r="M4270" s="3"/>
      <c r="N4270" s="3"/>
      <c r="O4270" s="3"/>
      <c r="P4270" s="125"/>
      <c r="Q4270" s="125"/>
      <c r="R4270" s="127"/>
      <c r="S4270" s="123"/>
      <c r="T4270" s="3"/>
      <c r="W4270" s="86"/>
      <c r="Y4270" s="75"/>
    </row>
    <row r="4271" spans="1:25" x14ac:dyDescent="0.25">
      <c r="A4271" s="75"/>
      <c r="C4271" s="81"/>
      <c r="D4271" s="81"/>
      <c r="I4271" s="81"/>
      <c r="K4271" s="82"/>
      <c r="L4271" s="123"/>
      <c r="M4271" s="3"/>
      <c r="N4271" s="3"/>
      <c r="O4271" s="3"/>
      <c r="P4271" s="125"/>
      <c r="Q4271" s="125"/>
      <c r="R4271" s="127"/>
      <c r="S4271" s="123"/>
      <c r="T4271" s="3"/>
      <c r="W4271" s="86"/>
      <c r="Y4271" s="75"/>
    </row>
    <row r="4272" spans="1:25" x14ac:dyDescent="0.25">
      <c r="A4272" s="75"/>
      <c r="C4272" s="81"/>
      <c r="D4272" s="81"/>
      <c r="I4272" s="81"/>
      <c r="K4272" s="82"/>
      <c r="L4272" s="123"/>
      <c r="M4272" s="3"/>
      <c r="N4272" s="3"/>
      <c r="O4272" s="3"/>
      <c r="P4272" s="125"/>
      <c r="Q4272" s="125"/>
      <c r="R4272" s="127"/>
      <c r="S4272" s="123"/>
      <c r="T4272" s="3"/>
      <c r="W4272" s="86"/>
      <c r="Y4272" s="75"/>
    </row>
    <row r="4273" spans="1:25" x14ac:dyDescent="0.25">
      <c r="A4273" s="75"/>
      <c r="C4273" s="81"/>
      <c r="D4273" s="81"/>
      <c r="I4273" s="81"/>
      <c r="K4273" s="82"/>
      <c r="L4273" s="123"/>
      <c r="M4273" s="3"/>
      <c r="N4273" s="3"/>
      <c r="O4273" s="3"/>
      <c r="P4273" s="125"/>
      <c r="Q4273" s="125"/>
      <c r="R4273" s="127"/>
      <c r="S4273" s="123"/>
      <c r="T4273" s="3"/>
      <c r="W4273" s="86"/>
      <c r="Y4273" s="75"/>
    </row>
    <row r="4274" spans="1:25" x14ac:dyDescent="0.25">
      <c r="A4274" s="75"/>
      <c r="C4274" s="81"/>
      <c r="D4274" s="81"/>
      <c r="I4274" s="81"/>
      <c r="K4274" s="82"/>
      <c r="L4274" s="123"/>
      <c r="M4274" s="3"/>
      <c r="N4274" s="3"/>
      <c r="O4274" s="3"/>
      <c r="P4274" s="125"/>
      <c r="Q4274" s="125"/>
      <c r="R4274" s="127"/>
      <c r="S4274" s="123"/>
      <c r="T4274" s="3"/>
      <c r="W4274" s="86"/>
      <c r="Y4274" s="75"/>
    </row>
    <row r="4275" spans="1:25" x14ac:dyDescent="0.25">
      <c r="A4275" s="75"/>
      <c r="C4275" s="81"/>
      <c r="D4275" s="81"/>
      <c r="I4275" s="81"/>
      <c r="K4275" s="82"/>
      <c r="L4275" s="123"/>
      <c r="M4275" s="3"/>
      <c r="N4275" s="3"/>
      <c r="O4275" s="3"/>
      <c r="P4275" s="125"/>
      <c r="Q4275" s="125"/>
      <c r="R4275" s="127"/>
      <c r="S4275" s="123"/>
      <c r="T4275" s="3"/>
      <c r="W4275" s="86"/>
      <c r="Y4275" s="75"/>
    </row>
    <row r="4276" spans="1:25" x14ac:dyDescent="0.25">
      <c r="A4276" s="75"/>
      <c r="C4276" s="81"/>
      <c r="D4276" s="81"/>
      <c r="I4276" s="81"/>
      <c r="K4276" s="82"/>
      <c r="L4276" s="123"/>
      <c r="M4276" s="3"/>
      <c r="N4276" s="3"/>
      <c r="O4276" s="3"/>
      <c r="P4276" s="125"/>
      <c r="Q4276" s="125"/>
      <c r="R4276" s="127"/>
      <c r="S4276" s="123"/>
      <c r="T4276" s="3"/>
      <c r="W4276" s="86"/>
      <c r="Y4276" s="75"/>
    </row>
    <row r="4277" spans="1:25" x14ac:dyDescent="0.25">
      <c r="A4277" s="75"/>
      <c r="C4277" s="81"/>
      <c r="D4277" s="81"/>
      <c r="I4277" s="81"/>
      <c r="K4277" s="82"/>
      <c r="L4277" s="123"/>
      <c r="M4277" s="3"/>
      <c r="N4277" s="3"/>
      <c r="O4277" s="3"/>
      <c r="P4277" s="125"/>
      <c r="Q4277" s="125"/>
      <c r="R4277" s="127"/>
      <c r="S4277" s="123"/>
      <c r="T4277" s="3"/>
      <c r="W4277" s="86"/>
      <c r="Y4277" s="75"/>
    </row>
    <row r="4278" spans="1:25" x14ac:dyDescent="0.25">
      <c r="A4278" s="75"/>
      <c r="C4278" s="81"/>
      <c r="D4278" s="81"/>
      <c r="I4278" s="81"/>
      <c r="K4278" s="82"/>
      <c r="L4278" s="123"/>
      <c r="M4278" s="3"/>
      <c r="N4278" s="3"/>
      <c r="O4278" s="3"/>
      <c r="P4278" s="125"/>
      <c r="Q4278" s="125"/>
      <c r="R4278" s="127"/>
      <c r="S4278" s="123"/>
      <c r="T4278" s="3"/>
      <c r="W4278" s="86"/>
      <c r="Y4278" s="75"/>
    </row>
    <row r="4279" spans="1:25" x14ac:dyDescent="0.25">
      <c r="A4279" s="75"/>
      <c r="C4279" s="81"/>
      <c r="D4279" s="81"/>
      <c r="I4279" s="81"/>
      <c r="K4279" s="82"/>
      <c r="L4279" s="123"/>
      <c r="M4279" s="3"/>
      <c r="N4279" s="3"/>
      <c r="O4279" s="3"/>
      <c r="P4279" s="125"/>
      <c r="Q4279" s="125"/>
      <c r="R4279" s="127"/>
      <c r="S4279" s="123"/>
      <c r="T4279" s="3"/>
      <c r="W4279" s="86"/>
      <c r="Y4279" s="75"/>
    </row>
    <row r="4280" spans="1:25" x14ac:dyDescent="0.25">
      <c r="A4280" s="75"/>
      <c r="C4280" s="81"/>
      <c r="D4280" s="81"/>
      <c r="I4280" s="81"/>
      <c r="K4280" s="82"/>
      <c r="L4280" s="123"/>
      <c r="M4280" s="3"/>
      <c r="N4280" s="3"/>
      <c r="O4280" s="3"/>
      <c r="P4280" s="125"/>
      <c r="Q4280" s="125"/>
      <c r="R4280" s="127"/>
      <c r="S4280" s="123"/>
      <c r="T4280" s="3"/>
      <c r="W4280" s="86"/>
      <c r="Y4280" s="75"/>
    </row>
    <row r="4281" spans="1:25" x14ac:dyDescent="0.25">
      <c r="A4281" s="75"/>
      <c r="C4281" s="81"/>
      <c r="D4281" s="81"/>
      <c r="I4281" s="81"/>
      <c r="K4281" s="82"/>
      <c r="L4281" s="123"/>
      <c r="M4281" s="3"/>
      <c r="N4281" s="3"/>
      <c r="O4281" s="3"/>
      <c r="P4281" s="125"/>
      <c r="Q4281" s="125"/>
      <c r="R4281" s="127"/>
      <c r="S4281" s="123"/>
      <c r="T4281" s="3"/>
      <c r="W4281" s="86"/>
      <c r="Y4281" s="75"/>
    </row>
    <row r="4282" spans="1:25" x14ac:dyDescent="0.25">
      <c r="A4282" s="75"/>
      <c r="C4282" s="81"/>
      <c r="D4282" s="81"/>
      <c r="I4282" s="81"/>
      <c r="K4282" s="82"/>
      <c r="L4282" s="123"/>
      <c r="M4282" s="3"/>
      <c r="N4282" s="3"/>
      <c r="O4282" s="3"/>
      <c r="P4282" s="125"/>
      <c r="Q4282" s="125"/>
      <c r="R4282" s="127"/>
      <c r="S4282" s="123"/>
      <c r="T4282" s="3"/>
      <c r="W4282" s="86"/>
      <c r="Y4282" s="75"/>
    </row>
    <row r="4283" spans="1:25" x14ac:dyDescent="0.25">
      <c r="A4283" s="75"/>
      <c r="C4283" s="81"/>
      <c r="D4283" s="81"/>
      <c r="I4283" s="81"/>
      <c r="K4283" s="82"/>
      <c r="L4283" s="123"/>
      <c r="M4283" s="3"/>
      <c r="N4283" s="3"/>
      <c r="O4283" s="3"/>
      <c r="P4283" s="125"/>
      <c r="Q4283" s="125"/>
      <c r="R4283" s="127"/>
      <c r="S4283" s="123"/>
      <c r="T4283" s="3"/>
      <c r="W4283" s="86"/>
      <c r="Y4283" s="75"/>
    </row>
    <row r="4284" spans="1:25" x14ac:dyDescent="0.25">
      <c r="A4284" s="75"/>
      <c r="C4284" s="81"/>
      <c r="D4284" s="81"/>
      <c r="I4284" s="81"/>
      <c r="K4284" s="82"/>
      <c r="L4284" s="123"/>
      <c r="M4284" s="3"/>
      <c r="N4284" s="3"/>
      <c r="O4284" s="3"/>
      <c r="P4284" s="125"/>
      <c r="Q4284" s="125"/>
      <c r="R4284" s="127"/>
      <c r="S4284" s="123"/>
      <c r="T4284" s="3"/>
      <c r="W4284" s="86"/>
      <c r="Y4284" s="75"/>
    </row>
    <row r="4285" spans="1:25" x14ac:dyDescent="0.25">
      <c r="A4285" s="75"/>
      <c r="C4285" s="81"/>
      <c r="D4285" s="81"/>
      <c r="I4285" s="81"/>
      <c r="K4285" s="82"/>
      <c r="L4285" s="123"/>
      <c r="M4285" s="3"/>
      <c r="N4285" s="3"/>
      <c r="O4285" s="3"/>
      <c r="P4285" s="125"/>
      <c r="Q4285" s="125"/>
      <c r="R4285" s="127"/>
      <c r="S4285" s="123"/>
      <c r="T4285" s="3"/>
      <c r="W4285" s="86"/>
      <c r="Y4285" s="75"/>
    </row>
    <row r="4286" spans="1:25" x14ac:dyDescent="0.25">
      <c r="A4286" s="75"/>
      <c r="C4286" s="81"/>
      <c r="D4286" s="81"/>
      <c r="I4286" s="81"/>
      <c r="K4286" s="82"/>
      <c r="L4286" s="123"/>
      <c r="M4286" s="3"/>
      <c r="N4286" s="3"/>
      <c r="O4286" s="3"/>
      <c r="P4286" s="125"/>
      <c r="Q4286" s="125"/>
      <c r="R4286" s="127"/>
      <c r="S4286" s="123"/>
      <c r="T4286" s="3"/>
      <c r="W4286" s="86"/>
      <c r="Y4286" s="75"/>
    </row>
    <row r="4287" spans="1:25" x14ac:dyDescent="0.25">
      <c r="A4287" s="75"/>
      <c r="C4287" s="81"/>
      <c r="D4287" s="81"/>
      <c r="I4287" s="81"/>
      <c r="K4287" s="82"/>
      <c r="L4287" s="123"/>
      <c r="M4287" s="3"/>
      <c r="N4287" s="3"/>
      <c r="O4287" s="3"/>
      <c r="P4287" s="125"/>
      <c r="Q4287" s="125"/>
      <c r="R4287" s="127"/>
      <c r="S4287" s="123"/>
      <c r="T4287" s="3"/>
      <c r="W4287" s="86"/>
      <c r="Y4287" s="75"/>
    </row>
    <row r="4288" spans="1:25" x14ac:dyDescent="0.25">
      <c r="A4288" s="75"/>
      <c r="C4288" s="81"/>
      <c r="D4288" s="81"/>
      <c r="I4288" s="81"/>
      <c r="K4288" s="82"/>
      <c r="L4288" s="123"/>
      <c r="M4288" s="3"/>
      <c r="N4288" s="3"/>
      <c r="O4288" s="3"/>
      <c r="P4288" s="125"/>
      <c r="Q4288" s="125"/>
      <c r="R4288" s="127"/>
      <c r="S4288" s="123"/>
      <c r="T4288" s="3"/>
      <c r="W4288" s="86"/>
      <c r="Y4288" s="75"/>
    </row>
    <row r="4289" spans="1:25" x14ac:dyDescent="0.25">
      <c r="A4289" s="75"/>
      <c r="C4289" s="81"/>
      <c r="D4289" s="81"/>
      <c r="I4289" s="81"/>
      <c r="K4289" s="82"/>
      <c r="L4289" s="123"/>
      <c r="M4289" s="3"/>
      <c r="N4289" s="3"/>
      <c r="O4289" s="3"/>
      <c r="P4289" s="125"/>
      <c r="Q4289" s="125"/>
      <c r="R4289" s="127"/>
      <c r="S4289" s="123"/>
      <c r="T4289" s="3"/>
      <c r="W4289" s="86"/>
      <c r="Y4289" s="75"/>
    </row>
    <row r="4290" spans="1:25" x14ac:dyDescent="0.25">
      <c r="A4290" s="75"/>
      <c r="C4290" s="81"/>
      <c r="D4290" s="81"/>
      <c r="I4290" s="81"/>
      <c r="K4290" s="82"/>
      <c r="L4290" s="123"/>
      <c r="M4290" s="3"/>
      <c r="N4290" s="3"/>
      <c r="O4290" s="3"/>
      <c r="P4290" s="125"/>
      <c r="Q4290" s="125"/>
      <c r="R4290" s="127"/>
      <c r="S4290" s="123"/>
      <c r="T4290" s="3"/>
      <c r="W4290" s="86"/>
      <c r="Y4290" s="75"/>
    </row>
    <row r="4291" spans="1:25" x14ac:dyDescent="0.25">
      <c r="A4291" s="75"/>
      <c r="C4291" s="81"/>
      <c r="D4291" s="81"/>
      <c r="I4291" s="81"/>
      <c r="K4291" s="82"/>
      <c r="L4291" s="123"/>
      <c r="M4291" s="3"/>
      <c r="N4291" s="3"/>
      <c r="O4291" s="3"/>
      <c r="P4291" s="125"/>
      <c r="Q4291" s="125"/>
      <c r="R4291" s="127"/>
      <c r="S4291" s="123"/>
      <c r="T4291" s="3"/>
      <c r="W4291" s="86"/>
      <c r="Y4291" s="75"/>
    </row>
    <row r="4292" spans="1:25" x14ac:dyDescent="0.25">
      <c r="A4292" s="75"/>
      <c r="C4292" s="81"/>
      <c r="D4292" s="81"/>
      <c r="I4292" s="81"/>
      <c r="K4292" s="82"/>
      <c r="L4292" s="123"/>
      <c r="M4292" s="3"/>
      <c r="N4292" s="3"/>
      <c r="O4292" s="3"/>
      <c r="P4292" s="125"/>
      <c r="Q4292" s="125"/>
      <c r="R4292" s="127"/>
      <c r="S4292" s="123"/>
      <c r="T4292" s="3"/>
      <c r="W4292" s="86"/>
      <c r="Y4292" s="75"/>
    </row>
    <row r="4293" spans="1:25" x14ac:dyDescent="0.25">
      <c r="A4293" s="75"/>
      <c r="C4293" s="81"/>
      <c r="D4293" s="81"/>
      <c r="I4293" s="81"/>
      <c r="K4293" s="82"/>
      <c r="L4293" s="123"/>
      <c r="M4293" s="3"/>
      <c r="N4293" s="3"/>
      <c r="O4293" s="3"/>
      <c r="P4293" s="125"/>
      <c r="Q4293" s="125"/>
      <c r="R4293" s="127"/>
      <c r="S4293" s="123"/>
      <c r="T4293" s="3"/>
      <c r="W4293" s="86"/>
      <c r="Y4293" s="75"/>
    </row>
    <row r="4294" spans="1:25" x14ac:dyDescent="0.25">
      <c r="A4294" s="75"/>
      <c r="C4294" s="81"/>
      <c r="D4294" s="81"/>
      <c r="I4294" s="81"/>
      <c r="K4294" s="82"/>
      <c r="L4294" s="123"/>
      <c r="M4294" s="3"/>
      <c r="N4294" s="3"/>
      <c r="O4294" s="3"/>
      <c r="P4294" s="125"/>
      <c r="Q4294" s="125"/>
      <c r="R4294" s="127"/>
      <c r="S4294" s="123"/>
      <c r="T4294" s="3"/>
      <c r="W4294" s="86"/>
      <c r="Y4294" s="75"/>
    </row>
    <row r="4295" spans="1:25" x14ac:dyDescent="0.25">
      <c r="A4295" s="75"/>
      <c r="C4295" s="81"/>
      <c r="D4295" s="81"/>
      <c r="I4295" s="81"/>
      <c r="K4295" s="82"/>
      <c r="L4295" s="123"/>
      <c r="M4295" s="3"/>
      <c r="N4295" s="3"/>
      <c r="O4295" s="3"/>
      <c r="P4295" s="125"/>
      <c r="Q4295" s="125"/>
      <c r="R4295" s="127"/>
      <c r="S4295" s="123"/>
      <c r="T4295" s="3"/>
      <c r="W4295" s="86"/>
      <c r="Y4295" s="75"/>
    </row>
    <row r="4296" spans="1:25" x14ac:dyDescent="0.25">
      <c r="A4296" s="75"/>
      <c r="C4296" s="81"/>
      <c r="D4296" s="81"/>
      <c r="I4296" s="81"/>
      <c r="K4296" s="82"/>
      <c r="L4296" s="123"/>
      <c r="M4296" s="3"/>
      <c r="N4296" s="3"/>
      <c r="O4296" s="3"/>
      <c r="P4296" s="125"/>
      <c r="Q4296" s="125"/>
      <c r="R4296" s="127"/>
      <c r="S4296" s="123"/>
      <c r="T4296" s="3"/>
      <c r="W4296" s="86"/>
      <c r="Y4296" s="75"/>
    </row>
    <row r="4297" spans="1:25" x14ac:dyDescent="0.25">
      <c r="A4297" s="75"/>
      <c r="C4297" s="81"/>
      <c r="D4297" s="81"/>
      <c r="I4297" s="81"/>
      <c r="K4297" s="82"/>
      <c r="L4297" s="123"/>
      <c r="M4297" s="3"/>
      <c r="N4297" s="3"/>
      <c r="O4297" s="3"/>
      <c r="P4297" s="125"/>
      <c r="Q4297" s="125"/>
      <c r="R4297" s="127"/>
      <c r="S4297" s="123"/>
      <c r="T4297" s="3"/>
      <c r="W4297" s="86"/>
      <c r="Y4297" s="75"/>
    </row>
    <row r="4298" spans="1:25" x14ac:dyDescent="0.25">
      <c r="A4298" s="75"/>
      <c r="C4298" s="81"/>
      <c r="D4298" s="81"/>
      <c r="I4298" s="81"/>
      <c r="K4298" s="82"/>
      <c r="L4298" s="123"/>
      <c r="M4298" s="3"/>
      <c r="N4298" s="3"/>
      <c r="O4298" s="3"/>
      <c r="P4298" s="125"/>
      <c r="Q4298" s="125"/>
      <c r="R4298" s="127"/>
      <c r="S4298" s="123"/>
      <c r="T4298" s="3"/>
      <c r="W4298" s="86"/>
      <c r="Y4298" s="75"/>
    </row>
    <row r="4299" spans="1:25" x14ac:dyDescent="0.25">
      <c r="A4299" s="75"/>
      <c r="C4299" s="81"/>
      <c r="D4299" s="81"/>
      <c r="I4299" s="81"/>
      <c r="K4299" s="82"/>
      <c r="L4299" s="123"/>
      <c r="M4299" s="3"/>
      <c r="N4299" s="3"/>
      <c r="O4299" s="3"/>
      <c r="P4299" s="125"/>
      <c r="Q4299" s="125"/>
      <c r="R4299" s="127"/>
      <c r="S4299" s="123"/>
      <c r="T4299" s="3"/>
      <c r="W4299" s="86"/>
      <c r="Y4299" s="75"/>
    </row>
    <row r="4300" spans="1:25" x14ac:dyDescent="0.25">
      <c r="A4300" s="75"/>
      <c r="C4300" s="81"/>
      <c r="D4300" s="81"/>
      <c r="I4300" s="81"/>
      <c r="K4300" s="82"/>
      <c r="L4300" s="123"/>
      <c r="M4300" s="3"/>
      <c r="N4300" s="3"/>
      <c r="O4300" s="3"/>
      <c r="P4300" s="125"/>
      <c r="Q4300" s="125"/>
      <c r="R4300" s="127"/>
      <c r="S4300" s="123"/>
      <c r="T4300" s="3"/>
      <c r="W4300" s="86"/>
      <c r="Y4300" s="75"/>
    </row>
    <row r="4301" spans="1:25" x14ac:dyDescent="0.25">
      <c r="A4301" s="75"/>
      <c r="C4301" s="81"/>
      <c r="D4301" s="81"/>
      <c r="I4301" s="81"/>
      <c r="K4301" s="82"/>
      <c r="L4301" s="123"/>
      <c r="M4301" s="3"/>
      <c r="N4301" s="3"/>
      <c r="O4301" s="3"/>
      <c r="P4301" s="125"/>
      <c r="Q4301" s="125"/>
      <c r="R4301" s="127"/>
      <c r="S4301" s="123"/>
      <c r="T4301" s="3"/>
      <c r="W4301" s="86"/>
      <c r="Y4301" s="75"/>
    </row>
    <row r="4302" spans="1:25" x14ac:dyDescent="0.25">
      <c r="A4302" s="75"/>
      <c r="C4302" s="81"/>
      <c r="D4302" s="81"/>
      <c r="I4302" s="81"/>
      <c r="K4302" s="82"/>
      <c r="L4302" s="123"/>
      <c r="M4302" s="3"/>
      <c r="N4302" s="3"/>
      <c r="O4302" s="3"/>
      <c r="P4302" s="125"/>
      <c r="Q4302" s="125"/>
      <c r="R4302" s="127"/>
      <c r="S4302" s="123"/>
      <c r="T4302" s="3"/>
      <c r="W4302" s="86"/>
      <c r="Y4302" s="75"/>
    </row>
    <row r="4303" spans="1:25" x14ac:dyDescent="0.25">
      <c r="A4303" s="75"/>
      <c r="C4303" s="81"/>
      <c r="D4303" s="81"/>
      <c r="I4303" s="81"/>
      <c r="K4303" s="82"/>
      <c r="L4303" s="123"/>
      <c r="M4303" s="3"/>
      <c r="N4303" s="3"/>
      <c r="O4303" s="3"/>
      <c r="P4303" s="125"/>
      <c r="Q4303" s="125"/>
      <c r="R4303" s="127"/>
      <c r="S4303" s="123"/>
      <c r="T4303" s="3"/>
      <c r="W4303" s="86"/>
      <c r="Y4303" s="75"/>
    </row>
    <row r="4304" spans="1:25" x14ac:dyDescent="0.25">
      <c r="A4304" s="75"/>
      <c r="C4304" s="81"/>
      <c r="D4304" s="81"/>
      <c r="I4304" s="81"/>
      <c r="K4304" s="82"/>
      <c r="L4304" s="123"/>
      <c r="M4304" s="3"/>
      <c r="N4304" s="3"/>
      <c r="O4304" s="3"/>
      <c r="P4304" s="125"/>
      <c r="Q4304" s="125"/>
      <c r="R4304" s="127"/>
      <c r="S4304" s="123"/>
      <c r="T4304" s="3"/>
      <c r="W4304" s="86"/>
      <c r="Y4304" s="75"/>
    </row>
    <row r="4305" spans="1:25" x14ac:dyDescent="0.25">
      <c r="A4305" s="75"/>
      <c r="C4305" s="81"/>
      <c r="D4305" s="81"/>
      <c r="I4305" s="81"/>
      <c r="K4305" s="82"/>
      <c r="L4305" s="123"/>
      <c r="M4305" s="3"/>
      <c r="N4305" s="3"/>
      <c r="O4305" s="3"/>
      <c r="P4305" s="125"/>
      <c r="Q4305" s="125"/>
      <c r="R4305" s="127"/>
      <c r="S4305" s="123"/>
      <c r="T4305" s="3"/>
      <c r="W4305" s="86"/>
      <c r="Y4305" s="75"/>
    </row>
    <row r="4306" spans="1:25" x14ac:dyDescent="0.25">
      <c r="A4306" s="75"/>
      <c r="C4306" s="81"/>
      <c r="D4306" s="81"/>
      <c r="I4306" s="81"/>
      <c r="K4306" s="82"/>
      <c r="L4306" s="123"/>
      <c r="M4306" s="3"/>
      <c r="N4306" s="3"/>
      <c r="O4306" s="3"/>
      <c r="P4306" s="125"/>
      <c r="Q4306" s="125"/>
      <c r="R4306" s="127"/>
      <c r="S4306" s="123"/>
      <c r="T4306" s="3"/>
      <c r="W4306" s="86"/>
      <c r="Y4306" s="75"/>
    </row>
    <row r="4307" spans="1:25" x14ac:dyDescent="0.25">
      <c r="A4307" s="75"/>
      <c r="C4307" s="81"/>
      <c r="D4307" s="81"/>
      <c r="I4307" s="81"/>
      <c r="K4307" s="82"/>
      <c r="L4307" s="123"/>
      <c r="M4307" s="3"/>
      <c r="N4307" s="3"/>
      <c r="O4307" s="3"/>
      <c r="P4307" s="125"/>
      <c r="Q4307" s="125"/>
      <c r="R4307" s="127"/>
      <c r="S4307" s="123"/>
      <c r="T4307" s="3"/>
      <c r="W4307" s="86"/>
      <c r="Y4307" s="75"/>
    </row>
    <row r="4308" spans="1:25" x14ac:dyDescent="0.25">
      <c r="A4308" s="75"/>
      <c r="C4308" s="81"/>
      <c r="D4308" s="81"/>
      <c r="I4308" s="81"/>
      <c r="K4308" s="82"/>
      <c r="L4308" s="123"/>
      <c r="M4308" s="3"/>
      <c r="N4308" s="3"/>
      <c r="O4308" s="3"/>
      <c r="P4308" s="125"/>
      <c r="Q4308" s="125"/>
      <c r="R4308" s="127"/>
      <c r="S4308" s="123"/>
      <c r="T4308" s="3"/>
      <c r="W4308" s="86"/>
      <c r="Y4308" s="75"/>
    </row>
    <row r="4309" spans="1:25" x14ac:dyDescent="0.25">
      <c r="A4309" s="75"/>
      <c r="C4309" s="81"/>
      <c r="D4309" s="81"/>
      <c r="I4309" s="81"/>
      <c r="K4309" s="82"/>
      <c r="L4309" s="123"/>
      <c r="M4309" s="3"/>
      <c r="N4309" s="3"/>
      <c r="O4309" s="3"/>
      <c r="P4309" s="125"/>
      <c r="Q4309" s="125"/>
      <c r="R4309" s="127"/>
      <c r="S4309" s="123"/>
      <c r="T4309" s="3"/>
      <c r="W4309" s="86"/>
      <c r="Y4309" s="75"/>
    </row>
    <row r="4310" spans="1:25" x14ac:dyDescent="0.25">
      <c r="A4310" s="75"/>
      <c r="C4310" s="81"/>
      <c r="D4310" s="81"/>
      <c r="I4310" s="81"/>
      <c r="K4310" s="82"/>
      <c r="L4310" s="123"/>
      <c r="M4310" s="3"/>
      <c r="N4310" s="3"/>
      <c r="O4310" s="3"/>
      <c r="P4310" s="125"/>
      <c r="Q4310" s="125"/>
      <c r="R4310" s="127"/>
      <c r="S4310" s="123"/>
      <c r="T4310" s="3"/>
      <c r="W4310" s="86"/>
      <c r="Y4310" s="75"/>
    </row>
    <row r="4311" spans="1:25" x14ac:dyDescent="0.25">
      <c r="A4311" s="75"/>
      <c r="C4311" s="81"/>
      <c r="D4311" s="81"/>
      <c r="I4311" s="81"/>
      <c r="K4311" s="82"/>
      <c r="L4311" s="123"/>
      <c r="M4311" s="3"/>
      <c r="N4311" s="3"/>
      <c r="O4311" s="3"/>
      <c r="P4311" s="125"/>
      <c r="Q4311" s="125"/>
      <c r="R4311" s="127"/>
      <c r="S4311" s="123"/>
      <c r="T4311" s="3"/>
      <c r="W4311" s="86"/>
      <c r="Y4311" s="75"/>
    </row>
    <row r="4312" spans="1:25" x14ac:dyDescent="0.25">
      <c r="A4312" s="75"/>
      <c r="C4312" s="81"/>
      <c r="D4312" s="81"/>
      <c r="I4312" s="81"/>
      <c r="K4312" s="82"/>
      <c r="L4312" s="123"/>
      <c r="M4312" s="3"/>
      <c r="N4312" s="3"/>
      <c r="O4312" s="3"/>
      <c r="P4312" s="125"/>
      <c r="Q4312" s="125"/>
      <c r="R4312" s="127"/>
      <c r="S4312" s="123"/>
      <c r="T4312" s="3"/>
      <c r="W4312" s="86"/>
      <c r="Y4312" s="75"/>
    </row>
    <row r="4313" spans="1:25" x14ac:dyDescent="0.25">
      <c r="A4313" s="75"/>
      <c r="C4313" s="81"/>
      <c r="D4313" s="81"/>
      <c r="I4313" s="81"/>
      <c r="K4313" s="82"/>
      <c r="L4313" s="123"/>
      <c r="M4313" s="3"/>
      <c r="N4313" s="3"/>
      <c r="O4313" s="3"/>
      <c r="P4313" s="125"/>
      <c r="Q4313" s="125"/>
      <c r="R4313" s="127"/>
      <c r="S4313" s="123"/>
      <c r="T4313" s="3"/>
      <c r="W4313" s="86"/>
      <c r="Y4313" s="75"/>
    </row>
    <row r="4314" spans="1:25" x14ac:dyDescent="0.25">
      <c r="A4314" s="75"/>
      <c r="C4314" s="81"/>
      <c r="D4314" s="81"/>
      <c r="I4314" s="81"/>
      <c r="K4314" s="82"/>
      <c r="L4314" s="123"/>
      <c r="M4314" s="3"/>
      <c r="N4314" s="3"/>
      <c r="O4314" s="3"/>
      <c r="P4314" s="125"/>
      <c r="Q4314" s="125"/>
      <c r="R4314" s="127"/>
      <c r="S4314" s="123"/>
      <c r="T4314" s="3"/>
      <c r="W4314" s="86"/>
      <c r="Y4314" s="75"/>
    </row>
    <row r="4315" spans="1:25" x14ac:dyDescent="0.25">
      <c r="A4315" s="75"/>
      <c r="C4315" s="81"/>
      <c r="D4315" s="81"/>
      <c r="I4315" s="81"/>
      <c r="K4315" s="82"/>
      <c r="L4315" s="123"/>
      <c r="M4315" s="3"/>
      <c r="N4315" s="3"/>
      <c r="O4315" s="3"/>
      <c r="P4315" s="125"/>
      <c r="Q4315" s="125"/>
      <c r="R4315" s="127"/>
      <c r="S4315" s="123"/>
      <c r="T4315" s="3"/>
      <c r="W4315" s="86"/>
      <c r="Y4315" s="75"/>
    </row>
    <row r="4316" spans="1:25" x14ac:dyDescent="0.25">
      <c r="A4316" s="75"/>
      <c r="C4316" s="81"/>
      <c r="D4316" s="81"/>
      <c r="I4316" s="81"/>
      <c r="K4316" s="82"/>
      <c r="L4316" s="123"/>
      <c r="M4316" s="3"/>
      <c r="N4316" s="3"/>
      <c r="O4316" s="3"/>
      <c r="P4316" s="125"/>
      <c r="Q4316" s="125"/>
      <c r="R4316" s="127"/>
      <c r="S4316" s="123"/>
      <c r="T4316" s="3"/>
      <c r="W4316" s="86"/>
      <c r="Y4316" s="75"/>
    </row>
    <row r="4317" spans="1:25" x14ac:dyDescent="0.25">
      <c r="A4317" s="75"/>
      <c r="C4317" s="81"/>
      <c r="D4317" s="81"/>
      <c r="I4317" s="81"/>
      <c r="K4317" s="82"/>
      <c r="L4317" s="123"/>
      <c r="M4317" s="3"/>
      <c r="N4317" s="3"/>
      <c r="O4317" s="3"/>
      <c r="P4317" s="125"/>
      <c r="Q4317" s="125"/>
      <c r="R4317" s="127"/>
      <c r="S4317" s="123"/>
      <c r="T4317" s="3"/>
      <c r="W4317" s="86"/>
      <c r="Y4317" s="75"/>
    </row>
    <row r="4318" spans="1:25" x14ac:dyDescent="0.25">
      <c r="A4318" s="75"/>
      <c r="C4318" s="81"/>
      <c r="D4318" s="81"/>
      <c r="I4318" s="81"/>
      <c r="K4318" s="82"/>
      <c r="L4318" s="123"/>
      <c r="M4318" s="3"/>
      <c r="N4318" s="3"/>
      <c r="O4318" s="3"/>
      <c r="P4318" s="125"/>
      <c r="Q4318" s="125"/>
      <c r="R4318" s="127"/>
      <c r="S4318" s="123"/>
      <c r="T4318" s="3"/>
      <c r="W4318" s="86"/>
      <c r="Y4318" s="75"/>
    </row>
    <row r="4319" spans="1:25" x14ac:dyDescent="0.25">
      <c r="A4319" s="75"/>
      <c r="C4319" s="81"/>
      <c r="D4319" s="81"/>
      <c r="I4319" s="81"/>
      <c r="K4319" s="82"/>
      <c r="L4319" s="123"/>
      <c r="M4319" s="3"/>
      <c r="N4319" s="3"/>
      <c r="O4319" s="3"/>
      <c r="P4319" s="125"/>
      <c r="Q4319" s="125"/>
      <c r="R4319" s="127"/>
      <c r="S4319" s="123"/>
      <c r="T4319" s="3"/>
      <c r="W4319" s="86"/>
      <c r="Y4319" s="75"/>
    </row>
    <row r="4320" spans="1:25" x14ac:dyDescent="0.25">
      <c r="A4320" s="75"/>
      <c r="C4320" s="81"/>
      <c r="D4320" s="81"/>
      <c r="I4320" s="81"/>
      <c r="K4320" s="82"/>
      <c r="L4320" s="123"/>
      <c r="M4320" s="3"/>
      <c r="N4320" s="3"/>
      <c r="O4320" s="3"/>
      <c r="P4320" s="125"/>
      <c r="Q4320" s="125"/>
      <c r="R4320" s="127"/>
      <c r="S4320" s="123"/>
      <c r="T4320" s="3"/>
      <c r="W4320" s="86"/>
      <c r="Y4320" s="75"/>
    </row>
    <row r="4321" spans="1:25" x14ac:dyDescent="0.25">
      <c r="A4321" s="75"/>
      <c r="C4321" s="81"/>
      <c r="D4321" s="81"/>
      <c r="I4321" s="81"/>
      <c r="K4321" s="82"/>
      <c r="L4321" s="123"/>
      <c r="M4321" s="3"/>
      <c r="N4321" s="3"/>
      <c r="O4321" s="3"/>
      <c r="P4321" s="125"/>
      <c r="Q4321" s="125"/>
      <c r="R4321" s="127"/>
      <c r="S4321" s="123"/>
      <c r="T4321" s="3"/>
      <c r="W4321" s="86"/>
      <c r="Y4321" s="75"/>
    </row>
    <row r="4322" spans="1:25" x14ac:dyDescent="0.25">
      <c r="A4322" s="75"/>
      <c r="C4322" s="81"/>
      <c r="D4322" s="81"/>
      <c r="I4322" s="81"/>
      <c r="K4322" s="82"/>
      <c r="L4322" s="123"/>
      <c r="M4322" s="3"/>
      <c r="N4322" s="3"/>
      <c r="O4322" s="3"/>
      <c r="P4322" s="125"/>
      <c r="Q4322" s="125"/>
      <c r="R4322" s="127"/>
      <c r="S4322" s="123"/>
      <c r="T4322" s="3"/>
      <c r="W4322" s="86"/>
      <c r="Y4322" s="75"/>
    </row>
    <row r="4323" spans="1:25" x14ac:dyDescent="0.25">
      <c r="A4323" s="75"/>
      <c r="C4323" s="81"/>
      <c r="D4323" s="81"/>
      <c r="I4323" s="81"/>
      <c r="K4323" s="82"/>
      <c r="L4323" s="123"/>
      <c r="M4323" s="3"/>
      <c r="N4323" s="3"/>
      <c r="O4323" s="3"/>
      <c r="P4323" s="125"/>
      <c r="Q4323" s="125"/>
      <c r="R4323" s="127"/>
      <c r="S4323" s="123"/>
      <c r="T4323" s="3"/>
      <c r="W4323" s="86"/>
      <c r="Y4323" s="75"/>
    </row>
    <row r="4324" spans="1:25" x14ac:dyDescent="0.25">
      <c r="A4324" s="75"/>
      <c r="C4324" s="81"/>
      <c r="D4324" s="81"/>
      <c r="I4324" s="81"/>
      <c r="K4324" s="82"/>
      <c r="L4324" s="123"/>
      <c r="M4324" s="3"/>
      <c r="N4324" s="3"/>
      <c r="O4324" s="3"/>
      <c r="P4324" s="125"/>
      <c r="Q4324" s="125"/>
      <c r="R4324" s="127"/>
      <c r="S4324" s="123"/>
      <c r="T4324" s="3"/>
      <c r="W4324" s="86"/>
      <c r="Y4324" s="75"/>
    </row>
    <row r="4325" spans="1:25" x14ac:dyDescent="0.25">
      <c r="A4325" s="75"/>
      <c r="C4325" s="81"/>
      <c r="D4325" s="81"/>
      <c r="I4325" s="81"/>
      <c r="K4325" s="82"/>
      <c r="L4325" s="123"/>
      <c r="M4325" s="3"/>
      <c r="N4325" s="3"/>
      <c r="O4325" s="3"/>
      <c r="P4325" s="125"/>
      <c r="Q4325" s="125"/>
      <c r="R4325" s="127"/>
      <c r="S4325" s="123"/>
      <c r="T4325" s="3"/>
      <c r="W4325" s="86"/>
      <c r="Y4325" s="75"/>
    </row>
    <row r="4326" spans="1:25" x14ac:dyDescent="0.25">
      <c r="A4326" s="75"/>
      <c r="C4326" s="81"/>
      <c r="D4326" s="81"/>
      <c r="I4326" s="81"/>
      <c r="K4326" s="82"/>
      <c r="L4326" s="123"/>
      <c r="M4326" s="3"/>
      <c r="N4326" s="3"/>
      <c r="O4326" s="3"/>
      <c r="P4326" s="125"/>
      <c r="Q4326" s="125"/>
      <c r="R4326" s="127"/>
      <c r="S4326" s="123"/>
      <c r="T4326" s="3"/>
      <c r="W4326" s="86"/>
      <c r="Y4326" s="75"/>
    </row>
    <row r="4327" spans="1:25" x14ac:dyDescent="0.25">
      <c r="A4327" s="75"/>
      <c r="C4327" s="81"/>
      <c r="D4327" s="81"/>
      <c r="I4327" s="81"/>
      <c r="K4327" s="82"/>
      <c r="L4327" s="123"/>
      <c r="M4327" s="3"/>
      <c r="N4327" s="3"/>
      <c r="O4327" s="3"/>
      <c r="P4327" s="125"/>
      <c r="Q4327" s="125"/>
      <c r="R4327" s="127"/>
      <c r="S4327" s="123"/>
      <c r="T4327" s="3"/>
      <c r="W4327" s="86"/>
      <c r="Y4327" s="75"/>
    </row>
    <row r="4328" spans="1:25" x14ac:dyDescent="0.25">
      <c r="A4328" s="75"/>
      <c r="C4328" s="81"/>
      <c r="D4328" s="81"/>
      <c r="I4328" s="81"/>
      <c r="K4328" s="82"/>
      <c r="L4328" s="123"/>
      <c r="M4328" s="3"/>
      <c r="N4328" s="3"/>
      <c r="O4328" s="3"/>
      <c r="P4328" s="125"/>
      <c r="Q4328" s="125"/>
      <c r="R4328" s="127"/>
      <c r="S4328" s="123"/>
      <c r="T4328" s="3"/>
      <c r="W4328" s="86"/>
      <c r="Y4328" s="75"/>
    </row>
    <row r="4329" spans="1:25" x14ac:dyDescent="0.25">
      <c r="A4329" s="75"/>
      <c r="C4329" s="81"/>
      <c r="D4329" s="81"/>
      <c r="I4329" s="81"/>
      <c r="K4329" s="82"/>
      <c r="L4329" s="123"/>
      <c r="M4329" s="3"/>
      <c r="N4329" s="3"/>
      <c r="O4329" s="3"/>
      <c r="P4329" s="125"/>
      <c r="Q4329" s="125"/>
      <c r="R4329" s="127"/>
      <c r="S4329" s="123"/>
      <c r="T4329" s="3"/>
      <c r="W4329" s="86"/>
      <c r="Y4329" s="75"/>
    </row>
    <row r="4330" spans="1:25" x14ac:dyDescent="0.25">
      <c r="A4330" s="75"/>
      <c r="C4330" s="81"/>
      <c r="D4330" s="81"/>
      <c r="I4330" s="81"/>
      <c r="K4330" s="82"/>
      <c r="L4330" s="123"/>
      <c r="M4330" s="3"/>
      <c r="N4330" s="3"/>
      <c r="O4330" s="3"/>
      <c r="P4330" s="125"/>
      <c r="Q4330" s="125"/>
      <c r="R4330" s="127"/>
      <c r="S4330" s="123"/>
      <c r="T4330" s="3"/>
      <c r="W4330" s="86"/>
      <c r="Y4330" s="75"/>
    </row>
    <row r="4331" spans="1:25" x14ac:dyDescent="0.25">
      <c r="A4331" s="75"/>
      <c r="C4331" s="81"/>
      <c r="D4331" s="81"/>
      <c r="I4331" s="81"/>
      <c r="K4331" s="82"/>
      <c r="L4331" s="123"/>
      <c r="M4331" s="3"/>
      <c r="N4331" s="3"/>
      <c r="O4331" s="3"/>
      <c r="P4331" s="125"/>
      <c r="Q4331" s="125"/>
      <c r="R4331" s="127"/>
      <c r="S4331" s="123"/>
      <c r="T4331" s="3"/>
      <c r="W4331" s="86"/>
      <c r="Y4331" s="75"/>
    </row>
    <row r="4332" spans="1:25" x14ac:dyDescent="0.25">
      <c r="A4332" s="75"/>
      <c r="C4332" s="81"/>
      <c r="D4332" s="81"/>
      <c r="I4332" s="81"/>
      <c r="K4332" s="82"/>
      <c r="L4332" s="123"/>
      <c r="M4332" s="3"/>
      <c r="N4332" s="3"/>
      <c r="O4332" s="3"/>
      <c r="P4332" s="125"/>
      <c r="Q4332" s="125"/>
      <c r="R4332" s="127"/>
      <c r="S4332" s="123"/>
      <c r="T4332" s="3"/>
      <c r="W4332" s="86"/>
      <c r="Y4332" s="75"/>
    </row>
    <row r="4333" spans="1:25" x14ac:dyDescent="0.25">
      <c r="A4333" s="75"/>
      <c r="C4333" s="81"/>
      <c r="D4333" s="81"/>
      <c r="I4333" s="81"/>
      <c r="K4333" s="82"/>
      <c r="L4333" s="123"/>
      <c r="M4333" s="3"/>
      <c r="N4333" s="3"/>
      <c r="O4333" s="3"/>
      <c r="P4333" s="125"/>
      <c r="Q4333" s="125"/>
      <c r="R4333" s="127"/>
      <c r="S4333" s="123"/>
      <c r="T4333" s="3"/>
      <c r="W4333" s="86"/>
      <c r="Y4333" s="75"/>
    </row>
    <row r="4334" spans="1:25" x14ac:dyDescent="0.25">
      <c r="A4334" s="75"/>
      <c r="C4334" s="81"/>
      <c r="D4334" s="81"/>
      <c r="I4334" s="81"/>
      <c r="K4334" s="82"/>
      <c r="L4334" s="123"/>
      <c r="M4334" s="3"/>
      <c r="N4334" s="3"/>
      <c r="O4334" s="3"/>
      <c r="P4334" s="125"/>
      <c r="Q4334" s="125"/>
      <c r="R4334" s="127"/>
      <c r="S4334" s="123"/>
      <c r="T4334" s="3"/>
      <c r="W4334" s="86"/>
      <c r="Y4334" s="75"/>
    </row>
    <row r="4335" spans="1:25" x14ac:dyDescent="0.25">
      <c r="A4335" s="75"/>
      <c r="C4335" s="81"/>
      <c r="D4335" s="81"/>
      <c r="I4335" s="81"/>
      <c r="K4335" s="82"/>
      <c r="L4335" s="123"/>
      <c r="M4335" s="3"/>
      <c r="N4335" s="3"/>
      <c r="O4335" s="3"/>
      <c r="P4335" s="125"/>
      <c r="Q4335" s="125"/>
      <c r="R4335" s="127"/>
      <c r="S4335" s="123"/>
      <c r="T4335" s="3"/>
      <c r="W4335" s="86"/>
      <c r="Y4335" s="75"/>
    </row>
    <row r="4336" spans="1:25" x14ac:dyDescent="0.25">
      <c r="A4336" s="75"/>
      <c r="C4336" s="81"/>
      <c r="D4336" s="81"/>
      <c r="I4336" s="81"/>
      <c r="K4336" s="82"/>
      <c r="L4336" s="123"/>
      <c r="M4336" s="3"/>
      <c r="N4336" s="3"/>
      <c r="O4336" s="3"/>
      <c r="P4336" s="125"/>
      <c r="Q4336" s="125"/>
      <c r="R4336" s="127"/>
      <c r="S4336" s="123"/>
      <c r="T4336" s="3"/>
      <c r="W4336" s="86"/>
      <c r="Y4336" s="75"/>
    </row>
    <row r="4337" spans="1:25" x14ac:dyDescent="0.25">
      <c r="A4337" s="75"/>
      <c r="C4337" s="81"/>
      <c r="D4337" s="81"/>
      <c r="I4337" s="81"/>
      <c r="K4337" s="82"/>
      <c r="L4337" s="123"/>
      <c r="M4337" s="3"/>
      <c r="N4337" s="3"/>
      <c r="O4337" s="3"/>
      <c r="P4337" s="125"/>
      <c r="Q4337" s="125"/>
      <c r="R4337" s="127"/>
      <c r="S4337" s="123"/>
      <c r="T4337" s="3"/>
      <c r="W4337" s="86"/>
      <c r="Y4337" s="75"/>
    </row>
    <row r="4338" spans="1:25" x14ac:dyDescent="0.25">
      <c r="A4338" s="75"/>
      <c r="C4338" s="81"/>
      <c r="D4338" s="81"/>
      <c r="I4338" s="81"/>
      <c r="K4338" s="82"/>
      <c r="L4338" s="123"/>
      <c r="M4338" s="3"/>
      <c r="N4338" s="3"/>
      <c r="O4338" s="3"/>
      <c r="P4338" s="125"/>
      <c r="Q4338" s="125"/>
      <c r="R4338" s="127"/>
      <c r="S4338" s="123"/>
      <c r="T4338" s="3"/>
      <c r="W4338" s="86"/>
      <c r="Y4338" s="75"/>
    </row>
    <row r="4339" spans="1:25" x14ac:dyDescent="0.25">
      <c r="A4339" s="75"/>
      <c r="C4339" s="81"/>
      <c r="D4339" s="81"/>
      <c r="I4339" s="81"/>
      <c r="K4339" s="82"/>
      <c r="L4339" s="123"/>
      <c r="M4339" s="3"/>
      <c r="N4339" s="3"/>
      <c r="O4339" s="3"/>
      <c r="P4339" s="125"/>
      <c r="Q4339" s="125"/>
      <c r="R4339" s="127"/>
      <c r="S4339" s="123"/>
      <c r="T4339" s="3"/>
      <c r="W4339" s="86"/>
      <c r="Y4339" s="75"/>
    </row>
    <row r="4340" spans="1:25" x14ac:dyDescent="0.25">
      <c r="A4340" s="75"/>
      <c r="C4340" s="81"/>
      <c r="D4340" s="81"/>
      <c r="I4340" s="81"/>
      <c r="K4340" s="82"/>
      <c r="L4340" s="123"/>
      <c r="M4340" s="3"/>
      <c r="N4340" s="3"/>
      <c r="O4340" s="3"/>
      <c r="P4340" s="125"/>
      <c r="Q4340" s="125"/>
      <c r="R4340" s="127"/>
      <c r="S4340" s="123"/>
      <c r="T4340" s="3"/>
      <c r="W4340" s="86"/>
      <c r="Y4340" s="75"/>
    </row>
    <row r="4341" spans="1:25" x14ac:dyDescent="0.25">
      <c r="A4341" s="75"/>
      <c r="C4341" s="81"/>
      <c r="D4341" s="81"/>
      <c r="I4341" s="81"/>
      <c r="K4341" s="82"/>
      <c r="L4341" s="123"/>
      <c r="M4341" s="3"/>
      <c r="N4341" s="3"/>
      <c r="O4341" s="3"/>
      <c r="P4341" s="125"/>
      <c r="Q4341" s="125"/>
      <c r="R4341" s="127"/>
      <c r="S4341" s="123"/>
      <c r="T4341" s="3"/>
      <c r="W4341" s="86"/>
      <c r="Y4341" s="75"/>
    </row>
    <row r="4342" spans="1:25" x14ac:dyDescent="0.25">
      <c r="A4342" s="75"/>
      <c r="C4342" s="81"/>
      <c r="D4342" s="81"/>
      <c r="I4342" s="81"/>
      <c r="K4342" s="82"/>
      <c r="L4342" s="123"/>
      <c r="M4342" s="3"/>
      <c r="N4342" s="3"/>
      <c r="O4342" s="3"/>
      <c r="P4342" s="125"/>
      <c r="Q4342" s="125"/>
      <c r="R4342" s="127"/>
      <c r="S4342" s="123"/>
      <c r="T4342" s="3"/>
      <c r="W4342" s="86"/>
      <c r="Y4342" s="75"/>
    </row>
    <row r="4343" spans="1:25" x14ac:dyDescent="0.25">
      <c r="A4343" s="75"/>
      <c r="C4343" s="81"/>
      <c r="D4343" s="81"/>
      <c r="I4343" s="81"/>
      <c r="K4343" s="82"/>
      <c r="L4343" s="123"/>
      <c r="M4343" s="3"/>
      <c r="N4343" s="3"/>
      <c r="O4343" s="3"/>
      <c r="P4343" s="125"/>
      <c r="Q4343" s="125"/>
      <c r="R4343" s="127"/>
      <c r="S4343" s="123"/>
      <c r="T4343" s="3"/>
      <c r="W4343" s="86"/>
      <c r="Y4343" s="75"/>
    </row>
    <row r="4344" spans="1:25" x14ac:dyDescent="0.25">
      <c r="A4344" s="75"/>
      <c r="C4344" s="81"/>
      <c r="D4344" s="81"/>
      <c r="I4344" s="81"/>
      <c r="K4344" s="82"/>
      <c r="L4344" s="123"/>
      <c r="M4344" s="3"/>
      <c r="N4344" s="3"/>
      <c r="O4344" s="3"/>
      <c r="P4344" s="125"/>
      <c r="Q4344" s="125"/>
      <c r="R4344" s="127"/>
      <c r="S4344" s="123"/>
      <c r="T4344" s="3"/>
      <c r="W4344" s="86"/>
      <c r="Y4344" s="75"/>
    </row>
    <row r="4345" spans="1:25" x14ac:dyDescent="0.25">
      <c r="A4345" s="75"/>
      <c r="C4345" s="81"/>
      <c r="D4345" s="81"/>
      <c r="I4345" s="81"/>
      <c r="K4345" s="82"/>
      <c r="L4345" s="123"/>
      <c r="M4345" s="3"/>
      <c r="N4345" s="3"/>
      <c r="O4345" s="3"/>
      <c r="P4345" s="125"/>
      <c r="Q4345" s="125"/>
      <c r="R4345" s="127"/>
      <c r="S4345" s="123"/>
      <c r="T4345" s="3"/>
      <c r="W4345" s="86"/>
      <c r="Y4345" s="75"/>
    </row>
    <row r="4346" spans="1:25" x14ac:dyDescent="0.25">
      <c r="A4346" s="75"/>
      <c r="C4346" s="81"/>
      <c r="D4346" s="81"/>
      <c r="I4346" s="81"/>
      <c r="K4346" s="82"/>
      <c r="L4346" s="123"/>
      <c r="M4346" s="3"/>
      <c r="N4346" s="3"/>
      <c r="O4346" s="3"/>
      <c r="P4346" s="125"/>
      <c r="Q4346" s="125"/>
      <c r="R4346" s="127"/>
      <c r="S4346" s="123"/>
      <c r="T4346" s="3"/>
      <c r="W4346" s="86"/>
      <c r="Y4346" s="75"/>
    </row>
    <row r="4347" spans="1:25" x14ac:dyDescent="0.25">
      <c r="A4347" s="75"/>
      <c r="C4347" s="81"/>
      <c r="D4347" s="81"/>
      <c r="I4347" s="81"/>
      <c r="K4347" s="82"/>
      <c r="L4347" s="123"/>
      <c r="M4347" s="3"/>
      <c r="N4347" s="3"/>
      <c r="O4347" s="3"/>
      <c r="P4347" s="125"/>
      <c r="Q4347" s="125"/>
      <c r="R4347" s="127"/>
      <c r="S4347" s="123"/>
      <c r="T4347" s="3"/>
      <c r="W4347" s="86"/>
      <c r="Y4347" s="75"/>
    </row>
    <row r="4348" spans="1:25" x14ac:dyDescent="0.25">
      <c r="A4348" s="75"/>
      <c r="C4348" s="81"/>
      <c r="D4348" s="81"/>
      <c r="I4348" s="81"/>
      <c r="K4348" s="82"/>
      <c r="L4348" s="123"/>
      <c r="M4348" s="3"/>
      <c r="N4348" s="3"/>
      <c r="O4348" s="3"/>
      <c r="P4348" s="125"/>
      <c r="Q4348" s="125"/>
      <c r="R4348" s="127"/>
      <c r="S4348" s="123"/>
      <c r="T4348" s="3"/>
      <c r="W4348" s="86"/>
      <c r="Y4348" s="75"/>
    </row>
    <row r="4349" spans="1:25" x14ac:dyDescent="0.25">
      <c r="A4349" s="75"/>
      <c r="C4349" s="81"/>
      <c r="D4349" s="81"/>
      <c r="I4349" s="81"/>
      <c r="K4349" s="82"/>
      <c r="L4349" s="123"/>
      <c r="M4349" s="3"/>
      <c r="N4349" s="3"/>
      <c r="O4349" s="3"/>
      <c r="P4349" s="125"/>
      <c r="Q4349" s="125"/>
      <c r="R4349" s="127"/>
      <c r="S4349" s="123"/>
      <c r="T4349" s="3"/>
      <c r="W4349" s="86"/>
      <c r="Y4349" s="75"/>
    </row>
    <row r="4350" spans="1:25" x14ac:dyDescent="0.25">
      <c r="A4350" s="75"/>
      <c r="C4350" s="81"/>
      <c r="D4350" s="81"/>
      <c r="I4350" s="81"/>
      <c r="K4350" s="82"/>
      <c r="L4350" s="123"/>
      <c r="M4350" s="3"/>
      <c r="N4350" s="3"/>
      <c r="O4350" s="3"/>
      <c r="P4350" s="125"/>
      <c r="Q4350" s="125"/>
      <c r="R4350" s="127"/>
      <c r="S4350" s="123"/>
      <c r="T4350" s="3"/>
      <c r="W4350" s="86"/>
      <c r="Y4350" s="75"/>
    </row>
    <row r="4351" spans="1:25" x14ac:dyDescent="0.25">
      <c r="A4351" s="75"/>
      <c r="C4351" s="81"/>
      <c r="D4351" s="81"/>
      <c r="I4351" s="81"/>
      <c r="K4351" s="82"/>
      <c r="L4351" s="123"/>
      <c r="M4351" s="3"/>
      <c r="N4351" s="3"/>
      <c r="O4351" s="3"/>
      <c r="P4351" s="125"/>
      <c r="Q4351" s="125"/>
      <c r="R4351" s="127"/>
      <c r="S4351" s="123"/>
      <c r="T4351" s="3"/>
      <c r="W4351" s="86"/>
      <c r="Y4351" s="75"/>
    </row>
    <row r="4352" spans="1:25" x14ac:dyDescent="0.25">
      <c r="A4352" s="75"/>
      <c r="C4352" s="81"/>
      <c r="D4352" s="81"/>
      <c r="I4352" s="81"/>
      <c r="K4352" s="82"/>
      <c r="L4352" s="123"/>
      <c r="M4352" s="3"/>
      <c r="N4352" s="3"/>
      <c r="O4352" s="3"/>
      <c r="P4352" s="125"/>
      <c r="Q4352" s="125"/>
      <c r="R4352" s="127"/>
      <c r="S4352" s="123"/>
      <c r="T4352" s="3"/>
      <c r="W4352" s="86"/>
      <c r="Y4352" s="75"/>
    </row>
    <row r="4353" spans="1:25" x14ac:dyDescent="0.25">
      <c r="A4353" s="75"/>
      <c r="C4353" s="81"/>
      <c r="D4353" s="81"/>
      <c r="I4353" s="81"/>
      <c r="K4353" s="82"/>
      <c r="L4353" s="123"/>
      <c r="M4353" s="3"/>
      <c r="N4353" s="3"/>
      <c r="O4353" s="3"/>
      <c r="P4353" s="125"/>
      <c r="Q4353" s="125"/>
      <c r="R4353" s="127"/>
      <c r="S4353" s="123"/>
      <c r="T4353" s="3"/>
      <c r="W4353" s="86"/>
      <c r="Y4353" s="75"/>
    </row>
    <row r="4354" spans="1:25" x14ac:dyDescent="0.25">
      <c r="A4354" s="75"/>
      <c r="C4354" s="81"/>
      <c r="D4354" s="81"/>
      <c r="I4354" s="81"/>
      <c r="K4354" s="82"/>
      <c r="L4354" s="123"/>
      <c r="M4354" s="3"/>
      <c r="N4354" s="3"/>
      <c r="O4354" s="3"/>
      <c r="P4354" s="125"/>
      <c r="Q4354" s="125"/>
      <c r="R4354" s="127"/>
      <c r="S4354" s="123"/>
      <c r="T4354" s="3"/>
      <c r="W4354" s="86"/>
      <c r="Y4354" s="75"/>
    </row>
    <row r="4355" spans="1:25" x14ac:dyDescent="0.25">
      <c r="A4355" s="75"/>
      <c r="C4355" s="81"/>
      <c r="D4355" s="81"/>
      <c r="I4355" s="81"/>
      <c r="K4355" s="82"/>
      <c r="L4355" s="123"/>
      <c r="M4355" s="3"/>
      <c r="N4355" s="3"/>
      <c r="O4355" s="3"/>
      <c r="P4355" s="125"/>
      <c r="Q4355" s="125"/>
      <c r="R4355" s="127"/>
      <c r="S4355" s="123"/>
      <c r="T4355" s="3"/>
      <c r="W4355" s="86"/>
      <c r="Y4355" s="75"/>
    </row>
    <row r="4356" spans="1:25" x14ac:dyDescent="0.25">
      <c r="A4356" s="75"/>
      <c r="C4356" s="81"/>
      <c r="D4356" s="81"/>
      <c r="I4356" s="81"/>
      <c r="K4356" s="82"/>
      <c r="L4356" s="123"/>
      <c r="M4356" s="3"/>
      <c r="N4356" s="3"/>
      <c r="O4356" s="3"/>
      <c r="P4356" s="125"/>
      <c r="Q4356" s="125"/>
      <c r="R4356" s="127"/>
      <c r="S4356" s="123"/>
      <c r="T4356" s="3"/>
      <c r="W4356" s="86"/>
      <c r="Y4356" s="75"/>
    </row>
    <row r="4357" spans="1:25" x14ac:dyDescent="0.25">
      <c r="A4357" s="75"/>
      <c r="C4357" s="81"/>
      <c r="D4357" s="81"/>
      <c r="I4357" s="81"/>
      <c r="K4357" s="82"/>
      <c r="L4357" s="123"/>
      <c r="M4357" s="3"/>
      <c r="N4357" s="3"/>
      <c r="O4357" s="3"/>
      <c r="P4357" s="125"/>
      <c r="Q4357" s="125"/>
      <c r="R4357" s="127"/>
      <c r="S4357" s="123"/>
      <c r="T4357" s="3"/>
      <c r="W4357" s="86"/>
      <c r="Y4357" s="75"/>
    </row>
    <row r="4358" spans="1:25" x14ac:dyDescent="0.25">
      <c r="A4358" s="75"/>
      <c r="C4358" s="81"/>
      <c r="D4358" s="81"/>
      <c r="I4358" s="81"/>
      <c r="K4358" s="82"/>
      <c r="L4358" s="123"/>
      <c r="M4358" s="3"/>
      <c r="N4358" s="3"/>
      <c r="O4358" s="3"/>
      <c r="P4358" s="125"/>
      <c r="Q4358" s="125"/>
      <c r="R4358" s="127"/>
      <c r="S4358" s="123"/>
      <c r="T4358" s="3"/>
      <c r="W4358" s="86"/>
      <c r="Y4358" s="75"/>
    </row>
    <row r="4359" spans="1:25" x14ac:dyDescent="0.25">
      <c r="A4359" s="75"/>
      <c r="C4359" s="81"/>
      <c r="D4359" s="81"/>
      <c r="I4359" s="81"/>
      <c r="K4359" s="82"/>
      <c r="L4359" s="123"/>
      <c r="M4359" s="3"/>
      <c r="N4359" s="3"/>
      <c r="O4359" s="3"/>
      <c r="P4359" s="125"/>
      <c r="Q4359" s="125"/>
      <c r="R4359" s="127"/>
      <c r="S4359" s="123"/>
      <c r="T4359" s="3"/>
      <c r="W4359" s="86"/>
      <c r="Y4359" s="75"/>
    </row>
    <row r="4360" spans="1:25" x14ac:dyDescent="0.25">
      <c r="A4360" s="75"/>
      <c r="C4360" s="81"/>
      <c r="D4360" s="81"/>
      <c r="I4360" s="81"/>
      <c r="K4360" s="82"/>
      <c r="L4360" s="123"/>
      <c r="M4360" s="3"/>
      <c r="N4360" s="3"/>
      <c r="O4360" s="3"/>
      <c r="P4360" s="125"/>
      <c r="Q4360" s="125"/>
      <c r="R4360" s="127"/>
      <c r="S4360" s="123"/>
      <c r="T4360" s="3"/>
      <c r="W4360" s="86"/>
      <c r="Y4360" s="75"/>
    </row>
    <row r="4361" spans="1:25" x14ac:dyDescent="0.25">
      <c r="A4361" s="75"/>
      <c r="C4361" s="81"/>
      <c r="D4361" s="81"/>
      <c r="I4361" s="81"/>
      <c r="K4361" s="82"/>
      <c r="L4361" s="123"/>
      <c r="M4361" s="3"/>
      <c r="N4361" s="3"/>
      <c r="O4361" s="3"/>
      <c r="P4361" s="125"/>
      <c r="Q4361" s="125"/>
      <c r="R4361" s="127"/>
      <c r="S4361" s="123"/>
      <c r="T4361" s="3"/>
      <c r="W4361" s="86"/>
      <c r="Y4361" s="75"/>
    </row>
    <row r="4362" spans="1:25" x14ac:dyDescent="0.25">
      <c r="A4362" s="75"/>
      <c r="C4362" s="81"/>
      <c r="D4362" s="81"/>
      <c r="I4362" s="81"/>
      <c r="K4362" s="82"/>
      <c r="L4362" s="123"/>
      <c r="M4362" s="3"/>
      <c r="N4362" s="3"/>
      <c r="O4362" s="3"/>
      <c r="P4362" s="125"/>
      <c r="Q4362" s="125"/>
      <c r="R4362" s="127"/>
      <c r="S4362" s="123"/>
      <c r="T4362" s="3"/>
      <c r="W4362" s="86"/>
      <c r="Y4362" s="75"/>
    </row>
    <row r="4363" spans="1:25" x14ac:dyDescent="0.25">
      <c r="A4363" s="75"/>
      <c r="C4363" s="81"/>
      <c r="D4363" s="81"/>
      <c r="I4363" s="81"/>
      <c r="K4363" s="82"/>
      <c r="L4363" s="123"/>
      <c r="M4363" s="3"/>
      <c r="N4363" s="3"/>
      <c r="O4363" s="3"/>
      <c r="P4363" s="125"/>
      <c r="Q4363" s="125"/>
      <c r="R4363" s="127"/>
      <c r="S4363" s="123"/>
      <c r="T4363" s="3"/>
      <c r="W4363" s="86"/>
      <c r="Y4363" s="75"/>
    </row>
    <row r="4364" spans="1:25" x14ac:dyDescent="0.25">
      <c r="A4364" s="75"/>
      <c r="C4364" s="81"/>
      <c r="D4364" s="81"/>
      <c r="I4364" s="81"/>
      <c r="K4364" s="82"/>
      <c r="L4364" s="123"/>
      <c r="M4364" s="3"/>
      <c r="N4364" s="3"/>
      <c r="O4364" s="3"/>
      <c r="P4364" s="125"/>
      <c r="Q4364" s="125"/>
      <c r="R4364" s="127"/>
      <c r="S4364" s="123"/>
      <c r="T4364" s="3"/>
      <c r="W4364" s="86"/>
      <c r="Y4364" s="75"/>
    </row>
    <row r="4365" spans="1:25" x14ac:dyDescent="0.25">
      <c r="A4365" s="75"/>
      <c r="C4365" s="81"/>
      <c r="D4365" s="81"/>
      <c r="I4365" s="81"/>
      <c r="K4365" s="82"/>
      <c r="L4365" s="123"/>
      <c r="M4365" s="3"/>
      <c r="N4365" s="3"/>
      <c r="O4365" s="3"/>
      <c r="P4365" s="125"/>
      <c r="Q4365" s="125"/>
      <c r="R4365" s="127"/>
      <c r="S4365" s="123"/>
      <c r="T4365" s="3"/>
      <c r="W4365" s="86"/>
      <c r="Y4365" s="75"/>
    </row>
    <row r="4366" spans="1:25" x14ac:dyDescent="0.25">
      <c r="A4366" s="75"/>
      <c r="C4366" s="81"/>
      <c r="D4366" s="81"/>
      <c r="I4366" s="81"/>
      <c r="K4366" s="82"/>
      <c r="L4366" s="123"/>
      <c r="M4366" s="3"/>
      <c r="N4366" s="3"/>
      <c r="O4366" s="3"/>
      <c r="P4366" s="125"/>
      <c r="Q4366" s="125"/>
      <c r="R4366" s="127"/>
      <c r="S4366" s="123"/>
      <c r="T4366" s="3"/>
      <c r="W4366" s="86"/>
      <c r="Y4366" s="75"/>
    </row>
    <row r="4367" spans="1:25" x14ac:dyDescent="0.25">
      <c r="A4367" s="75"/>
      <c r="C4367" s="81"/>
      <c r="D4367" s="81"/>
      <c r="I4367" s="81"/>
      <c r="K4367" s="82"/>
      <c r="L4367" s="123"/>
      <c r="M4367" s="3"/>
      <c r="N4367" s="3"/>
      <c r="O4367" s="3"/>
      <c r="P4367" s="125"/>
      <c r="Q4367" s="125"/>
      <c r="R4367" s="127"/>
      <c r="S4367" s="123"/>
      <c r="T4367" s="3"/>
      <c r="W4367" s="86"/>
      <c r="Y4367" s="75"/>
    </row>
    <row r="4368" spans="1:25" x14ac:dyDescent="0.25">
      <c r="A4368" s="75"/>
      <c r="C4368" s="81"/>
      <c r="D4368" s="81"/>
      <c r="I4368" s="81"/>
      <c r="K4368" s="82"/>
      <c r="L4368" s="123"/>
      <c r="M4368" s="3"/>
      <c r="N4368" s="3"/>
      <c r="O4368" s="3"/>
      <c r="P4368" s="125"/>
      <c r="Q4368" s="125"/>
      <c r="R4368" s="127"/>
      <c r="S4368" s="123"/>
      <c r="T4368" s="3"/>
      <c r="W4368" s="86"/>
      <c r="Y4368" s="75"/>
    </row>
    <row r="4369" spans="1:25" x14ac:dyDescent="0.25">
      <c r="A4369" s="75"/>
      <c r="C4369" s="81"/>
      <c r="D4369" s="81"/>
      <c r="I4369" s="81"/>
      <c r="K4369" s="82"/>
      <c r="L4369" s="123"/>
      <c r="M4369" s="3"/>
      <c r="N4369" s="3"/>
      <c r="O4369" s="3"/>
      <c r="P4369" s="125"/>
      <c r="Q4369" s="125"/>
      <c r="R4369" s="127"/>
      <c r="S4369" s="123"/>
      <c r="T4369" s="3"/>
      <c r="W4369" s="86"/>
      <c r="Y4369" s="75"/>
    </row>
    <row r="4370" spans="1:25" x14ac:dyDescent="0.25">
      <c r="A4370" s="75"/>
      <c r="C4370" s="81"/>
      <c r="D4370" s="81"/>
      <c r="I4370" s="81"/>
      <c r="K4370" s="82"/>
      <c r="L4370" s="123"/>
      <c r="M4370" s="3"/>
      <c r="N4370" s="3"/>
      <c r="O4370" s="3"/>
      <c r="P4370" s="125"/>
      <c r="Q4370" s="125"/>
      <c r="R4370" s="127"/>
      <c r="S4370" s="123"/>
      <c r="T4370" s="3"/>
      <c r="W4370" s="86"/>
      <c r="Y4370" s="75"/>
    </row>
    <row r="4371" spans="1:25" x14ac:dyDescent="0.25">
      <c r="A4371" s="75"/>
      <c r="C4371" s="81"/>
      <c r="D4371" s="81"/>
      <c r="I4371" s="81"/>
      <c r="K4371" s="82"/>
      <c r="L4371" s="123"/>
      <c r="M4371" s="3"/>
      <c r="N4371" s="3"/>
      <c r="O4371" s="3"/>
      <c r="P4371" s="125"/>
      <c r="Q4371" s="125"/>
      <c r="R4371" s="127"/>
      <c r="S4371" s="123"/>
      <c r="T4371" s="3"/>
      <c r="W4371" s="86"/>
      <c r="Y4371" s="75"/>
    </row>
    <row r="4372" spans="1:25" x14ac:dyDescent="0.25">
      <c r="A4372" s="75"/>
      <c r="C4372" s="81"/>
      <c r="D4372" s="81"/>
      <c r="I4372" s="81"/>
      <c r="K4372" s="82"/>
      <c r="L4372" s="123"/>
      <c r="M4372" s="3"/>
      <c r="N4372" s="3"/>
      <c r="O4372" s="3"/>
      <c r="P4372" s="125"/>
      <c r="Q4372" s="125"/>
      <c r="R4372" s="127"/>
      <c r="S4372" s="123"/>
      <c r="T4372" s="3"/>
      <c r="W4372" s="86"/>
      <c r="Y4372" s="75"/>
    </row>
    <row r="4373" spans="1:25" x14ac:dyDescent="0.25">
      <c r="A4373" s="75"/>
      <c r="C4373" s="81"/>
      <c r="D4373" s="81"/>
      <c r="I4373" s="81"/>
      <c r="K4373" s="82"/>
      <c r="L4373" s="123"/>
      <c r="M4373" s="3"/>
      <c r="N4373" s="3"/>
      <c r="O4373" s="3"/>
      <c r="P4373" s="125"/>
      <c r="Q4373" s="125"/>
      <c r="R4373" s="127"/>
      <c r="S4373" s="123"/>
      <c r="T4373" s="3"/>
      <c r="W4373" s="86"/>
      <c r="Y4373" s="75"/>
    </row>
    <row r="4374" spans="1:25" x14ac:dyDescent="0.25">
      <c r="A4374" s="75"/>
      <c r="C4374" s="81"/>
      <c r="D4374" s="81"/>
      <c r="I4374" s="81"/>
      <c r="K4374" s="82"/>
      <c r="L4374" s="123"/>
      <c r="M4374" s="3"/>
      <c r="N4374" s="3"/>
      <c r="O4374" s="3"/>
      <c r="P4374" s="125"/>
      <c r="Q4374" s="125"/>
      <c r="R4374" s="127"/>
      <c r="S4374" s="123"/>
      <c r="T4374" s="3"/>
      <c r="W4374" s="86"/>
      <c r="Y4374" s="75"/>
    </row>
    <row r="4375" spans="1:25" x14ac:dyDescent="0.25">
      <c r="A4375" s="75"/>
      <c r="C4375" s="81"/>
      <c r="D4375" s="81"/>
      <c r="I4375" s="81"/>
      <c r="K4375" s="82"/>
      <c r="L4375" s="123"/>
      <c r="M4375" s="3"/>
      <c r="N4375" s="3"/>
      <c r="O4375" s="3"/>
      <c r="P4375" s="125"/>
      <c r="Q4375" s="125"/>
      <c r="R4375" s="127"/>
      <c r="S4375" s="123"/>
      <c r="T4375" s="3"/>
      <c r="W4375" s="86"/>
      <c r="Y4375" s="75"/>
    </row>
    <row r="4376" spans="1:25" x14ac:dyDescent="0.25">
      <c r="A4376" s="75"/>
      <c r="C4376" s="81"/>
      <c r="D4376" s="81"/>
      <c r="I4376" s="81"/>
      <c r="K4376" s="82"/>
      <c r="L4376" s="123"/>
      <c r="M4376" s="3"/>
      <c r="N4376" s="3"/>
      <c r="O4376" s="3"/>
      <c r="P4376" s="125"/>
      <c r="Q4376" s="125"/>
      <c r="R4376" s="127"/>
      <c r="S4376" s="123"/>
      <c r="T4376" s="3"/>
      <c r="W4376" s="86"/>
      <c r="Y4376" s="75"/>
    </row>
    <row r="4377" spans="1:25" x14ac:dyDescent="0.25">
      <c r="A4377" s="75"/>
      <c r="C4377" s="81"/>
      <c r="D4377" s="81"/>
      <c r="I4377" s="81"/>
      <c r="K4377" s="82"/>
      <c r="L4377" s="123"/>
      <c r="M4377" s="3"/>
      <c r="N4377" s="3"/>
      <c r="O4377" s="3"/>
      <c r="P4377" s="125"/>
      <c r="Q4377" s="125"/>
      <c r="R4377" s="127"/>
      <c r="S4377" s="123"/>
      <c r="T4377" s="3"/>
      <c r="W4377" s="86"/>
      <c r="Y4377" s="75"/>
    </row>
    <row r="4378" spans="1:25" x14ac:dyDescent="0.25">
      <c r="A4378" s="75"/>
      <c r="C4378" s="81"/>
      <c r="D4378" s="81"/>
      <c r="I4378" s="81"/>
      <c r="K4378" s="82"/>
      <c r="L4378" s="123"/>
      <c r="M4378" s="3"/>
      <c r="N4378" s="3"/>
      <c r="O4378" s="3"/>
      <c r="P4378" s="125"/>
      <c r="Q4378" s="125"/>
      <c r="R4378" s="127"/>
      <c r="S4378" s="123"/>
      <c r="T4378" s="3"/>
      <c r="W4378" s="86"/>
      <c r="Y4378" s="75"/>
    </row>
    <row r="4379" spans="1:25" x14ac:dyDescent="0.25">
      <c r="A4379" s="75"/>
      <c r="C4379" s="81"/>
      <c r="D4379" s="81"/>
      <c r="I4379" s="81"/>
      <c r="K4379" s="82"/>
      <c r="L4379" s="123"/>
      <c r="M4379" s="3"/>
      <c r="N4379" s="3"/>
      <c r="O4379" s="3"/>
      <c r="P4379" s="125"/>
      <c r="Q4379" s="125"/>
      <c r="R4379" s="127"/>
      <c r="S4379" s="123"/>
      <c r="T4379" s="3"/>
      <c r="W4379" s="86"/>
      <c r="Y4379" s="75"/>
    </row>
    <row r="4380" spans="1:25" x14ac:dyDescent="0.25">
      <c r="A4380" s="75"/>
      <c r="C4380" s="81"/>
      <c r="D4380" s="81"/>
      <c r="I4380" s="81"/>
      <c r="K4380" s="82"/>
      <c r="L4380" s="123"/>
      <c r="M4380" s="3"/>
      <c r="N4380" s="3"/>
      <c r="O4380" s="3"/>
      <c r="P4380" s="125"/>
      <c r="Q4380" s="125"/>
      <c r="R4380" s="127"/>
      <c r="S4380" s="123"/>
      <c r="T4380" s="3"/>
      <c r="W4380" s="86"/>
      <c r="Y4380" s="75"/>
    </row>
    <row r="4381" spans="1:25" x14ac:dyDescent="0.25">
      <c r="A4381" s="75"/>
      <c r="C4381" s="81"/>
      <c r="D4381" s="81"/>
      <c r="I4381" s="81"/>
      <c r="K4381" s="82"/>
      <c r="L4381" s="123"/>
      <c r="M4381" s="3"/>
      <c r="N4381" s="3"/>
      <c r="O4381" s="3"/>
      <c r="P4381" s="125"/>
      <c r="Q4381" s="125"/>
      <c r="R4381" s="127"/>
      <c r="S4381" s="123"/>
      <c r="T4381" s="3"/>
      <c r="W4381" s="86"/>
      <c r="Y4381" s="75"/>
    </row>
    <row r="4382" spans="1:25" x14ac:dyDescent="0.25">
      <c r="A4382" s="75"/>
      <c r="C4382" s="81"/>
      <c r="D4382" s="81"/>
      <c r="I4382" s="81"/>
      <c r="K4382" s="82"/>
      <c r="L4382" s="123"/>
      <c r="M4382" s="3"/>
      <c r="N4382" s="3"/>
      <c r="O4382" s="3"/>
      <c r="P4382" s="125"/>
      <c r="Q4382" s="125"/>
      <c r="R4382" s="127"/>
      <c r="S4382" s="123"/>
      <c r="T4382" s="3"/>
      <c r="W4382" s="86"/>
      <c r="Y4382" s="75"/>
    </row>
    <row r="4383" spans="1:25" x14ac:dyDescent="0.25">
      <c r="A4383" s="75"/>
      <c r="C4383" s="81"/>
      <c r="D4383" s="81"/>
      <c r="I4383" s="81"/>
      <c r="K4383" s="82"/>
      <c r="L4383" s="123"/>
      <c r="M4383" s="3"/>
      <c r="N4383" s="3"/>
      <c r="O4383" s="3"/>
      <c r="P4383" s="125"/>
      <c r="Q4383" s="125"/>
      <c r="R4383" s="127"/>
      <c r="S4383" s="123"/>
      <c r="T4383" s="3"/>
      <c r="W4383" s="86"/>
      <c r="Y4383" s="75"/>
    </row>
    <row r="4384" spans="1:25" x14ac:dyDescent="0.25">
      <c r="A4384" s="75"/>
      <c r="C4384" s="81"/>
      <c r="D4384" s="81"/>
      <c r="I4384" s="81"/>
      <c r="K4384" s="82"/>
      <c r="L4384" s="123"/>
      <c r="M4384" s="3"/>
      <c r="N4384" s="3"/>
      <c r="O4384" s="3"/>
      <c r="P4384" s="125"/>
      <c r="Q4384" s="125"/>
      <c r="R4384" s="127"/>
      <c r="S4384" s="123"/>
      <c r="T4384" s="3"/>
      <c r="W4384" s="86"/>
      <c r="Y4384" s="75"/>
    </row>
    <row r="4385" spans="1:25" x14ac:dyDescent="0.25">
      <c r="A4385" s="75"/>
      <c r="C4385" s="81"/>
      <c r="D4385" s="81"/>
      <c r="I4385" s="81"/>
      <c r="K4385" s="82"/>
      <c r="L4385" s="123"/>
      <c r="M4385" s="3"/>
      <c r="N4385" s="3"/>
      <c r="O4385" s="3"/>
      <c r="P4385" s="125"/>
      <c r="Q4385" s="125"/>
      <c r="R4385" s="127"/>
      <c r="S4385" s="123"/>
      <c r="T4385" s="3"/>
      <c r="W4385" s="86"/>
      <c r="Y4385" s="75"/>
    </row>
    <row r="4386" spans="1:25" x14ac:dyDescent="0.25">
      <c r="A4386" s="75"/>
      <c r="C4386" s="81"/>
      <c r="D4386" s="81"/>
      <c r="I4386" s="81"/>
      <c r="K4386" s="82"/>
      <c r="L4386" s="123"/>
      <c r="M4386" s="3"/>
      <c r="N4386" s="3"/>
      <c r="O4386" s="3"/>
      <c r="P4386" s="125"/>
      <c r="Q4386" s="125"/>
      <c r="R4386" s="127"/>
      <c r="S4386" s="123"/>
      <c r="T4386" s="3"/>
      <c r="W4386" s="86"/>
      <c r="Y4386" s="75"/>
    </row>
    <row r="4387" spans="1:25" x14ac:dyDescent="0.25">
      <c r="A4387" s="75"/>
      <c r="C4387" s="81"/>
      <c r="D4387" s="81"/>
      <c r="I4387" s="81"/>
      <c r="K4387" s="82"/>
      <c r="L4387" s="123"/>
      <c r="M4387" s="3"/>
      <c r="N4387" s="3"/>
      <c r="O4387" s="3"/>
      <c r="P4387" s="125"/>
      <c r="Q4387" s="125"/>
      <c r="R4387" s="127"/>
      <c r="S4387" s="123"/>
      <c r="T4387" s="3"/>
      <c r="W4387" s="86"/>
      <c r="Y4387" s="75"/>
    </row>
    <row r="4388" spans="1:25" x14ac:dyDescent="0.25">
      <c r="A4388" s="75"/>
      <c r="C4388" s="81"/>
      <c r="D4388" s="81"/>
      <c r="I4388" s="81"/>
      <c r="K4388" s="82"/>
      <c r="L4388" s="123"/>
      <c r="M4388" s="3"/>
      <c r="N4388" s="3"/>
      <c r="O4388" s="3"/>
      <c r="P4388" s="125"/>
      <c r="Q4388" s="125"/>
      <c r="R4388" s="127"/>
      <c r="S4388" s="123"/>
      <c r="T4388" s="3"/>
      <c r="W4388" s="86"/>
      <c r="Y4388" s="75"/>
    </row>
    <row r="4389" spans="1:25" x14ac:dyDescent="0.25">
      <c r="A4389" s="75"/>
      <c r="C4389" s="81"/>
      <c r="D4389" s="81"/>
      <c r="I4389" s="81"/>
      <c r="K4389" s="82"/>
      <c r="L4389" s="123"/>
      <c r="M4389" s="3"/>
      <c r="N4389" s="3"/>
      <c r="O4389" s="3"/>
      <c r="P4389" s="125"/>
      <c r="Q4389" s="125"/>
      <c r="R4389" s="127"/>
      <c r="S4389" s="123"/>
      <c r="T4389" s="3"/>
      <c r="W4389" s="86"/>
      <c r="Y4389" s="75"/>
    </row>
    <row r="4390" spans="1:25" x14ac:dyDescent="0.25">
      <c r="A4390" s="75"/>
      <c r="C4390" s="81"/>
      <c r="D4390" s="81"/>
      <c r="I4390" s="81"/>
      <c r="K4390" s="82"/>
      <c r="L4390" s="123"/>
      <c r="M4390" s="3"/>
      <c r="N4390" s="3"/>
      <c r="O4390" s="3"/>
      <c r="P4390" s="125"/>
      <c r="Q4390" s="125"/>
      <c r="R4390" s="127"/>
      <c r="S4390" s="123"/>
      <c r="T4390" s="3"/>
      <c r="W4390" s="86"/>
      <c r="Y4390" s="75"/>
    </row>
    <row r="4391" spans="1:25" x14ac:dyDescent="0.25">
      <c r="A4391" s="75"/>
      <c r="C4391" s="81"/>
      <c r="D4391" s="81"/>
      <c r="I4391" s="81"/>
      <c r="K4391" s="82"/>
      <c r="L4391" s="123"/>
      <c r="M4391" s="3"/>
      <c r="N4391" s="3"/>
      <c r="O4391" s="3"/>
      <c r="P4391" s="125"/>
      <c r="Q4391" s="125"/>
      <c r="R4391" s="127"/>
      <c r="S4391" s="123"/>
      <c r="T4391" s="3"/>
      <c r="W4391" s="86"/>
      <c r="Y4391" s="75"/>
    </row>
    <row r="4392" spans="1:25" x14ac:dyDescent="0.25">
      <c r="A4392" s="75"/>
      <c r="C4392" s="81"/>
      <c r="D4392" s="81"/>
      <c r="I4392" s="81"/>
      <c r="K4392" s="82"/>
      <c r="L4392" s="123"/>
      <c r="M4392" s="3"/>
      <c r="N4392" s="3"/>
      <c r="O4392" s="3"/>
      <c r="P4392" s="125"/>
      <c r="Q4392" s="125"/>
      <c r="R4392" s="127"/>
      <c r="S4392" s="123"/>
      <c r="T4392" s="3"/>
      <c r="W4392" s="86"/>
      <c r="Y4392" s="75"/>
    </row>
    <row r="4393" spans="1:25" x14ac:dyDescent="0.25">
      <c r="A4393" s="75"/>
      <c r="C4393" s="81"/>
      <c r="D4393" s="81"/>
      <c r="I4393" s="81"/>
      <c r="K4393" s="82"/>
      <c r="L4393" s="123"/>
      <c r="M4393" s="3"/>
      <c r="N4393" s="3"/>
      <c r="O4393" s="3"/>
      <c r="P4393" s="125"/>
      <c r="Q4393" s="125"/>
      <c r="R4393" s="127"/>
      <c r="S4393" s="123"/>
      <c r="T4393" s="3"/>
      <c r="W4393" s="86"/>
      <c r="Y4393" s="75"/>
    </row>
    <row r="4394" spans="1:25" x14ac:dyDescent="0.25">
      <c r="A4394" s="75"/>
      <c r="C4394" s="81"/>
      <c r="D4394" s="81"/>
      <c r="I4394" s="81"/>
      <c r="K4394" s="82"/>
      <c r="L4394" s="123"/>
      <c r="M4394" s="3"/>
      <c r="N4394" s="3"/>
      <c r="O4394" s="3"/>
      <c r="P4394" s="125"/>
      <c r="Q4394" s="125"/>
      <c r="R4394" s="127"/>
      <c r="S4394" s="123"/>
      <c r="T4394" s="3"/>
      <c r="W4394" s="86"/>
      <c r="Y4394" s="75"/>
    </row>
    <row r="4395" spans="1:25" x14ac:dyDescent="0.25">
      <c r="A4395" s="75"/>
      <c r="C4395" s="81"/>
      <c r="D4395" s="81"/>
      <c r="I4395" s="81"/>
      <c r="K4395" s="82"/>
      <c r="L4395" s="123"/>
      <c r="M4395" s="3"/>
      <c r="N4395" s="3"/>
      <c r="O4395" s="3"/>
      <c r="P4395" s="125"/>
      <c r="Q4395" s="125"/>
      <c r="R4395" s="127"/>
      <c r="S4395" s="123"/>
      <c r="T4395" s="3"/>
      <c r="W4395" s="86"/>
      <c r="Y4395" s="75"/>
    </row>
    <row r="4396" spans="1:25" x14ac:dyDescent="0.25">
      <c r="A4396" s="75"/>
      <c r="C4396" s="81"/>
      <c r="D4396" s="81"/>
      <c r="I4396" s="81"/>
      <c r="K4396" s="82"/>
      <c r="L4396" s="123"/>
      <c r="M4396" s="3"/>
      <c r="N4396" s="3"/>
      <c r="O4396" s="3"/>
      <c r="P4396" s="125"/>
      <c r="Q4396" s="125"/>
      <c r="R4396" s="127"/>
      <c r="S4396" s="123"/>
      <c r="T4396" s="3"/>
      <c r="W4396" s="86"/>
      <c r="Y4396" s="75"/>
    </row>
    <row r="4397" spans="1:25" x14ac:dyDescent="0.25">
      <c r="A4397" s="75"/>
      <c r="C4397" s="81"/>
      <c r="D4397" s="81"/>
      <c r="I4397" s="81"/>
      <c r="K4397" s="82"/>
      <c r="L4397" s="123"/>
      <c r="M4397" s="3"/>
      <c r="N4397" s="3"/>
      <c r="O4397" s="3"/>
      <c r="P4397" s="125"/>
      <c r="Q4397" s="125"/>
      <c r="R4397" s="127"/>
      <c r="S4397" s="123"/>
      <c r="T4397" s="3"/>
      <c r="W4397" s="86"/>
      <c r="Y4397" s="75"/>
    </row>
    <row r="4398" spans="1:25" x14ac:dyDescent="0.25">
      <c r="A4398" s="75"/>
      <c r="C4398" s="81"/>
      <c r="D4398" s="81"/>
      <c r="I4398" s="81"/>
      <c r="K4398" s="82"/>
      <c r="L4398" s="123"/>
      <c r="M4398" s="3"/>
      <c r="N4398" s="3"/>
      <c r="O4398" s="3"/>
      <c r="P4398" s="125"/>
      <c r="Q4398" s="125"/>
      <c r="R4398" s="127"/>
      <c r="S4398" s="123"/>
      <c r="T4398" s="3"/>
      <c r="W4398" s="86"/>
      <c r="Y4398" s="75"/>
    </row>
    <row r="4399" spans="1:25" x14ac:dyDescent="0.25">
      <c r="A4399" s="75"/>
      <c r="C4399" s="81"/>
      <c r="D4399" s="81"/>
      <c r="I4399" s="81"/>
      <c r="K4399" s="82"/>
      <c r="L4399" s="123"/>
      <c r="M4399" s="3"/>
      <c r="N4399" s="3"/>
      <c r="O4399" s="3"/>
      <c r="P4399" s="125"/>
      <c r="Q4399" s="125"/>
      <c r="R4399" s="127"/>
      <c r="S4399" s="123"/>
      <c r="T4399" s="3"/>
      <c r="W4399" s="86"/>
      <c r="Y4399" s="75"/>
    </row>
    <row r="4400" spans="1:25" x14ac:dyDescent="0.25">
      <c r="A4400" s="75"/>
      <c r="C4400" s="81"/>
      <c r="D4400" s="81"/>
      <c r="I4400" s="81"/>
      <c r="K4400" s="82"/>
      <c r="L4400" s="123"/>
      <c r="M4400" s="3"/>
      <c r="N4400" s="3"/>
      <c r="O4400" s="3"/>
      <c r="P4400" s="125"/>
      <c r="Q4400" s="125"/>
      <c r="R4400" s="127"/>
      <c r="S4400" s="123"/>
      <c r="T4400" s="3"/>
      <c r="W4400" s="86"/>
      <c r="Y4400" s="75"/>
    </row>
    <row r="4401" spans="1:25" x14ac:dyDescent="0.25">
      <c r="A4401" s="75"/>
      <c r="C4401" s="81"/>
      <c r="D4401" s="81"/>
      <c r="I4401" s="81"/>
      <c r="K4401" s="82"/>
      <c r="L4401" s="123"/>
      <c r="M4401" s="3"/>
      <c r="N4401" s="3"/>
      <c r="O4401" s="3"/>
      <c r="P4401" s="125"/>
      <c r="Q4401" s="125"/>
      <c r="R4401" s="127"/>
      <c r="S4401" s="123"/>
      <c r="T4401" s="3"/>
      <c r="W4401" s="86"/>
      <c r="Y4401" s="75"/>
    </row>
    <row r="4402" spans="1:25" x14ac:dyDescent="0.25">
      <c r="A4402" s="75"/>
      <c r="C4402" s="81"/>
      <c r="D4402" s="81"/>
      <c r="I4402" s="81"/>
      <c r="K4402" s="82"/>
      <c r="L4402" s="123"/>
      <c r="M4402" s="3"/>
      <c r="N4402" s="3"/>
      <c r="O4402" s="3"/>
      <c r="P4402" s="125"/>
      <c r="Q4402" s="125"/>
      <c r="R4402" s="127"/>
      <c r="S4402" s="123"/>
      <c r="T4402" s="3"/>
      <c r="W4402" s="86"/>
      <c r="Y4402" s="75"/>
    </row>
    <row r="4403" spans="1:25" x14ac:dyDescent="0.25">
      <c r="A4403" s="75"/>
      <c r="C4403" s="81"/>
      <c r="D4403" s="81"/>
      <c r="I4403" s="81"/>
      <c r="K4403" s="82"/>
      <c r="L4403" s="123"/>
      <c r="M4403" s="3"/>
      <c r="N4403" s="3"/>
      <c r="O4403" s="3"/>
      <c r="P4403" s="125"/>
      <c r="Q4403" s="125"/>
      <c r="R4403" s="127"/>
      <c r="S4403" s="123"/>
      <c r="T4403" s="3"/>
      <c r="W4403" s="86"/>
      <c r="Y4403" s="75"/>
    </row>
    <row r="4404" spans="1:25" x14ac:dyDescent="0.25">
      <c r="A4404" s="75"/>
      <c r="C4404" s="81"/>
      <c r="D4404" s="81"/>
      <c r="I4404" s="81"/>
      <c r="K4404" s="82"/>
      <c r="L4404" s="123"/>
      <c r="M4404" s="3"/>
      <c r="N4404" s="3"/>
      <c r="O4404" s="3"/>
      <c r="P4404" s="125"/>
      <c r="Q4404" s="125"/>
      <c r="R4404" s="127"/>
      <c r="S4404" s="123"/>
      <c r="T4404" s="3"/>
      <c r="W4404" s="86"/>
      <c r="Y4404" s="75"/>
    </row>
    <row r="4405" spans="1:25" x14ac:dyDescent="0.25">
      <c r="A4405" s="75"/>
      <c r="C4405" s="81"/>
      <c r="D4405" s="81"/>
      <c r="I4405" s="81"/>
      <c r="K4405" s="82"/>
      <c r="L4405" s="123"/>
      <c r="M4405" s="3"/>
      <c r="N4405" s="3"/>
      <c r="O4405" s="3"/>
      <c r="P4405" s="125"/>
      <c r="Q4405" s="125"/>
      <c r="R4405" s="127"/>
      <c r="S4405" s="123"/>
      <c r="T4405" s="3"/>
      <c r="W4405" s="86"/>
      <c r="Y4405" s="75"/>
    </row>
    <row r="4406" spans="1:25" x14ac:dyDescent="0.25">
      <c r="A4406" s="75"/>
      <c r="C4406" s="81"/>
      <c r="D4406" s="81"/>
      <c r="I4406" s="81"/>
      <c r="K4406" s="82"/>
      <c r="L4406" s="123"/>
      <c r="M4406" s="3"/>
      <c r="N4406" s="3"/>
      <c r="O4406" s="3"/>
      <c r="P4406" s="125"/>
      <c r="Q4406" s="125"/>
      <c r="R4406" s="127"/>
      <c r="S4406" s="123"/>
      <c r="T4406" s="3"/>
      <c r="W4406" s="86"/>
      <c r="Y4406" s="75"/>
    </row>
    <row r="4407" spans="1:25" x14ac:dyDescent="0.25">
      <c r="A4407" s="75"/>
      <c r="C4407" s="81"/>
      <c r="D4407" s="81"/>
      <c r="I4407" s="81"/>
      <c r="K4407" s="82"/>
      <c r="L4407" s="123"/>
      <c r="M4407" s="3"/>
      <c r="N4407" s="3"/>
      <c r="O4407" s="3"/>
      <c r="P4407" s="125"/>
      <c r="Q4407" s="125"/>
      <c r="R4407" s="127"/>
      <c r="S4407" s="123"/>
      <c r="T4407" s="3"/>
      <c r="W4407" s="86"/>
      <c r="Y4407" s="75"/>
    </row>
    <row r="4408" spans="1:25" x14ac:dyDescent="0.25">
      <c r="A4408" s="75"/>
      <c r="C4408" s="81"/>
      <c r="D4408" s="81"/>
      <c r="I4408" s="81"/>
      <c r="K4408" s="82"/>
      <c r="L4408" s="123"/>
      <c r="M4408" s="3"/>
      <c r="N4408" s="3"/>
      <c r="O4408" s="3"/>
      <c r="P4408" s="125"/>
      <c r="Q4408" s="125"/>
      <c r="R4408" s="127"/>
      <c r="S4408" s="123"/>
      <c r="T4408" s="3"/>
      <c r="W4408" s="86"/>
      <c r="Y4408" s="75"/>
    </row>
    <row r="4409" spans="1:25" x14ac:dyDescent="0.25">
      <c r="A4409" s="75"/>
      <c r="C4409" s="81"/>
      <c r="D4409" s="81"/>
      <c r="I4409" s="81"/>
      <c r="K4409" s="82"/>
      <c r="L4409" s="123"/>
      <c r="M4409" s="3"/>
      <c r="N4409" s="3"/>
      <c r="O4409" s="3"/>
      <c r="P4409" s="125"/>
      <c r="Q4409" s="125"/>
      <c r="R4409" s="127"/>
      <c r="S4409" s="123"/>
      <c r="T4409" s="3"/>
      <c r="W4409" s="86"/>
      <c r="Y4409" s="75"/>
    </row>
    <row r="4410" spans="1:25" x14ac:dyDescent="0.25">
      <c r="A4410" s="75"/>
      <c r="C4410" s="81"/>
      <c r="D4410" s="81"/>
      <c r="I4410" s="81"/>
      <c r="K4410" s="82"/>
      <c r="L4410" s="123"/>
      <c r="M4410" s="3"/>
      <c r="N4410" s="3"/>
      <c r="O4410" s="3"/>
      <c r="P4410" s="125"/>
      <c r="Q4410" s="125"/>
      <c r="R4410" s="127"/>
      <c r="S4410" s="123"/>
      <c r="T4410" s="3"/>
      <c r="W4410" s="86"/>
      <c r="Y4410" s="75"/>
    </row>
    <row r="4411" spans="1:25" x14ac:dyDescent="0.25">
      <c r="A4411" s="75"/>
      <c r="C4411" s="81"/>
      <c r="D4411" s="81"/>
      <c r="I4411" s="81"/>
      <c r="K4411" s="82"/>
      <c r="L4411" s="123"/>
      <c r="M4411" s="3"/>
      <c r="N4411" s="3"/>
      <c r="O4411" s="3"/>
      <c r="P4411" s="125"/>
      <c r="Q4411" s="125"/>
      <c r="R4411" s="127"/>
      <c r="S4411" s="123"/>
      <c r="T4411" s="3"/>
      <c r="W4411" s="86"/>
      <c r="Y4411" s="75"/>
    </row>
    <row r="4412" spans="1:25" x14ac:dyDescent="0.25">
      <c r="A4412" s="75"/>
      <c r="C4412" s="81"/>
      <c r="D4412" s="81"/>
      <c r="I4412" s="81"/>
      <c r="K4412" s="82"/>
      <c r="L4412" s="123"/>
      <c r="M4412" s="3"/>
      <c r="N4412" s="3"/>
      <c r="O4412" s="3"/>
      <c r="P4412" s="125"/>
      <c r="Q4412" s="125"/>
      <c r="R4412" s="127"/>
      <c r="S4412" s="123"/>
      <c r="T4412" s="3"/>
      <c r="W4412" s="86"/>
      <c r="Y4412" s="75"/>
    </row>
    <row r="4413" spans="1:25" x14ac:dyDescent="0.25">
      <c r="A4413" s="75"/>
      <c r="C4413" s="81"/>
      <c r="D4413" s="81"/>
      <c r="I4413" s="81"/>
      <c r="K4413" s="82"/>
      <c r="L4413" s="123"/>
      <c r="M4413" s="3"/>
      <c r="N4413" s="3"/>
      <c r="O4413" s="3"/>
      <c r="P4413" s="125"/>
      <c r="Q4413" s="125"/>
      <c r="R4413" s="127"/>
      <c r="S4413" s="123"/>
      <c r="T4413" s="3"/>
      <c r="W4413" s="86"/>
      <c r="Y4413" s="75"/>
    </row>
    <row r="4414" spans="1:25" x14ac:dyDescent="0.25">
      <c r="A4414" s="75"/>
      <c r="C4414" s="81"/>
      <c r="D4414" s="81"/>
      <c r="I4414" s="81"/>
      <c r="K4414" s="82"/>
      <c r="L4414" s="123"/>
      <c r="M4414" s="3"/>
      <c r="N4414" s="3"/>
      <c r="O4414" s="3"/>
      <c r="P4414" s="125"/>
      <c r="Q4414" s="125"/>
      <c r="R4414" s="127"/>
      <c r="S4414" s="123"/>
      <c r="T4414" s="3"/>
      <c r="W4414" s="86"/>
      <c r="Y4414" s="75"/>
    </row>
    <row r="4415" spans="1:25" x14ac:dyDescent="0.25">
      <c r="A4415" s="75"/>
      <c r="C4415" s="81"/>
      <c r="D4415" s="81"/>
      <c r="I4415" s="81"/>
      <c r="K4415" s="82"/>
      <c r="L4415" s="123"/>
      <c r="M4415" s="3"/>
      <c r="N4415" s="3"/>
      <c r="O4415" s="3"/>
      <c r="P4415" s="125"/>
      <c r="Q4415" s="125"/>
      <c r="R4415" s="127"/>
      <c r="S4415" s="123"/>
      <c r="T4415" s="3"/>
      <c r="W4415" s="86"/>
      <c r="Y4415" s="75"/>
    </row>
    <row r="4416" spans="1:25" x14ac:dyDescent="0.25">
      <c r="A4416" s="75"/>
      <c r="C4416" s="81"/>
      <c r="D4416" s="81"/>
      <c r="I4416" s="81"/>
      <c r="K4416" s="82"/>
      <c r="L4416" s="123"/>
      <c r="M4416" s="3"/>
      <c r="N4416" s="3"/>
      <c r="O4416" s="3"/>
      <c r="P4416" s="125"/>
      <c r="Q4416" s="125"/>
      <c r="R4416" s="127"/>
      <c r="S4416" s="123"/>
      <c r="T4416" s="3"/>
      <c r="W4416" s="86"/>
      <c r="Y4416" s="75"/>
    </row>
    <row r="4417" spans="1:25" x14ac:dyDescent="0.25">
      <c r="A4417" s="75"/>
      <c r="C4417" s="81"/>
      <c r="D4417" s="81"/>
      <c r="I4417" s="81"/>
      <c r="K4417" s="82"/>
      <c r="L4417" s="123"/>
      <c r="M4417" s="3"/>
      <c r="N4417" s="3"/>
      <c r="O4417" s="3"/>
      <c r="P4417" s="125"/>
      <c r="Q4417" s="125"/>
      <c r="R4417" s="127"/>
      <c r="S4417" s="123"/>
      <c r="T4417" s="3"/>
      <c r="W4417" s="86"/>
      <c r="Y4417" s="75"/>
    </row>
    <row r="4418" spans="1:25" x14ac:dyDescent="0.25">
      <c r="A4418" s="75"/>
      <c r="C4418" s="81"/>
      <c r="D4418" s="81"/>
      <c r="I4418" s="81"/>
      <c r="K4418" s="82"/>
      <c r="L4418" s="123"/>
      <c r="M4418" s="3"/>
      <c r="N4418" s="3"/>
      <c r="O4418" s="3"/>
      <c r="P4418" s="125"/>
      <c r="Q4418" s="125"/>
      <c r="R4418" s="127"/>
      <c r="S4418" s="123"/>
      <c r="T4418" s="3"/>
      <c r="W4418" s="86"/>
      <c r="Y4418" s="75"/>
    </row>
    <row r="4419" spans="1:25" x14ac:dyDescent="0.25">
      <c r="A4419" s="75"/>
      <c r="C4419" s="81"/>
      <c r="D4419" s="81"/>
      <c r="I4419" s="81"/>
      <c r="K4419" s="82"/>
      <c r="L4419" s="123"/>
      <c r="M4419" s="3"/>
      <c r="N4419" s="3"/>
      <c r="O4419" s="3"/>
      <c r="P4419" s="125"/>
      <c r="Q4419" s="125"/>
      <c r="R4419" s="127"/>
      <c r="S4419" s="123"/>
      <c r="T4419" s="3"/>
      <c r="W4419" s="86"/>
      <c r="Y4419" s="75"/>
    </row>
    <row r="4420" spans="1:25" x14ac:dyDescent="0.25">
      <c r="A4420" s="75"/>
      <c r="C4420" s="81"/>
      <c r="D4420" s="81"/>
      <c r="I4420" s="81"/>
      <c r="K4420" s="82"/>
      <c r="L4420" s="123"/>
      <c r="M4420" s="3"/>
      <c r="N4420" s="3"/>
      <c r="O4420" s="3"/>
      <c r="P4420" s="125"/>
      <c r="Q4420" s="125"/>
      <c r="R4420" s="127"/>
      <c r="S4420" s="123"/>
      <c r="T4420" s="3"/>
      <c r="W4420" s="86"/>
      <c r="Y4420" s="75"/>
    </row>
    <row r="4421" spans="1:25" x14ac:dyDescent="0.25">
      <c r="A4421" s="75"/>
      <c r="C4421" s="81"/>
      <c r="D4421" s="81"/>
      <c r="I4421" s="81"/>
      <c r="K4421" s="82"/>
      <c r="L4421" s="123"/>
      <c r="M4421" s="3"/>
      <c r="N4421" s="3"/>
      <c r="O4421" s="3"/>
      <c r="P4421" s="125"/>
      <c r="Q4421" s="125"/>
      <c r="R4421" s="127"/>
      <c r="S4421" s="123"/>
      <c r="T4421" s="3"/>
      <c r="W4421" s="86"/>
      <c r="Y4421" s="75"/>
    </row>
    <row r="4422" spans="1:25" x14ac:dyDescent="0.25">
      <c r="A4422" s="75"/>
      <c r="C4422" s="81"/>
      <c r="D4422" s="81"/>
      <c r="I4422" s="81"/>
      <c r="K4422" s="82"/>
      <c r="L4422" s="123"/>
      <c r="M4422" s="3"/>
      <c r="N4422" s="3"/>
      <c r="O4422" s="3"/>
      <c r="P4422" s="125"/>
      <c r="Q4422" s="125"/>
      <c r="R4422" s="127"/>
      <c r="S4422" s="123"/>
      <c r="T4422" s="3"/>
      <c r="W4422" s="86"/>
      <c r="Y4422" s="75"/>
    </row>
    <row r="4423" spans="1:25" x14ac:dyDescent="0.25">
      <c r="A4423" s="75"/>
      <c r="C4423" s="81"/>
      <c r="D4423" s="81"/>
      <c r="I4423" s="81"/>
      <c r="K4423" s="82"/>
      <c r="L4423" s="123"/>
      <c r="M4423" s="3"/>
      <c r="N4423" s="3"/>
      <c r="O4423" s="3"/>
      <c r="P4423" s="125"/>
      <c r="Q4423" s="125"/>
      <c r="R4423" s="127"/>
      <c r="S4423" s="123"/>
      <c r="T4423" s="3"/>
      <c r="W4423" s="86"/>
      <c r="Y4423" s="75"/>
    </row>
    <row r="4424" spans="1:25" x14ac:dyDescent="0.25">
      <c r="A4424" s="75"/>
      <c r="C4424" s="81"/>
      <c r="D4424" s="81"/>
      <c r="I4424" s="81"/>
      <c r="K4424" s="82"/>
      <c r="L4424" s="123"/>
      <c r="M4424" s="3"/>
      <c r="N4424" s="3"/>
      <c r="O4424" s="3"/>
      <c r="P4424" s="125"/>
      <c r="Q4424" s="125"/>
      <c r="R4424" s="127"/>
      <c r="S4424" s="123"/>
      <c r="T4424" s="3"/>
      <c r="W4424" s="86"/>
      <c r="Y4424" s="75"/>
    </row>
    <row r="4425" spans="1:25" x14ac:dyDescent="0.25">
      <c r="A4425" s="75"/>
      <c r="C4425" s="81"/>
      <c r="D4425" s="81"/>
      <c r="I4425" s="81"/>
      <c r="K4425" s="82"/>
      <c r="L4425" s="123"/>
      <c r="M4425" s="3"/>
      <c r="N4425" s="3"/>
      <c r="O4425" s="3"/>
      <c r="P4425" s="125"/>
      <c r="Q4425" s="125"/>
      <c r="R4425" s="127"/>
      <c r="S4425" s="123"/>
      <c r="T4425" s="3"/>
      <c r="W4425" s="86"/>
      <c r="Y4425" s="75"/>
    </row>
    <row r="4426" spans="1:25" x14ac:dyDescent="0.25">
      <c r="A4426" s="75"/>
      <c r="C4426" s="81"/>
      <c r="D4426" s="81"/>
      <c r="I4426" s="81"/>
      <c r="K4426" s="82"/>
      <c r="L4426" s="123"/>
      <c r="M4426" s="3"/>
      <c r="N4426" s="3"/>
      <c r="O4426" s="3"/>
      <c r="P4426" s="125"/>
      <c r="Q4426" s="125"/>
      <c r="R4426" s="127"/>
      <c r="S4426" s="123"/>
      <c r="T4426" s="3"/>
      <c r="W4426" s="86"/>
      <c r="Y4426" s="75"/>
    </row>
    <row r="4427" spans="1:25" x14ac:dyDescent="0.25">
      <c r="A4427" s="75"/>
      <c r="C4427" s="81"/>
      <c r="D4427" s="81"/>
      <c r="I4427" s="81"/>
      <c r="K4427" s="82"/>
      <c r="L4427" s="123"/>
      <c r="M4427" s="3"/>
      <c r="N4427" s="3"/>
      <c r="O4427" s="3"/>
      <c r="P4427" s="125"/>
      <c r="Q4427" s="125"/>
      <c r="R4427" s="127"/>
      <c r="S4427" s="123"/>
      <c r="T4427" s="3"/>
      <c r="W4427" s="86"/>
      <c r="Y4427" s="75"/>
    </row>
    <row r="4428" spans="1:25" x14ac:dyDescent="0.25">
      <c r="A4428" s="75"/>
      <c r="C4428" s="81"/>
      <c r="D4428" s="81"/>
      <c r="I4428" s="81"/>
      <c r="K4428" s="82"/>
      <c r="L4428" s="123"/>
      <c r="M4428" s="3"/>
      <c r="N4428" s="3"/>
      <c r="O4428" s="3"/>
      <c r="P4428" s="125"/>
      <c r="Q4428" s="125"/>
      <c r="R4428" s="127"/>
      <c r="S4428" s="123"/>
      <c r="T4428" s="3"/>
      <c r="W4428" s="86"/>
      <c r="Y4428" s="75"/>
    </row>
    <row r="4429" spans="1:25" x14ac:dyDescent="0.25">
      <c r="A4429" s="75"/>
      <c r="C4429" s="81"/>
      <c r="D4429" s="81"/>
      <c r="I4429" s="81"/>
      <c r="K4429" s="82"/>
      <c r="L4429" s="123"/>
      <c r="M4429" s="3"/>
      <c r="N4429" s="3"/>
      <c r="O4429" s="3"/>
      <c r="P4429" s="125"/>
      <c r="Q4429" s="125"/>
      <c r="R4429" s="127"/>
      <c r="S4429" s="123"/>
      <c r="T4429" s="3"/>
      <c r="W4429" s="86"/>
      <c r="Y4429" s="75"/>
    </row>
    <row r="4430" spans="1:25" x14ac:dyDescent="0.25">
      <c r="A4430" s="75"/>
      <c r="C4430" s="81"/>
      <c r="D4430" s="81"/>
      <c r="I4430" s="81"/>
      <c r="K4430" s="82"/>
      <c r="L4430" s="123"/>
      <c r="M4430" s="3"/>
      <c r="N4430" s="3"/>
      <c r="O4430" s="3"/>
      <c r="P4430" s="125"/>
      <c r="Q4430" s="125"/>
      <c r="R4430" s="127"/>
      <c r="S4430" s="123"/>
      <c r="T4430" s="3"/>
      <c r="W4430" s="86"/>
      <c r="Y4430" s="75"/>
    </row>
    <row r="4431" spans="1:25" x14ac:dyDescent="0.25">
      <c r="A4431" s="75"/>
      <c r="C4431" s="81"/>
      <c r="D4431" s="81"/>
      <c r="I4431" s="81"/>
      <c r="K4431" s="82"/>
      <c r="L4431" s="123"/>
      <c r="M4431" s="3"/>
      <c r="N4431" s="3"/>
      <c r="O4431" s="3"/>
      <c r="P4431" s="125"/>
      <c r="Q4431" s="125"/>
      <c r="R4431" s="127"/>
      <c r="S4431" s="123"/>
      <c r="T4431" s="3"/>
      <c r="W4431" s="86"/>
      <c r="Y4431" s="75"/>
    </row>
    <row r="4432" spans="1:25" x14ac:dyDescent="0.25">
      <c r="A4432" s="75"/>
      <c r="C4432" s="81"/>
      <c r="D4432" s="81"/>
      <c r="I4432" s="81"/>
      <c r="K4432" s="82"/>
      <c r="L4432" s="123"/>
      <c r="M4432" s="3"/>
      <c r="N4432" s="3"/>
      <c r="O4432" s="3"/>
      <c r="P4432" s="125"/>
      <c r="Q4432" s="125"/>
      <c r="R4432" s="127"/>
      <c r="S4432" s="123"/>
      <c r="T4432" s="3"/>
      <c r="W4432" s="86"/>
      <c r="Y4432" s="75"/>
    </row>
    <row r="4433" spans="1:25" x14ac:dyDescent="0.25">
      <c r="A4433" s="75"/>
      <c r="C4433" s="81"/>
      <c r="D4433" s="81"/>
      <c r="I4433" s="81"/>
      <c r="K4433" s="82"/>
      <c r="L4433" s="123"/>
      <c r="M4433" s="3"/>
      <c r="N4433" s="3"/>
      <c r="O4433" s="3"/>
      <c r="P4433" s="125"/>
      <c r="Q4433" s="125"/>
      <c r="R4433" s="127"/>
      <c r="S4433" s="123"/>
      <c r="T4433" s="3"/>
      <c r="W4433" s="86"/>
      <c r="Y4433" s="75"/>
    </row>
    <row r="4434" spans="1:25" x14ac:dyDescent="0.25">
      <c r="A4434" s="75"/>
      <c r="C4434" s="81"/>
      <c r="D4434" s="81"/>
      <c r="I4434" s="81"/>
      <c r="K4434" s="82"/>
      <c r="L4434" s="123"/>
      <c r="M4434" s="3"/>
      <c r="N4434" s="3"/>
      <c r="O4434" s="3"/>
      <c r="P4434" s="125"/>
      <c r="Q4434" s="125"/>
      <c r="R4434" s="127"/>
      <c r="S4434" s="123"/>
      <c r="T4434" s="3"/>
      <c r="W4434" s="86"/>
      <c r="Y4434" s="75"/>
    </row>
    <row r="4435" spans="1:25" x14ac:dyDescent="0.25">
      <c r="A4435" s="75"/>
      <c r="C4435" s="81"/>
      <c r="D4435" s="81"/>
      <c r="I4435" s="81"/>
      <c r="K4435" s="82"/>
      <c r="L4435" s="123"/>
      <c r="M4435" s="3"/>
      <c r="N4435" s="3"/>
      <c r="O4435" s="3"/>
      <c r="P4435" s="125"/>
      <c r="Q4435" s="125"/>
      <c r="R4435" s="127"/>
      <c r="S4435" s="123"/>
      <c r="T4435" s="3"/>
      <c r="W4435" s="86"/>
      <c r="Y4435" s="75"/>
    </row>
    <row r="4436" spans="1:25" x14ac:dyDescent="0.25">
      <c r="A4436" s="75"/>
      <c r="C4436" s="81"/>
      <c r="D4436" s="81"/>
      <c r="I4436" s="81"/>
      <c r="K4436" s="82"/>
      <c r="L4436" s="123"/>
      <c r="M4436" s="3"/>
      <c r="N4436" s="3"/>
      <c r="O4436" s="3"/>
      <c r="P4436" s="125"/>
      <c r="Q4436" s="125"/>
      <c r="R4436" s="127"/>
      <c r="S4436" s="123"/>
      <c r="T4436" s="3"/>
      <c r="W4436" s="86"/>
      <c r="Y4436" s="75"/>
    </row>
    <row r="4437" spans="1:25" x14ac:dyDescent="0.25">
      <c r="A4437" s="75"/>
      <c r="C4437" s="81"/>
      <c r="D4437" s="81"/>
      <c r="I4437" s="81"/>
      <c r="K4437" s="82"/>
      <c r="L4437" s="123"/>
      <c r="M4437" s="3"/>
      <c r="N4437" s="3"/>
      <c r="O4437" s="3"/>
      <c r="P4437" s="125"/>
      <c r="Q4437" s="125"/>
      <c r="R4437" s="127"/>
      <c r="S4437" s="123"/>
      <c r="T4437" s="3"/>
      <c r="W4437" s="86"/>
      <c r="Y4437" s="75"/>
    </row>
    <row r="4438" spans="1:25" x14ac:dyDescent="0.25">
      <c r="A4438" s="75"/>
      <c r="C4438" s="81"/>
      <c r="D4438" s="81"/>
      <c r="I4438" s="81"/>
      <c r="K4438" s="82"/>
      <c r="L4438" s="123"/>
      <c r="M4438" s="3"/>
      <c r="N4438" s="3"/>
      <c r="O4438" s="3"/>
      <c r="P4438" s="125"/>
      <c r="Q4438" s="125"/>
      <c r="R4438" s="127"/>
      <c r="S4438" s="123"/>
      <c r="T4438" s="3"/>
      <c r="W4438" s="86"/>
      <c r="Y4438" s="75"/>
    </row>
    <row r="4439" spans="1:25" x14ac:dyDescent="0.25">
      <c r="A4439" s="75"/>
      <c r="C4439" s="81"/>
      <c r="D4439" s="81"/>
      <c r="I4439" s="81"/>
      <c r="K4439" s="82"/>
      <c r="L4439" s="123"/>
      <c r="M4439" s="3"/>
      <c r="N4439" s="3"/>
      <c r="O4439" s="3"/>
      <c r="P4439" s="125"/>
      <c r="Q4439" s="125"/>
      <c r="R4439" s="127"/>
      <c r="S4439" s="123"/>
      <c r="T4439" s="3"/>
      <c r="W4439" s="86"/>
      <c r="Y4439" s="75"/>
    </row>
    <row r="4440" spans="1:25" x14ac:dyDescent="0.25">
      <c r="A4440" s="75"/>
      <c r="C4440" s="81"/>
      <c r="D4440" s="81"/>
      <c r="I4440" s="81"/>
      <c r="K4440" s="82"/>
      <c r="L4440" s="123"/>
      <c r="M4440" s="3"/>
      <c r="N4440" s="3"/>
      <c r="O4440" s="3"/>
      <c r="P4440" s="125"/>
      <c r="Q4440" s="125"/>
      <c r="R4440" s="127"/>
      <c r="S4440" s="123"/>
      <c r="T4440" s="3"/>
      <c r="W4440" s="86"/>
      <c r="Y4440" s="75"/>
    </row>
    <row r="4441" spans="1:25" x14ac:dyDescent="0.25">
      <c r="A4441" s="75"/>
      <c r="C4441" s="81"/>
      <c r="D4441" s="81"/>
      <c r="I4441" s="81"/>
      <c r="K4441" s="82"/>
      <c r="L4441" s="123"/>
      <c r="M4441" s="3"/>
      <c r="N4441" s="3"/>
      <c r="O4441" s="3"/>
      <c r="P4441" s="125"/>
      <c r="Q4441" s="125"/>
      <c r="R4441" s="127"/>
      <c r="S4441" s="123"/>
      <c r="T4441" s="3"/>
      <c r="W4441" s="86"/>
      <c r="Y4441" s="75"/>
    </row>
    <row r="4442" spans="1:25" x14ac:dyDescent="0.25">
      <c r="A4442" s="75"/>
      <c r="C4442" s="81"/>
      <c r="D4442" s="81"/>
      <c r="I4442" s="81"/>
      <c r="K4442" s="82"/>
      <c r="L4442" s="123"/>
      <c r="M4442" s="3"/>
      <c r="N4442" s="3"/>
      <c r="O4442" s="3"/>
      <c r="P4442" s="125"/>
      <c r="Q4442" s="125"/>
      <c r="R4442" s="127"/>
      <c r="S4442" s="123"/>
      <c r="T4442" s="3"/>
      <c r="W4442" s="86"/>
      <c r="Y4442" s="75"/>
    </row>
    <row r="4443" spans="1:25" x14ac:dyDescent="0.25">
      <c r="A4443" s="75"/>
      <c r="C4443" s="81"/>
      <c r="D4443" s="81"/>
      <c r="I4443" s="81"/>
      <c r="K4443" s="82"/>
      <c r="L4443" s="123"/>
      <c r="M4443" s="3"/>
      <c r="N4443" s="3"/>
      <c r="O4443" s="3"/>
      <c r="P4443" s="125"/>
      <c r="Q4443" s="125"/>
      <c r="R4443" s="127"/>
      <c r="S4443" s="123"/>
      <c r="T4443" s="3"/>
      <c r="W4443" s="86"/>
      <c r="Y4443" s="75"/>
    </row>
    <row r="4444" spans="1:25" x14ac:dyDescent="0.25">
      <c r="A4444" s="75"/>
      <c r="C4444" s="81"/>
      <c r="D4444" s="81"/>
      <c r="I4444" s="81"/>
      <c r="K4444" s="82"/>
      <c r="L4444" s="123"/>
      <c r="M4444" s="3"/>
      <c r="N4444" s="3"/>
      <c r="O4444" s="3"/>
      <c r="P4444" s="125"/>
      <c r="Q4444" s="125"/>
      <c r="R4444" s="127"/>
      <c r="S4444" s="123"/>
      <c r="T4444" s="3"/>
      <c r="W4444" s="86"/>
      <c r="Y4444" s="75"/>
    </row>
    <row r="4445" spans="1:25" x14ac:dyDescent="0.25">
      <c r="A4445" s="75"/>
      <c r="C4445" s="81"/>
      <c r="D4445" s="81"/>
      <c r="I4445" s="81"/>
      <c r="K4445" s="82"/>
      <c r="L4445" s="123"/>
      <c r="M4445" s="3"/>
      <c r="N4445" s="3"/>
      <c r="O4445" s="3"/>
      <c r="P4445" s="125"/>
      <c r="Q4445" s="125"/>
      <c r="R4445" s="127"/>
      <c r="S4445" s="123"/>
      <c r="T4445" s="3"/>
      <c r="W4445" s="86"/>
      <c r="Y4445" s="75"/>
    </row>
    <row r="4446" spans="1:25" x14ac:dyDescent="0.25">
      <c r="A4446" s="75"/>
      <c r="C4446" s="81"/>
      <c r="D4446" s="81"/>
      <c r="I4446" s="81"/>
      <c r="K4446" s="82"/>
      <c r="L4446" s="123"/>
      <c r="M4446" s="3"/>
      <c r="N4446" s="3"/>
      <c r="O4446" s="3"/>
      <c r="P4446" s="125"/>
      <c r="Q4446" s="125"/>
      <c r="R4446" s="127"/>
      <c r="S4446" s="123"/>
      <c r="T4446" s="3"/>
      <c r="W4446" s="86"/>
      <c r="Y4446" s="75"/>
    </row>
    <row r="4447" spans="1:25" x14ac:dyDescent="0.25">
      <c r="A4447" s="75"/>
      <c r="C4447" s="81"/>
      <c r="D4447" s="81"/>
      <c r="I4447" s="81"/>
      <c r="K4447" s="82"/>
      <c r="L4447" s="123"/>
      <c r="M4447" s="3"/>
      <c r="N4447" s="3"/>
      <c r="O4447" s="3"/>
      <c r="P4447" s="125"/>
      <c r="Q4447" s="125"/>
      <c r="R4447" s="127"/>
      <c r="S4447" s="123"/>
      <c r="T4447" s="3"/>
      <c r="W4447" s="86"/>
      <c r="Y4447" s="75"/>
    </row>
    <row r="4448" spans="1:25" x14ac:dyDescent="0.25">
      <c r="A4448" s="75"/>
      <c r="C4448" s="81"/>
      <c r="D4448" s="81"/>
      <c r="I4448" s="81"/>
      <c r="K4448" s="82"/>
      <c r="L4448" s="123"/>
      <c r="M4448" s="3"/>
      <c r="N4448" s="3"/>
      <c r="O4448" s="3"/>
      <c r="P4448" s="125"/>
      <c r="Q4448" s="125"/>
      <c r="R4448" s="127"/>
      <c r="S4448" s="123"/>
      <c r="T4448" s="3"/>
      <c r="W4448" s="86"/>
      <c r="Y4448" s="75"/>
    </row>
    <row r="4449" spans="1:25" x14ac:dyDescent="0.25">
      <c r="A4449" s="75"/>
      <c r="C4449" s="81"/>
      <c r="D4449" s="81"/>
      <c r="I4449" s="81"/>
      <c r="K4449" s="82"/>
      <c r="L4449" s="123"/>
      <c r="M4449" s="3"/>
      <c r="N4449" s="3"/>
      <c r="O4449" s="3"/>
      <c r="P4449" s="125"/>
      <c r="Q4449" s="125"/>
      <c r="R4449" s="127"/>
      <c r="S4449" s="123"/>
      <c r="T4449" s="3"/>
      <c r="W4449" s="86"/>
      <c r="Y4449" s="75"/>
    </row>
    <row r="4450" spans="1:25" x14ac:dyDescent="0.25">
      <c r="A4450" s="75"/>
      <c r="C4450" s="81"/>
      <c r="D4450" s="81"/>
      <c r="I4450" s="81"/>
      <c r="K4450" s="82"/>
      <c r="L4450" s="123"/>
      <c r="M4450" s="3"/>
      <c r="N4450" s="3"/>
      <c r="O4450" s="3"/>
      <c r="P4450" s="125"/>
      <c r="Q4450" s="125"/>
      <c r="R4450" s="127"/>
      <c r="S4450" s="123"/>
      <c r="T4450" s="3"/>
      <c r="W4450" s="86"/>
      <c r="Y4450" s="75"/>
    </row>
    <row r="4451" spans="1:25" x14ac:dyDescent="0.25">
      <c r="A4451" s="75"/>
      <c r="C4451" s="81"/>
      <c r="D4451" s="81"/>
      <c r="I4451" s="81"/>
      <c r="K4451" s="82"/>
      <c r="L4451" s="123"/>
      <c r="M4451" s="3"/>
      <c r="N4451" s="3"/>
      <c r="O4451" s="3"/>
      <c r="P4451" s="125"/>
      <c r="Q4451" s="125"/>
      <c r="R4451" s="127"/>
      <c r="S4451" s="123"/>
      <c r="T4451" s="3"/>
      <c r="W4451" s="86"/>
      <c r="Y4451" s="75"/>
    </row>
    <row r="4452" spans="1:25" x14ac:dyDescent="0.25">
      <c r="A4452" s="75"/>
      <c r="C4452" s="81"/>
      <c r="D4452" s="81"/>
      <c r="I4452" s="81"/>
      <c r="K4452" s="82"/>
      <c r="L4452" s="123"/>
      <c r="M4452" s="3"/>
      <c r="N4452" s="3"/>
      <c r="O4452" s="3"/>
      <c r="P4452" s="125"/>
      <c r="Q4452" s="125"/>
      <c r="R4452" s="127"/>
      <c r="S4452" s="123"/>
      <c r="T4452" s="3"/>
      <c r="W4452" s="86"/>
      <c r="Y4452" s="75"/>
    </row>
    <row r="4453" spans="1:25" x14ac:dyDescent="0.25">
      <c r="A4453" s="75"/>
      <c r="C4453" s="81"/>
      <c r="D4453" s="81"/>
      <c r="I4453" s="81"/>
      <c r="K4453" s="82"/>
      <c r="L4453" s="123"/>
      <c r="M4453" s="3"/>
      <c r="N4453" s="3"/>
      <c r="O4453" s="3"/>
      <c r="P4453" s="125"/>
      <c r="Q4453" s="125"/>
      <c r="R4453" s="127"/>
      <c r="S4453" s="123"/>
      <c r="T4453" s="3"/>
      <c r="W4453" s="86"/>
      <c r="Y4453" s="75"/>
    </row>
    <row r="4454" spans="1:25" x14ac:dyDescent="0.25">
      <c r="A4454" s="75"/>
      <c r="C4454" s="81"/>
      <c r="D4454" s="81"/>
      <c r="I4454" s="81"/>
      <c r="K4454" s="82"/>
      <c r="L4454" s="123"/>
      <c r="M4454" s="3"/>
      <c r="N4454" s="3"/>
      <c r="O4454" s="3"/>
      <c r="P4454" s="125"/>
      <c r="Q4454" s="125"/>
      <c r="R4454" s="127"/>
      <c r="S4454" s="123"/>
      <c r="T4454" s="3"/>
      <c r="W4454" s="86"/>
      <c r="Y4454" s="75"/>
    </row>
    <row r="4455" spans="1:25" x14ac:dyDescent="0.25">
      <c r="A4455" s="75"/>
      <c r="C4455" s="81"/>
      <c r="D4455" s="81"/>
      <c r="I4455" s="81"/>
      <c r="K4455" s="82"/>
      <c r="L4455" s="123"/>
      <c r="M4455" s="3"/>
      <c r="N4455" s="3"/>
      <c r="O4455" s="3"/>
      <c r="P4455" s="125"/>
      <c r="Q4455" s="125"/>
      <c r="R4455" s="127"/>
      <c r="S4455" s="123"/>
      <c r="T4455" s="3"/>
      <c r="W4455" s="86"/>
      <c r="Y4455" s="75"/>
    </row>
    <row r="4456" spans="1:25" x14ac:dyDescent="0.25">
      <c r="A4456" s="75"/>
      <c r="C4456" s="81"/>
      <c r="D4456" s="81"/>
      <c r="I4456" s="81"/>
      <c r="K4456" s="82"/>
      <c r="L4456" s="123"/>
      <c r="M4456" s="3"/>
      <c r="N4456" s="3"/>
      <c r="O4456" s="3"/>
      <c r="P4456" s="125"/>
      <c r="Q4456" s="125"/>
      <c r="R4456" s="127"/>
      <c r="S4456" s="123"/>
      <c r="T4456" s="3"/>
      <c r="W4456" s="86"/>
      <c r="Y4456" s="75"/>
    </row>
    <row r="4457" spans="1:25" x14ac:dyDescent="0.25">
      <c r="A4457" s="75"/>
      <c r="C4457" s="81"/>
      <c r="D4457" s="81"/>
      <c r="I4457" s="81"/>
      <c r="K4457" s="82"/>
      <c r="L4457" s="123"/>
      <c r="M4457" s="3"/>
      <c r="N4457" s="3"/>
      <c r="O4457" s="3"/>
      <c r="P4457" s="125"/>
      <c r="Q4457" s="125"/>
      <c r="R4457" s="127"/>
      <c r="S4457" s="123"/>
      <c r="T4457" s="3"/>
      <c r="W4457" s="86"/>
      <c r="Y4457" s="75"/>
    </row>
    <row r="4458" spans="1:25" x14ac:dyDescent="0.25">
      <c r="A4458" s="75"/>
      <c r="C4458" s="81"/>
      <c r="D4458" s="81"/>
      <c r="I4458" s="81"/>
      <c r="K4458" s="82"/>
      <c r="L4458" s="123"/>
      <c r="M4458" s="3"/>
      <c r="N4458" s="3"/>
      <c r="O4458" s="3"/>
      <c r="P4458" s="125"/>
      <c r="Q4458" s="125"/>
      <c r="R4458" s="127"/>
      <c r="S4458" s="123"/>
      <c r="T4458" s="3"/>
      <c r="W4458" s="86"/>
      <c r="Y4458" s="75"/>
    </row>
    <row r="4459" spans="1:25" x14ac:dyDescent="0.25">
      <c r="A4459" s="75"/>
      <c r="C4459" s="81"/>
      <c r="D4459" s="81"/>
      <c r="I4459" s="81"/>
      <c r="K4459" s="82"/>
      <c r="L4459" s="123"/>
      <c r="M4459" s="3"/>
      <c r="N4459" s="3"/>
      <c r="O4459" s="3"/>
      <c r="P4459" s="125"/>
      <c r="Q4459" s="125"/>
      <c r="R4459" s="127"/>
      <c r="S4459" s="123"/>
      <c r="T4459" s="3"/>
      <c r="W4459" s="86"/>
      <c r="Y4459" s="75"/>
    </row>
    <row r="4460" spans="1:25" x14ac:dyDescent="0.25">
      <c r="A4460" s="75"/>
      <c r="C4460" s="81"/>
      <c r="D4460" s="81"/>
      <c r="I4460" s="81"/>
      <c r="K4460" s="82"/>
      <c r="L4460" s="123"/>
      <c r="M4460" s="3"/>
      <c r="N4460" s="3"/>
      <c r="O4460" s="3"/>
      <c r="P4460" s="125"/>
      <c r="Q4460" s="125"/>
      <c r="R4460" s="127"/>
      <c r="S4460" s="123"/>
      <c r="T4460" s="3"/>
      <c r="W4460" s="86"/>
      <c r="Y4460" s="75"/>
    </row>
    <row r="4461" spans="1:25" x14ac:dyDescent="0.25">
      <c r="A4461" s="75"/>
      <c r="C4461" s="81"/>
      <c r="D4461" s="81"/>
      <c r="I4461" s="81"/>
      <c r="K4461" s="82"/>
      <c r="L4461" s="123"/>
      <c r="M4461" s="3"/>
      <c r="N4461" s="3"/>
      <c r="O4461" s="3"/>
      <c r="P4461" s="125"/>
      <c r="Q4461" s="125"/>
      <c r="R4461" s="127"/>
      <c r="S4461" s="123"/>
      <c r="T4461" s="3"/>
      <c r="W4461" s="86"/>
      <c r="Y4461" s="75"/>
    </row>
    <row r="4462" spans="1:25" x14ac:dyDescent="0.25">
      <c r="A4462" s="75"/>
      <c r="C4462" s="81"/>
      <c r="D4462" s="81"/>
      <c r="I4462" s="81"/>
      <c r="K4462" s="82"/>
      <c r="L4462" s="123"/>
      <c r="M4462" s="3"/>
      <c r="N4462" s="3"/>
      <c r="O4462" s="3"/>
      <c r="P4462" s="125"/>
      <c r="Q4462" s="125"/>
      <c r="R4462" s="127"/>
      <c r="S4462" s="123"/>
      <c r="T4462" s="3"/>
      <c r="W4462" s="86"/>
      <c r="Y4462" s="75"/>
    </row>
    <row r="4463" spans="1:25" x14ac:dyDescent="0.25">
      <c r="A4463" s="75"/>
      <c r="C4463" s="81"/>
      <c r="D4463" s="81"/>
      <c r="I4463" s="81"/>
      <c r="K4463" s="82"/>
      <c r="L4463" s="123"/>
      <c r="M4463" s="3"/>
      <c r="N4463" s="3"/>
      <c r="O4463" s="3"/>
      <c r="P4463" s="125"/>
      <c r="Q4463" s="125"/>
      <c r="R4463" s="127"/>
      <c r="S4463" s="123"/>
      <c r="T4463" s="3"/>
      <c r="W4463" s="86"/>
      <c r="Y4463" s="75"/>
    </row>
    <row r="4464" spans="1:25" x14ac:dyDescent="0.25">
      <c r="A4464" s="75"/>
      <c r="C4464" s="81"/>
      <c r="D4464" s="81"/>
      <c r="I4464" s="81"/>
      <c r="K4464" s="82"/>
      <c r="L4464" s="123"/>
      <c r="M4464" s="3"/>
      <c r="N4464" s="3"/>
      <c r="O4464" s="3"/>
      <c r="P4464" s="125"/>
      <c r="Q4464" s="125"/>
      <c r="R4464" s="127"/>
      <c r="S4464" s="123"/>
      <c r="T4464" s="3"/>
      <c r="W4464" s="86"/>
      <c r="Y4464" s="75"/>
    </row>
    <row r="4465" spans="1:25" x14ac:dyDescent="0.25">
      <c r="A4465" s="75"/>
      <c r="C4465" s="81"/>
      <c r="D4465" s="81"/>
      <c r="I4465" s="81"/>
      <c r="K4465" s="82"/>
      <c r="L4465" s="123"/>
      <c r="M4465" s="3"/>
      <c r="N4465" s="3"/>
      <c r="O4465" s="3"/>
      <c r="P4465" s="125"/>
      <c r="Q4465" s="125"/>
      <c r="R4465" s="127"/>
      <c r="S4465" s="123"/>
      <c r="T4465" s="3"/>
      <c r="W4465" s="86"/>
      <c r="Y4465" s="75"/>
    </row>
    <row r="4466" spans="1:25" x14ac:dyDescent="0.25">
      <c r="A4466" s="75"/>
      <c r="C4466" s="81"/>
      <c r="D4466" s="81"/>
      <c r="I4466" s="81"/>
      <c r="K4466" s="82"/>
      <c r="L4466" s="123"/>
      <c r="M4466" s="3"/>
      <c r="N4466" s="3"/>
      <c r="O4466" s="3"/>
      <c r="P4466" s="125"/>
      <c r="Q4466" s="125"/>
      <c r="R4466" s="127"/>
      <c r="S4466" s="123"/>
      <c r="T4466" s="3"/>
      <c r="W4466" s="86"/>
      <c r="Y4466" s="75"/>
    </row>
    <row r="4467" spans="1:25" x14ac:dyDescent="0.25">
      <c r="A4467" s="75"/>
      <c r="C4467" s="81"/>
      <c r="D4467" s="81"/>
      <c r="I4467" s="81"/>
      <c r="K4467" s="82"/>
      <c r="L4467" s="123"/>
      <c r="M4467" s="3"/>
      <c r="N4467" s="3"/>
      <c r="O4467" s="3"/>
      <c r="P4467" s="125"/>
      <c r="Q4467" s="125"/>
      <c r="R4467" s="127"/>
      <c r="S4467" s="123"/>
      <c r="T4467" s="3"/>
      <c r="W4467" s="86"/>
      <c r="Y4467" s="75"/>
    </row>
    <row r="4468" spans="1:25" x14ac:dyDescent="0.25">
      <c r="A4468" s="75"/>
      <c r="C4468" s="81"/>
      <c r="D4468" s="81"/>
      <c r="I4468" s="81"/>
      <c r="K4468" s="82"/>
      <c r="L4468" s="123"/>
      <c r="M4468" s="3"/>
      <c r="N4468" s="3"/>
      <c r="O4468" s="3"/>
      <c r="P4468" s="125"/>
      <c r="Q4468" s="125"/>
      <c r="R4468" s="127"/>
      <c r="S4468" s="123"/>
      <c r="T4468" s="3"/>
      <c r="W4468" s="86"/>
      <c r="Y4468" s="75"/>
    </row>
    <row r="4469" spans="1:25" x14ac:dyDescent="0.25">
      <c r="A4469" s="75"/>
      <c r="C4469" s="81"/>
      <c r="D4469" s="81"/>
      <c r="I4469" s="81"/>
      <c r="K4469" s="82"/>
      <c r="L4469" s="123"/>
      <c r="M4469" s="3"/>
      <c r="N4469" s="3"/>
      <c r="O4469" s="3"/>
      <c r="P4469" s="125"/>
      <c r="Q4469" s="125"/>
      <c r="R4469" s="127"/>
      <c r="S4469" s="123"/>
      <c r="T4469" s="3"/>
      <c r="W4469" s="86"/>
      <c r="Y4469" s="75"/>
    </row>
    <row r="4470" spans="1:25" x14ac:dyDescent="0.25">
      <c r="A4470" s="75"/>
      <c r="C4470" s="81"/>
      <c r="D4470" s="81"/>
      <c r="I4470" s="81"/>
      <c r="K4470" s="82"/>
      <c r="L4470" s="123"/>
      <c r="M4470" s="3"/>
      <c r="N4470" s="3"/>
      <c r="O4470" s="3"/>
      <c r="P4470" s="125"/>
      <c r="Q4470" s="125"/>
      <c r="R4470" s="127"/>
      <c r="S4470" s="123"/>
      <c r="T4470" s="3"/>
      <c r="W4470" s="86"/>
      <c r="Y4470" s="75"/>
    </row>
    <row r="4471" spans="1:25" x14ac:dyDescent="0.25">
      <c r="A4471" s="75"/>
      <c r="C4471" s="81"/>
      <c r="D4471" s="81"/>
      <c r="I4471" s="81"/>
      <c r="K4471" s="82"/>
      <c r="L4471" s="123"/>
      <c r="M4471" s="3"/>
      <c r="N4471" s="3"/>
      <c r="O4471" s="3"/>
      <c r="P4471" s="125"/>
      <c r="Q4471" s="125"/>
      <c r="R4471" s="127"/>
      <c r="S4471" s="123"/>
      <c r="T4471" s="3"/>
      <c r="W4471" s="86"/>
      <c r="Y4471" s="75"/>
    </row>
    <row r="4472" spans="1:25" x14ac:dyDescent="0.25">
      <c r="A4472" s="75"/>
      <c r="C4472" s="81"/>
      <c r="D4472" s="81"/>
      <c r="I4472" s="81"/>
      <c r="K4472" s="82"/>
      <c r="L4472" s="123"/>
      <c r="M4472" s="3"/>
      <c r="N4472" s="3"/>
      <c r="O4472" s="3"/>
      <c r="P4472" s="125"/>
      <c r="Q4472" s="125"/>
      <c r="R4472" s="127"/>
      <c r="S4472" s="123"/>
      <c r="T4472" s="3"/>
      <c r="W4472" s="86"/>
      <c r="Y4472" s="75"/>
    </row>
    <row r="4473" spans="1:25" x14ac:dyDescent="0.25">
      <c r="A4473" s="75"/>
      <c r="C4473" s="81"/>
      <c r="D4473" s="81"/>
      <c r="I4473" s="81"/>
      <c r="K4473" s="82"/>
      <c r="L4473" s="123"/>
      <c r="M4473" s="3"/>
      <c r="N4473" s="3"/>
      <c r="O4473" s="3"/>
      <c r="P4473" s="125"/>
      <c r="Q4473" s="125"/>
      <c r="R4473" s="127"/>
      <c r="S4473" s="123"/>
      <c r="T4473" s="3"/>
      <c r="W4473" s="86"/>
      <c r="Y4473" s="75"/>
    </row>
    <row r="4474" spans="1:25" x14ac:dyDescent="0.25">
      <c r="A4474" s="75"/>
      <c r="C4474" s="81"/>
      <c r="D4474" s="81"/>
      <c r="I4474" s="81"/>
      <c r="K4474" s="82"/>
      <c r="L4474" s="123"/>
      <c r="M4474" s="3"/>
      <c r="N4474" s="3"/>
      <c r="O4474" s="3"/>
      <c r="P4474" s="125"/>
      <c r="Q4474" s="125"/>
      <c r="R4474" s="127"/>
      <c r="S4474" s="123"/>
      <c r="T4474" s="3"/>
      <c r="W4474" s="86"/>
      <c r="Y4474" s="75"/>
    </row>
    <row r="4475" spans="1:25" x14ac:dyDescent="0.25">
      <c r="A4475" s="75"/>
      <c r="C4475" s="81"/>
      <c r="D4475" s="81"/>
      <c r="I4475" s="81"/>
      <c r="K4475" s="82"/>
      <c r="L4475" s="123"/>
      <c r="M4475" s="3"/>
      <c r="N4475" s="3"/>
      <c r="O4475" s="3"/>
      <c r="P4475" s="125"/>
      <c r="Q4475" s="125"/>
      <c r="R4475" s="127"/>
      <c r="S4475" s="123"/>
      <c r="T4475" s="3"/>
      <c r="W4475" s="86"/>
      <c r="Y4475" s="75"/>
    </row>
    <row r="4476" spans="1:25" x14ac:dyDescent="0.25">
      <c r="A4476" s="75"/>
      <c r="C4476" s="81"/>
      <c r="D4476" s="81"/>
      <c r="I4476" s="81"/>
      <c r="K4476" s="82"/>
      <c r="L4476" s="123"/>
      <c r="M4476" s="3"/>
      <c r="N4476" s="3"/>
      <c r="O4476" s="3"/>
      <c r="P4476" s="125"/>
      <c r="Q4476" s="125"/>
      <c r="R4476" s="127"/>
      <c r="S4476" s="123"/>
      <c r="T4476" s="3"/>
      <c r="W4476" s="86"/>
      <c r="Y4476" s="75"/>
    </row>
    <row r="4477" spans="1:25" x14ac:dyDescent="0.25">
      <c r="A4477" s="75"/>
      <c r="C4477" s="81"/>
      <c r="D4477" s="81"/>
      <c r="I4477" s="81"/>
      <c r="K4477" s="82"/>
      <c r="L4477" s="123"/>
      <c r="M4477" s="3"/>
      <c r="N4477" s="3"/>
      <c r="O4477" s="3"/>
      <c r="P4477" s="125"/>
      <c r="Q4477" s="125"/>
      <c r="R4477" s="127"/>
      <c r="S4477" s="123"/>
      <c r="T4477" s="3"/>
      <c r="W4477" s="86"/>
      <c r="Y4477" s="75"/>
    </row>
    <row r="4478" spans="1:25" x14ac:dyDescent="0.25">
      <c r="A4478" s="75"/>
      <c r="C4478" s="81"/>
      <c r="D4478" s="81"/>
      <c r="I4478" s="81"/>
      <c r="K4478" s="82"/>
      <c r="L4478" s="123"/>
      <c r="M4478" s="3"/>
      <c r="N4478" s="3"/>
      <c r="O4478" s="3"/>
      <c r="P4478" s="125"/>
      <c r="Q4478" s="125"/>
      <c r="R4478" s="127"/>
      <c r="S4478" s="123"/>
      <c r="T4478" s="3"/>
      <c r="W4478" s="86"/>
      <c r="Y4478" s="75"/>
    </row>
    <row r="4479" spans="1:25" x14ac:dyDescent="0.25">
      <c r="A4479" s="75"/>
      <c r="C4479" s="81"/>
      <c r="D4479" s="81"/>
      <c r="I4479" s="81"/>
      <c r="K4479" s="82"/>
      <c r="L4479" s="123"/>
      <c r="M4479" s="3"/>
      <c r="N4479" s="3"/>
      <c r="O4479" s="3"/>
      <c r="P4479" s="125"/>
      <c r="Q4479" s="125"/>
      <c r="R4479" s="127"/>
      <c r="S4479" s="123"/>
      <c r="T4479" s="3"/>
      <c r="W4479" s="86"/>
      <c r="Y4479" s="75"/>
    </row>
    <row r="4480" spans="1:25" x14ac:dyDescent="0.25">
      <c r="A4480" s="75"/>
      <c r="C4480" s="81"/>
      <c r="D4480" s="81"/>
      <c r="I4480" s="81"/>
      <c r="K4480" s="82"/>
      <c r="L4480" s="123"/>
      <c r="M4480" s="3"/>
      <c r="N4480" s="3"/>
      <c r="O4480" s="3"/>
      <c r="P4480" s="125"/>
      <c r="Q4480" s="125"/>
      <c r="R4480" s="127"/>
      <c r="S4480" s="123"/>
      <c r="T4480" s="3"/>
      <c r="W4480" s="86"/>
      <c r="Y4480" s="75"/>
    </row>
    <row r="4481" spans="1:25" x14ac:dyDescent="0.25">
      <c r="A4481" s="75"/>
      <c r="C4481" s="81"/>
      <c r="D4481" s="81"/>
      <c r="I4481" s="81"/>
      <c r="K4481" s="82"/>
      <c r="L4481" s="123"/>
      <c r="M4481" s="3"/>
      <c r="N4481" s="3"/>
      <c r="O4481" s="3"/>
      <c r="P4481" s="125"/>
      <c r="Q4481" s="125"/>
      <c r="R4481" s="127"/>
      <c r="S4481" s="123"/>
      <c r="T4481" s="3"/>
      <c r="W4481" s="86"/>
      <c r="Y4481" s="75"/>
    </row>
    <row r="4482" spans="1:25" x14ac:dyDescent="0.25">
      <c r="A4482" s="75"/>
      <c r="C4482" s="81"/>
      <c r="D4482" s="81"/>
      <c r="I4482" s="81"/>
      <c r="K4482" s="82"/>
      <c r="L4482" s="123"/>
      <c r="M4482" s="3"/>
      <c r="N4482" s="3"/>
      <c r="O4482" s="3"/>
      <c r="P4482" s="125"/>
      <c r="Q4482" s="125"/>
      <c r="R4482" s="127"/>
      <c r="S4482" s="123"/>
      <c r="T4482" s="3"/>
      <c r="W4482" s="86"/>
      <c r="Y4482" s="75"/>
    </row>
    <row r="4483" spans="1:25" x14ac:dyDescent="0.25">
      <c r="A4483" s="75"/>
      <c r="C4483" s="81"/>
      <c r="D4483" s="81"/>
      <c r="I4483" s="81"/>
      <c r="K4483" s="82"/>
      <c r="L4483" s="123"/>
      <c r="M4483" s="3"/>
      <c r="N4483" s="3"/>
      <c r="O4483" s="3"/>
      <c r="P4483" s="125"/>
      <c r="Q4483" s="125"/>
      <c r="R4483" s="127"/>
      <c r="S4483" s="123"/>
      <c r="T4483" s="3"/>
      <c r="W4483" s="86"/>
      <c r="Y4483" s="75"/>
    </row>
    <row r="4484" spans="1:25" x14ac:dyDescent="0.25">
      <c r="A4484" s="75"/>
      <c r="C4484" s="81"/>
      <c r="D4484" s="81"/>
      <c r="I4484" s="81"/>
      <c r="K4484" s="82"/>
      <c r="L4484" s="123"/>
      <c r="M4484" s="3"/>
      <c r="N4484" s="3"/>
      <c r="O4484" s="3"/>
      <c r="P4484" s="125"/>
      <c r="Q4484" s="125"/>
      <c r="R4484" s="127"/>
      <c r="S4484" s="123"/>
      <c r="T4484" s="3"/>
      <c r="W4484" s="86"/>
      <c r="Y4484" s="75"/>
    </row>
    <row r="4485" spans="1:25" x14ac:dyDescent="0.25">
      <c r="A4485" s="75"/>
      <c r="C4485" s="81"/>
      <c r="D4485" s="81"/>
      <c r="I4485" s="81"/>
      <c r="K4485" s="82"/>
      <c r="L4485" s="123"/>
      <c r="M4485" s="3"/>
      <c r="N4485" s="3"/>
      <c r="O4485" s="3"/>
      <c r="P4485" s="125"/>
      <c r="Q4485" s="125"/>
      <c r="R4485" s="127"/>
      <c r="S4485" s="123"/>
      <c r="T4485" s="3"/>
      <c r="W4485" s="86"/>
      <c r="Y4485" s="75"/>
    </row>
    <row r="4486" spans="1:25" x14ac:dyDescent="0.25">
      <c r="A4486" s="75"/>
      <c r="C4486" s="81"/>
      <c r="D4486" s="81"/>
      <c r="I4486" s="81"/>
      <c r="K4486" s="82"/>
      <c r="L4486" s="123"/>
      <c r="M4486" s="3"/>
      <c r="N4486" s="3"/>
      <c r="O4486" s="3"/>
      <c r="P4486" s="125"/>
      <c r="Q4486" s="125"/>
      <c r="R4486" s="127"/>
      <c r="S4486" s="123"/>
      <c r="T4486" s="3"/>
      <c r="W4486" s="86"/>
      <c r="Y4486" s="75"/>
    </row>
    <row r="4487" spans="1:25" x14ac:dyDescent="0.25">
      <c r="A4487" s="75"/>
      <c r="C4487" s="81"/>
      <c r="D4487" s="81"/>
      <c r="I4487" s="81"/>
      <c r="K4487" s="82"/>
      <c r="L4487" s="123"/>
      <c r="M4487" s="3"/>
      <c r="N4487" s="3"/>
      <c r="O4487" s="3"/>
      <c r="P4487" s="125"/>
      <c r="Q4487" s="125"/>
      <c r="R4487" s="127"/>
      <c r="S4487" s="123"/>
      <c r="T4487" s="3"/>
      <c r="W4487" s="86"/>
      <c r="Y4487" s="75"/>
    </row>
    <row r="4488" spans="1:25" x14ac:dyDescent="0.25">
      <c r="A4488" s="75"/>
      <c r="C4488" s="81"/>
      <c r="D4488" s="81"/>
      <c r="I4488" s="81"/>
      <c r="K4488" s="82"/>
      <c r="L4488" s="123"/>
      <c r="M4488" s="3"/>
      <c r="N4488" s="3"/>
      <c r="O4488" s="3"/>
      <c r="P4488" s="125"/>
      <c r="Q4488" s="125"/>
      <c r="R4488" s="127"/>
      <c r="S4488" s="123"/>
      <c r="T4488" s="3"/>
      <c r="W4488" s="86"/>
      <c r="Y4488" s="75"/>
    </row>
    <row r="4489" spans="1:25" x14ac:dyDescent="0.25">
      <c r="A4489" s="75"/>
      <c r="C4489" s="81"/>
      <c r="D4489" s="81"/>
      <c r="I4489" s="81"/>
      <c r="K4489" s="82"/>
      <c r="L4489" s="123"/>
      <c r="M4489" s="3"/>
      <c r="N4489" s="3"/>
      <c r="O4489" s="3"/>
      <c r="P4489" s="125"/>
      <c r="Q4489" s="125"/>
      <c r="R4489" s="127"/>
      <c r="S4489" s="123"/>
      <c r="T4489" s="3"/>
      <c r="W4489" s="86"/>
      <c r="Y4489" s="75"/>
    </row>
    <row r="4490" spans="1:25" x14ac:dyDescent="0.25">
      <c r="A4490" s="75"/>
      <c r="C4490" s="81"/>
      <c r="D4490" s="81"/>
      <c r="I4490" s="81"/>
      <c r="K4490" s="82"/>
      <c r="L4490" s="123"/>
      <c r="M4490" s="3"/>
      <c r="N4490" s="3"/>
      <c r="O4490" s="3"/>
      <c r="P4490" s="125"/>
      <c r="Q4490" s="125"/>
      <c r="R4490" s="127"/>
      <c r="S4490" s="123"/>
      <c r="T4490" s="3"/>
      <c r="W4490" s="86"/>
      <c r="Y4490" s="75"/>
    </row>
    <row r="4491" spans="1:25" x14ac:dyDescent="0.25">
      <c r="A4491" s="75"/>
      <c r="C4491" s="81"/>
      <c r="D4491" s="81"/>
      <c r="I4491" s="81"/>
      <c r="K4491" s="82"/>
      <c r="L4491" s="123"/>
      <c r="M4491" s="3"/>
      <c r="N4491" s="3"/>
      <c r="O4491" s="3"/>
      <c r="P4491" s="125"/>
      <c r="Q4491" s="125"/>
      <c r="R4491" s="127"/>
      <c r="S4491" s="123"/>
      <c r="T4491" s="3"/>
      <c r="W4491" s="86"/>
      <c r="Y4491" s="75"/>
    </row>
    <row r="4492" spans="1:25" x14ac:dyDescent="0.25">
      <c r="A4492" s="75"/>
      <c r="C4492" s="81"/>
      <c r="D4492" s="81"/>
      <c r="I4492" s="81"/>
      <c r="K4492" s="82"/>
      <c r="L4492" s="123"/>
      <c r="M4492" s="3"/>
      <c r="N4492" s="3"/>
      <c r="O4492" s="3"/>
      <c r="P4492" s="125"/>
      <c r="Q4492" s="125"/>
      <c r="R4492" s="127"/>
      <c r="S4492" s="123"/>
      <c r="T4492" s="3"/>
      <c r="W4492" s="86"/>
      <c r="Y4492" s="75"/>
    </row>
    <row r="4493" spans="1:25" x14ac:dyDescent="0.25">
      <c r="A4493" s="75"/>
      <c r="C4493" s="81"/>
      <c r="D4493" s="81"/>
      <c r="I4493" s="81"/>
      <c r="K4493" s="82"/>
      <c r="L4493" s="123"/>
      <c r="M4493" s="3"/>
      <c r="N4493" s="3"/>
      <c r="O4493" s="3"/>
      <c r="P4493" s="125"/>
      <c r="Q4493" s="125"/>
      <c r="R4493" s="127"/>
      <c r="S4493" s="123"/>
      <c r="T4493" s="3"/>
      <c r="W4493" s="86"/>
      <c r="Y4493" s="75"/>
    </row>
    <row r="4494" spans="1:25" x14ac:dyDescent="0.25">
      <c r="A4494" s="75"/>
      <c r="C4494" s="81"/>
      <c r="D4494" s="81"/>
      <c r="I4494" s="81"/>
      <c r="K4494" s="82"/>
      <c r="L4494" s="123"/>
      <c r="M4494" s="3"/>
      <c r="N4494" s="3"/>
      <c r="O4494" s="3"/>
      <c r="P4494" s="125"/>
      <c r="Q4494" s="125"/>
      <c r="R4494" s="127"/>
      <c r="S4494" s="123"/>
      <c r="T4494" s="3"/>
      <c r="W4494" s="86"/>
      <c r="Y4494" s="75"/>
    </row>
    <row r="4495" spans="1:25" x14ac:dyDescent="0.25">
      <c r="A4495" s="75"/>
      <c r="C4495" s="81"/>
      <c r="D4495" s="81"/>
      <c r="I4495" s="81"/>
      <c r="K4495" s="82"/>
      <c r="L4495" s="123"/>
      <c r="M4495" s="3"/>
      <c r="N4495" s="3"/>
      <c r="O4495" s="3"/>
      <c r="P4495" s="125"/>
      <c r="Q4495" s="125"/>
      <c r="R4495" s="127"/>
      <c r="S4495" s="123"/>
      <c r="T4495" s="3"/>
      <c r="W4495" s="86"/>
      <c r="Y4495" s="75"/>
    </row>
    <row r="4496" spans="1:25" x14ac:dyDescent="0.25">
      <c r="A4496" s="75"/>
      <c r="C4496" s="81"/>
      <c r="D4496" s="81"/>
      <c r="I4496" s="81"/>
      <c r="K4496" s="82"/>
      <c r="L4496" s="123"/>
      <c r="M4496" s="3"/>
      <c r="N4496" s="3"/>
      <c r="O4496" s="3"/>
      <c r="P4496" s="125"/>
      <c r="Q4496" s="125"/>
      <c r="R4496" s="127"/>
      <c r="S4496" s="123"/>
      <c r="T4496" s="3"/>
      <c r="W4496" s="86"/>
      <c r="Y4496" s="75"/>
    </row>
    <row r="4497" spans="1:25" x14ac:dyDescent="0.25">
      <c r="A4497" s="75"/>
      <c r="C4497" s="81"/>
      <c r="D4497" s="81"/>
      <c r="I4497" s="81"/>
      <c r="K4497" s="82"/>
      <c r="L4497" s="123"/>
      <c r="M4497" s="3"/>
      <c r="N4497" s="3"/>
      <c r="O4497" s="3"/>
      <c r="P4497" s="125"/>
      <c r="Q4497" s="125"/>
      <c r="R4497" s="127"/>
      <c r="S4497" s="123"/>
      <c r="T4497" s="3"/>
      <c r="W4497" s="86"/>
      <c r="Y4497" s="75"/>
    </row>
    <row r="4498" spans="1:25" x14ac:dyDescent="0.25">
      <c r="A4498" s="75"/>
      <c r="C4498" s="81"/>
      <c r="D4498" s="81"/>
      <c r="I4498" s="81"/>
      <c r="K4498" s="82"/>
      <c r="L4498" s="123"/>
      <c r="M4498" s="3"/>
      <c r="N4498" s="3"/>
      <c r="O4498" s="3"/>
      <c r="P4498" s="125"/>
      <c r="Q4498" s="125"/>
      <c r="R4498" s="127"/>
      <c r="S4498" s="123"/>
      <c r="T4498" s="3"/>
      <c r="W4498" s="86"/>
      <c r="Y4498" s="75"/>
    </row>
    <row r="4499" spans="1:25" x14ac:dyDescent="0.25">
      <c r="A4499" s="75"/>
      <c r="C4499" s="81"/>
      <c r="D4499" s="81"/>
      <c r="I4499" s="81"/>
      <c r="K4499" s="82"/>
      <c r="L4499" s="123"/>
      <c r="M4499" s="3"/>
      <c r="N4499" s="3"/>
      <c r="O4499" s="3"/>
      <c r="P4499" s="125"/>
      <c r="Q4499" s="125"/>
      <c r="R4499" s="127"/>
      <c r="S4499" s="123"/>
      <c r="T4499" s="3"/>
      <c r="W4499" s="86"/>
      <c r="Y4499" s="75"/>
    </row>
    <row r="4500" spans="1:25" x14ac:dyDescent="0.25">
      <c r="A4500" s="75"/>
      <c r="C4500" s="81"/>
      <c r="D4500" s="81"/>
      <c r="I4500" s="81"/>
      <c r="K4500" s="82"/>
      <c r="L4500" s="123"/>
      <c r="M4500" s="3"/>
      <c r="N4500" s="3"/>
      <c r="O4500" s="3"/>
      <c r="P4500" s="125"/>
      <c r="Q4500" s="125"/>
      <c r="R4500" s="127"/>
      <c r="S4500" s="123"/>
      <c r="T4500" s="3"/>
      <c r="W4500" s="86"/>
      <c r="Y4500" s="75"/>
    </row>
    <row r="4501" spans="1:25" x14ac:dyDescent="0.25">
      <c r="A4501" s="75"/>
      <c r="C4501" s="81"/>
      <c r="D4501" s="81"/>
      <c r="I4501" s="81"/>
      <c r="K4501" s="82"/>
      <c r="L4501" s="123"/>
      <c r="M4501" s="3"/>
      <c r="N4501" s="3"/>
      <c r="O4501" s="3"/>
      <c r="P4501" s="125"/>
      <c r="Q4501" s="125"/>
      <c r="R4501" s="127"/>
      <c r="S4501" s="123"/>
      <c r="T4501" s="3"/>
      <c r="W4501" s="86"/>
      <c r="Y4501" s="75"/>
    </row>
    <row r="4502" spans="1:25" x14ac:dyDescent="0.25">
      <c r="A4502" s="75"/>
      <c r="C4502" s="81"/>
      <c r="D4502" s="81"/>
      <c r="I4502" s="81"/>
      <c r="K4502" s="82"/>
      <c r="L4502" s="123"/>
      <c r="M4502" s="3"/>
      <c r="N4502" s="3"/>
      <c r="O4502" s="3"/>
      <c r="P4502" s="125"/>
      <c r="Q4502" s="125"/>
      <c r="R4502" s="127"/>
      <c r="S4502" s="123"/>
      <c r="T4502" s="3"/>
      <c r="W4502" s="86"/>
      <c r="Y4502" s="75"/>
    </row>
    <row r="4503" spans="1:25" x14ac:dyDescent="0.25">
      <c r="A4503" s="75"/>
      <c r="C4503" s="81"/>
      <c r="D4503" s="81"/>
      <c r="I4503" s="81"/>
      <c r="K4503" s="82"/>
      <c r="L4503" s="123"/>
      <c r="M4503" s="3"/>
      <c r="N4503" s="3"/>
      <c r="O4503" s="3"/>
      <c r="P4503" s="125"/>
      <c r="Q4503" s="125"/>
      <c r="R4503" s="127"/>
      <c r="S4503" s="123"/>
      <c r="T4503" s="3"/>
      <c r="W4503" s="86"/>
      <c r="Y4503" s="75"/>
    </row>
    <row r="4504" spans="1:25" x14ac:dyDescent="0.25">
      <c r="A4504" s="75"/>
      <c r="C4504" s="81"/>
      <c r="D4504" s="81"/>
      <c r="I4504" s="81"/>
      <c r="K4504" s="82"/>
      <c r="L4504" s="123"/>
      <c r="M4504" s="3"/>
      <c r="N4504" s="3"/>
      <c r="O4504" s="3"/>
      <c r="P4504" s="125"/>
      <c r="Q4504" s="125"/>
      <c r="R4504" s="127"/>
      <c r="S4504" s="123"/>
      <c r="T4504" s="3"/>
      <c r="W4504" s="86"/>
      <c r="Y4504" s="75"/>
    </row>
    <row r="4505" spans="1:25" x14ac:dyDescent="0.25">
      <c r="A4505" s="75"/>
      <c r="C4505" s="81"/>
      <c r="D4505" s="81"/>
      <c r="I4505" s="81"/>
      <c r="K4505" s="82"/>
      <c r="L4505" s="123"/>
      <c r="M4505" s="3"/>
      <c r="N4505" s="3"/>
      <c r="O4505" s="3"/>
      <c r="P4505" s="125"/>
      <c r="Q4505" s="125"/>
      <c r="R4505" s="127"/>
      <c r="S4505" s="123"/>
      <c r="T4505" s="3"/>
      <c r="W4505" s="86"/>
      <c r="Y4505" s="75"/>
    </row>
    <row r="4506" spans="1:25" x14ac:dyDescent="0.25">
      <c r="A4506" s="75"/>
      <c r="C4506" s="81"/>
      <c r="D4506" s="81"/>
      <c r="I4506" s="81"/>
      <c r="K4506" s="82"/>
      <c r="L4506" s="123"/>
      <c r="M4506" s="3"/>
      <c r="N4506" s="3"/>
      <c r="O4506" s="3"/>
      <c r="P4506" s="125"/>
      <c r="Q4506" s="125"/>
      <c r="R4506" s="127"/>
      <c r="S4506" s="123"/>
      <c r="T4506" s="3"/>
      <c r="W4506" s="86"/>
      <c r="Y4506" s="75"/>
    </row>
    <row r="4507" spans="1:25" x14ac:dyDescent="0.25">
      <c r="A4507" s="75"/>
      <c r="C4507" s="81"/>
      <c r="D4507" s="81"/>
      <c r="I4507" s="81"/>
      <c r="K4507" s="82"/>
      <c r="L4507" s="123"/>
      <c r="M4507" s="3"/>
      <c r="N4507" s="3"/>
      <c r="O4507" s="3"/>
      <c r="P4507" s="125"/>
      <c r="Q4507" s="125"/>
      <c r="R4507" s="127"/>
      <c r="S4507" s="123"/>
      <c r="T4507" s="3"/>
      <c r="W4507" s="86"/>
      <c r="Y4507" s="75"/>
    </row>
    <row r="4508" spans="1:25" x14ac:dyDescent="0.25">
      <c r="A4508" s="75"/>
      <c r="C4508" s="81"/>
      <c r="D4508" s="81"/>
      <c r="I4508" s="81"/>
      <c r="K4508" s="82"/>
      <c r="L4508" s="123"/>
      <c r="M4508" s="3"/>
      <c r="N4508" s="3"/>
      <c r="O4508" s="3"/>
      <c r="P4508" s="125"/>
      <c r="Q4508" s="125"/>
      <c r="R4508" s="127"/>
      <c r="S4508" s="123"/>
      <c r="T4508" s="3"/>
      <c r="W4508" s="86"/>
      <c r="Y4508" s="75"/>
    </row>
    <row r="4509" spans="1:25" x14ac:dyDescent="0.25">
      <c r="A4509" s="75"/>
      <c r="C4509" s="81"/>
      <c r="D4509" s="81"/>
      <c r="I4509" s="81"/>
      <c r="K4509" s="82"/>
      <c r="L4509" s="123"/>
      <c r="M4509" s="3"/>
      <c r="N4509" s="3"/>
      <c r="O4509" s="3"/>
      <c r="P4509" s="125"/>
      <c r="Q4509" s="125"/>
      <c r="R4509" s="127"/>
      <c r="S4509" s="123"/>
      <c r="T4509" s="3"/>
      <c r="W4509" s="86"/>
      <c r="Y4509" s="75"/>
    </row>
    <row r="4510" spans="1:25" x14ac:dyDescent="0.25">
      <c r="A4510" s="75"/>
      <c r="C4510" s="81"/>
      <c r="D4510" s="81"/>
      <c r="I4510" s="81"/>
      <c r="K4510" s="82"/>
      <c r="L4510" s="123"/>
      <c r="M4510" s="3"/>
      <c r="N4510" s="3"/>
      <c r="O4510" s="3"/>
      <c r="P4510" s="125"/>
      <c r="Q4510" s="125"/>
      <c r="R4510" s="127"/>
      <c r="S4510" s="123"/>
      <c r="T4510" s="3"/>
      <c r="W4510" s="86"/>
      <c r="Y4510" s="75"/>
    </row>
    <row r="4511" spans="1:25" x14ac:dyDescent="0.25">
      <c r="A4511" s="75"/>
      <c r="C4511" s="81"/>
      <c r="D4511" s="81"/>
      <c r="I4511" s="81"/>
      <c r="K4511" s="82"/>
      <c r="L4511" s="123"/>
      <c r="M4511" s="3"/>
      <c r="N4511" s="3"/>
      <c r="O4511" s="3"/>
      <c r="P4511" s="125"/>
      <c r="Q4511" s="125"/>
      <c r="R4511" s="127"/>
      <c r="S4511" s="123"/>
      <c r="T4511" s="3"/>
      <c r="W4511" s="86"/>
      <c r="Y4511" s="75"/>
    </row>
    <row r="4512" spans="1:25" x14ac:dyDescent="0.25">
      <c r="A4512" s="75"/>
      <c r="C4512" s="81"/>
      <c r="D4512" s="81"/>
      <c r="I4512" s="81"/>
      <c r="K4512" s="82"/>
      <c r="L4512" s="123"/>
      <c r="M4512" s="3"/>
      <c r="N4512" s="3"/>
      <c r="O4512" s="3"/>
      <c r="P4512" s="125"/>
      <c r="Q4512" s="125"/>
      <c r="R4512" s="127"/>
      <c r="S4512" s="123"/>
      <c r="T4512" s="3"/>
      <c r="W4512" s="86"/>
      <c r="Y4512" s="75"/>
    </row>
    <row r="4513" spans="1:25" x14ac:dyDescent="0.25">
      <c r="A4513" s="75"/>
      <c r="C4513" s="81"/>
      <c r="D4513" s="81"/>
      <c r="I4513" s="81"/>
      <c r="K4513" s="82"/>
      <c r="L4513" s="123"/>
      <c r="M4513" s="3"/>
      <c r="N4513" s="3"/>
      <c r="O4513" s="3"/>
      <c r="P4513" s="125"/>
      <c r="Q4513" s="125"/>
      <c r="R4513" s="127"/>
      <c r="S4513" s="123"/>
      <c r="T4513" s="3"/>
      <c r="W4513" s="86"/>
      <c r="Y4513" s="75"/>
    </row>
    <row r="4514" spans="1:25" x14ac:dyDescent="0.25">
      <c r="A4514" s="75"/>
      <c r="C4514" s="81"/>
      <c r="D4514" s="81"/>
      <c r="I4514" s="81"/>
      <c r="K4514" s="82"/>
      <c r="L4514" s="123"/>
      <c r="M4514" s="3"/>
      <c r="N4514" s="3"/>
      <c r="O4514" s="3"/>
      <c r="P4514" s="125"/>
      <c r="Q4514" s="125"/>
      <c r="R4514" s="127"/>
      <c r="S4514" s="123"/>
      <c r="T4514" s="3"/>
      <c r="W4514" s="86"/>
      <c r="Y4514" s="75"/>
    </row>
    <row r="4515" spans="1:25" x14ac:dyDescent="0.25">
      <c r="A4515" s="75"/>
      <c r="C4515" s="81"/>
      <c r="D4515" s="81"/>
      <c r="I4515" s="81"/>
      <c r="K4515" s="82"/>
      <c r="L4515" s="123"/>
      <c r="M4515" s="3"/>
      <c r="N4515" s="3"/>
      <c r="O4515" s="3"/>
      <c r="P4515" s="125"/>
      <c r="Q4515" s="125"/>
      <c r="R4515" s="127"/>
      <c r="S4515" s="123"/>
      <c r="T4515" s="3"/>
      <c r="W4515" s="86"/>
      <c r="Y4515" s="75"/>
    </row>
    <row r="4516" spans="1:25" x14ac:dyDescent="0.25">
      <c r="A4516" s="75"/>
      <c r="C4516" s="81"/>
      <c r="D4516" s="81"/>
      <c r="I4516" s="81"/>
      <c r="K4516" s="82"/>
      <c r="L4516" s="123"/>
      <c r="M4516" s="3"/>
      <c r="N4516" s="3"/>
      <c r="O4516" s="3"/>
      <c r="P4516" s="125"/>
      <c r="Q4516" s="125"/>
      <c r="R4516" s="127"/>
      <c r="S4516" s="123"/>
      <c r="T4516" s="3"/>
      <c r="W4516" s="86"/>
      <c r="Y4516" s="75"/>
    </row>
    <row r="4517" spans="1:25" x14ac:dyDescent="0.25">
      <c r="A4517" s="75"/>
      <c r="C4517" s="81"/>
      <c r="D4517" s="81"/>
      <c r="I4517" s="81"/>
      <c r="K4517" s="82"/>
      <c r="L4517" s="123"/>
      <c r="M4517" s="3"/>
      <c r="N4517" s="3"/>
      <c r="O4517" s="3"/>
      <c r="P4517" s="125"/>
      <c r="Q4517" s="125"/>
      <c r="R4517" s="127"/>
      <c r="S4517" s="123"/>
      <c r="T4517" s="3"/>
      <c r="W4517" s="86"/>
      <c r="Y4517" s="75"/>
    </row>
    <row r="4518" spans="1:25" x14ac:dyDescent="0.25">
      <c r="A4518" s="75"/>
      <c r="C4518" s="81"/>
      <c r="D4518" s="81"/>
      <c r="I4518" s="81"/>
      <c r="K4518" s="82"/>
      <c r="L4518" s="123"/>
      <c r="M4518" s="3"/>
      <c r="N4518" s="3"/>
      <c r="O4518" s="3"/>
      <c r="P4518" s="125"/>
      <c r="Q4518" s="125"/>
      <c r="R4518" s="127"/>
      <c r="S4518" s="123"/>
      <c r="T4518" s="3"/>
      <c r="W4518" s="86"/>
      <c r="Y4518" s="75"/>
    </row>
    <row r="4519" spans="1:25" x14ac:dyDescent="0.25">
      <c r="A4519" s="75"/>
      <c r="C4519" s="81"/>
      <c r="D4519" s="81"/>
      <c r="I4519" s="81"/>
      <c r="K4519" s="82"/>
      <c r="L4519" s="123"/>
      <c r="M4519" s="3"/>
      <c r="N4519" s="3"/>
      <c r="O4519" s="3"/>
      <c r="P4519" s="125"/>
      <c r="Q4519" s="125"/>
      <c r="R4519" s="127"/>
      <c r="S4519" s="123"/>
      <c r="T4519" s="3"/>
      <c r="W4519" s="86"/>
      <c r="Y4519" s="75"/>
    </row>
    <row r="4520" spans="1:25" x14ac:dyDescent="0.25">
      <c r="A4520" s="75"/>
      <c r="C4520" s="81"/>
      <c r="D4520" s="81"/>
      <c r="I4520" s="81"/>
      <c r="K4520" s="82"/>
      <c r="L4520" s="123"/>
      <c r="M4520" s="3"/>
      <c r="N4520" s="3"/>
      <c r="O4520" s="3"/>
      <c r="P4520" s="125"/>
      <c r="Q4520" s="125"/>
      <c r="R4520" s="127"/>
      <c r="S4520" s="123"/>
      <c r="T4520" s="3"/>
      <c r="W4520" s="86"/>
      <c r="Y4520" s="75"/>
    </row>
    <row r="4521" spans="1:25" x14ac:dyDescent="0.25">
      <c r="A4521" s="75"/>
      <c r="C4521" s="81"/>
      <c r="D4521" s="81"/>
      <c r="I4521" s="81"/>
      <c r="K4521" s="82"/>
      <c r="L4521" s="123"/>
      <c r="M4521" s="3"/>
      <c r="N4521" s="3"/>
      <c r="O4521" s="3"/>
      <c r="P4521" s="125"/>
      <c r="Q4521" s="125"/>
      <c r="R4521" s="127"/>
      <c r="S4521" s="123"/>
      <c r="T4521" s="3"/>
      <c r="W4521" s="86"/>
      <c r="Y4521" s="75"/>
    </row>
    <row r="4522" spans="1:25" x14ac:dyDescent="0.25">
      <c r="A4522" s="75"/>
      <c r="C4522" s="81"/>
      <c r="D4522" s="81"/>
      <c r="I4522" s="81"/>
      <c r="K4522" s="82"/>
      <c r="L4522" s="123"/>
      <c r="M4522" s="3"/>
      <c r="N4522" s="3"/>
      <c r="O4522" s="3"/>
      <c r="P4522" s="125"/>
      <c r="Q4522" s="125"/>
      <c r="R4522" s="127"/>
      <c r="S4522" s="123"/>
      <c r="T4522" s="3"/>
      <c r="W4522" s="86"/>
      <c r="Y4522" s="75"/>
    </row>
    <row r="4523" spans="1:25" x14ac:dyDescent="0.25">
      <c r="A4523" s="75"/>
      <c r="C4523" s="81"/>
      <c r="D4523" s="81"/>
      <c r="I4523" s="81"/>
      <c r="K4523" s="82"/>
      <c r="L4523" s="123"/>
      <c r="M4523" s="3"/>
      <c r="N4523" s="3"/>
      <c r="O4523" s="3"/>
      <c r="P4523" s="125"/>
      <c r="Q4523" s="125"/>
      <c r="R4523" s="127"/>
      <c r="S4523" s="123"/>
      <c r="T4523" s="3"/>
      <c r="W4523" s="86"/>
      <c r="Y4523" s="75"/>
    </row>
    <row r="4524" spans="1:25" x14ac:dyDescent="0.25">
      <c r="A4524" s="75"/>
      <c r="C4524" s="81"/>
      <c r="D4524" s="81"/>
      <c r="I4524" s="81"/>
      <c r="K4524" s="82"/>
      <c r="L4524" s="123"/>
      <c r="M4524" s="3"/>
      <c r="N4524" s="3"/>
      <c r="O4524" s="3"/>
      <c r="P4524" s="125"/>
      <c r="Q4524" s="125"/>
      <c r="R4524" s="127"/>
      <c r="S4524" s="123"/>
      <c r="T4524" s="3"/>
      <c r="W4524" s="86"/>
      <c r="Y4524" s="75"/>
    </row>
    <row r="4525" spans="1:25" x14ac:dyDescent="0.25">
      <c r="A4525" s="75"/>
      <c r="C4525" s="81"/>
      <c r="D4525" s="81"/>
      <c r="I4525" s="81"/>
      <c r="K4525" s="82"/>
      <c r="L4525" s="123"/>
      <c r="M4525" s="3"/>
      <c r="N4525" s="3"/>
      <c r="O4525" s="3"/>
      <c r="P4525" s="125"/>
      <c r="Q4525" s="125"/>
      <c r="R4525" s="127"/>
      <c r="S4525" s="123"/>
      <c r="T4525" s="3"/>
      <c r="W4525" s="86"/>
      <c r="Y4525" s="75"/>
    </row>
    <row r="4526" spans="1:25" x14ac:dyDescent="0.25">
      <c r="A4526" s="75"/>
      <c r="C4526" s="81"/>
      <c r="D4526" s="81"/>
      <c r="I4526" s="81"/>
      <c r="K4526" s="82"/>
      <c r="L4526" s="123"/>
      <c r="M4526" s="3"/>
      <c r="N4526" s="3"/>
      <c r="O4526" s="3"/>
      <c r="P4526" s="125"/>
      <c r="Q4526" s="125"/>
      <c r="R4526" s="127"/>
      <c r="S4526" s="123"/>
      <c r="T4526" s="3"/>
      <c r="W4526" s="86"/>
      <c r="Y4526" s="75"/>
    </row>
    <row r="4527" spans="1:25" x14ac:dyDescent="0.25">
      <c r="A4527" s="75"/>
      <c r="C4527" s="81"/>
      <c r="D4527" s="81"/>
      <c r="I4527" s="81"/>
      <c r="K4527" s="82"/>
      <c r="L4527" s="123"/>
      <c r="M4527" s="3"/>
      <c r="N4527" s="3"/>
      <c r="O4527" s="3"/>
      <c r="P4527" s="125"/>
      <c r="Q4527" s="125"/>
      <c r="R4527" s="127"/>
      <c r="S4527" s="123"/>
      <c r="T4527" s="3"/>
      <c r="W4527" s="86"/>
      <c r="Y4527" s="75"/>
    </row>
    <row r="4528" spans="1:25" x14ac:dyDescent="0.25">
      <c r="A4528" s="75"/>
      <c r="C4528" s="81"/>
      <c r="D4528" s="81"/>
      <c r="I4528" s="81"/>
      <c r="K4528" s="82"/>
      <c r="L4528" s="123"/>
      <c r="M4528" s="3"/>
      <c r="N4528" s="3"/>
      <c r="O4528" s="3"/>
      <c r="P4528" s="125"/>
      <c r="Q4528" s="125"/>
      <c r="R4528" s="127"/>
      <c r="S4528" s="123"/>
      <c r="T4528" s="3"/>
      <c r="W4528" s="86"/>
      <c r="Y4528" s="75"/>
    </row>
    <row r="4529" spans="1:25" x14ac:dyDescent="0.25">
      <c r="A4529" s="75"/>
      <c r="C4529" s="81"/>
      <c r="D4529" s="81"/>
      <c r="I4529" s="81"/>
      <c r="K4529" s="82"/>
      <c r="L4529" s="123"/>
      <c r="M4529" s="3"/>
      <c r="N4529" s="3"/>
      <c r="O4529" s="3"/>
      <c r="P4529" s="125"/>
      <c r="Q4529" s="125"/>
      <c r="R4529" s="127"/>
      <c r="S4529" s="123"/>
      <c r="T4529" s="3"/>
      <c r="W4529" s="86"/>
      <c r="Y4529" s="75"/>
    </row>
    <row r="4530" spans="1:25" x14ac:dyDescent="0.25">
      <c r="A4530" s="75"/>
      <c r="C4530" s="81"/>
      <c r="D4530" s="81"/>
      <c r="I4530" s="81"/>
      <c r="K4530" s="82"/>
      <c r="L4530" s="123"/>
      <c r="M4530" s="3"/>
      <c r="N4530" s="3"/>
      <c r="O4530" s="3"/>
      <c r="P4530" s="125"/>
      <c r="Q4530" s="125"/>
      <c r="R4530" s="127"/>
      <c r="S4530" s="123"/>
      <c r="T4530" s="3"/>
      <c r="W4530" s="86"/>
      <c r="Y4530" s="75"/>
    </row>
    <row r="4531" spans="1:25" x14ac:dyDescent="0.25">
      <c r="A4531" s="75"/>
      <c r="C4531" s="81"/>
      <c r="D4531" s="81"/>
      <c r="I4531" s="81"/>
      <c r="K4531" s="82"/>
      <c r="L4531" s="123"/>
      <c r="M4531" s="3"/>
      <c r="N4531" s="3"/>
      <c r="O4531" s="3"/>
      <c r="P4531" s="125"/>
      <c r="Q4531" s="125"/>
      <c r="R4531" s="127"/>
      <c r="S4531" s="123"/>
      <c r="T4531" s="3"/>
      <c r="W4531" s="86"/>
      <c r="Y4531" s="75"/>
    </row>
    <row r="4532" spans="1:25" x14ac:dyDescent="0.25">
      <c r="A4532" s="75"/>
      <c r="C4532" s="81"/>
      <c r="D4532" s="81"/>
      <c r="I4532" s="81"/>
      <c r="K4532" s="82"/>
      <c r="L4532" s="123"/>
      <c r="M4532" s="3"/>
      <c r="N4532" s="3"/>
      <c r="O4532" s="3"/>
      <c r="P4532" s="125"/>
      <c r="Q4532" s="125"/>
      <c r="R4532" s="127"/>
      <c r="S4532" s="123"/>
      <c r="T4532" s="3"/>
      <c r="W4532" s="86"/>
      <c r="Y4532" s="75"/>
    </row>
    <row r="4533" spans="1:25" x14ac:dyDescent="0.25">
      <c r="A4533" s="75"/>
      <c r="C4533" s="81"/>
      <c r="D4533" s="81"/>
      <c r="I4533" s="81"/>
      <c r="K4533" s="82"/>
      <c r="L4533" s="123"/>
      <c r="M4533" s="3"/>
      <c r="N4533" s="3"/>
      <c r="O4533" s="3"/>
      <c r="P4533" s="125"/>
      <c r="Q4533" s="125"/>
      <c r="R4533" s="127"/>
      <c r="S4533" s="123"/>
      <c r="T4533" s="3"/>
      <c r="W4533" s="86"/>
      <c r="Y4533" s="75"/>
    </row>
    <row r="4534" spans="1:25" x14ac:dyDescent="0.25">
      <c r="A4534" s="75"/>
      <c r="C4534" s="81"/>
      <c r="D4534" s="81"/>
      <c r="I4534" s="81"/>
      <c r="K4534" s="82"/>
      <c r="L4534" s="123"/>
      <c r="M4534" s="3"/>
      <c r="N4534" s="3"/>
      <c r="O4534" s="3"/>
      <c r="P4534" s="125"/>
      <c r="Q4534" s="125"/>
      <c r="R4534" s="127"/>
      <c r="S4534" s="123"/>
      <c r="T4534" s="3"/>
      <c r="W4534" s="86"/>
      <c r="Y4534" s="75"/>
    </row>
    <row r="4535" spans="1:25" x14ac:dyDescent="0.25">
      <c r="A4535" s="75"/>
      <c r="C4535" s="81"/>
      <c r="D4535" s="81"/>
      <c r="I4535" s="81"/>
      <c r="K4535" s="82"/>
      <c r="L4535" s="123"/>
      <c r="M4535" s="3"/>
      <c r="N4535" s="3"/>
      <c r="O4535" s="3"/>
      <c r="P4535" s="125"/>
      <c r="Q4535" s="125"/>
      <c r="R4535" s="127"/>
      <c r="S4535" s="123"/>
      <c r="T4535" s="3"/>
      <c r="W4535" s="86"/>
      <c r="Y4535" s="75"/>
    </row>
    <row r="4536" spans="1:25" x14ac:dyDescent="0.25">
      <c r="A4536" s="75"/>
      <c r="C4536" s="81"/>
      <c r="D4536" s="81"/>
      <c r="I4536" s="81"/>
      <c r="K4536" s="82"/>
      <c r="L4536" s="123"/>
      <c r="M4536" s="3"/>
      <c r="N4536" s="3"/>
      <c r="O4536" s="3"/>
      <c r="P4536" s="125"/>
      <c r="Q4536" s="125"/>
      <c r="R4536" s="127"/>
      <c r="S4536" s="123"/>
      <c r="T4536" s="3"/>
      <c r="W4536" s="86"/>
      <c r="Y4536" s="75"/>
    </row>
    <row r="4537" spans="1:25" x14ac:dyDescent="0.25">
      <c r="A4537" s="75"/>
      <c r="C4537" s="81"/>
      <c r="D4537" s="81"/>
      <c r="I4537" s="81"/>
      <c r="K4537" s="82"/>
      <c r="L4537" s="123"/>
      <c r="M4537" s="3"/>
      <c r="N4537" s="3"/>
      <c r="O4537" s="3"/>
      <c r="P4537" s="125"/>
      <c r="Q4537" s="125"/>
      <c r="R4537" s="127"/>
      <c r="S4537" s="123"/>
      <c r="T4537" s="3"/>
      <c r="W4537" s="86"/>
      <c r="Y4537" s="75"/>
    </row>
    <row r="4538" spans="1:25" x14ac:dyDescent="0.25">
      <c r="A4538" s="75"/>
      <c r="C4538" s="81"/>
      <c r="D4538" s="81"/>
      <c r="I4538" s="81"/>
      <c r="K4538" s="82"/>
      <c r="L4538" s="123"/>
      <c r="M4538" s="3"/>
      <c r="N4538" s="3"/>
      <c r="O4538" s="3"/>
      <c r="P4538" s="125"/>
      <c r="Q4538" s="125"/>
      <c r="R4538" s="127"/>
      <c r="S4538" s="123"/>
      <c r="T4538" s="3"/>
      <c r="W4538" s="86"/>
      <c r="Y4538" s="75"/>
    </row>
    <row r="4539" spans="1:25" x14ac:dyDescent="0.25">
      <c r="A4539" s="75"/>
      <c r="C4539" s="81"/>
      <c r="D4539" s="81"/>
      <c r="I4539" s="81"/>
      <c r="K4539" s="82"/>
      <c r="L4539" s="123"/>
      <c r="M4539" s="3"/>
      <c r="N4539" s="3"/>
      <c r="O4539" s="3"/>
      <c r="P4539" s="125"/>
      <c r="Q4539" s="125"/>
      <c r="R4539" s="127"/>
      <c r="S4539" s="123"/>
      <c r="T4539" s="3"/>
      <c r="W4539" s="86"/>
      <c r="Y4539" s="75"/>
    </row>
    <row r="4540" spans="1:25" x14ac:dyDescent="0.25">
      <c r="A4540" s="75"/>
      <c r="C4540" s="81"/>
      <c r="D4540" s="81"/>
      <c r="I4540" s="81"/>
      <c r="K4540" s="82"/>
      <c r="L4540" s="123"/>
      <c r="M4540" s="3"/>
      <c r="N4540" s="3"/>
      <c r="O4540" s="3"/>
      <c r="P4540" s="125"/>
      <c r="Q4540" s="125"/>
      <c r="R4540" s="127"/>
      <c r="S4540" s="123"/>
      <c r="T4540" s="3"/>
      <c r="W4540" s="86"/>
      <c r="Y4540" s="75"/>
    </row>
    <row r="4541" spans="1:25" x14ac:dyDescent="0.25">
      <c r="A4541" s="75"/>
      <c r="C4541" s="81"/>
      <c r="D4541" s="81"/>
      <c r="I4541" s="81"/>
      <c r="K4541" s="82"/>
      <c r="L4541" s="123"/>
      <c r="M4541" s="3"/>
      <c r="N4541" s="3"/>
      <c r="O4541" s="3"/>
      <c r="P4541" s="125"/>
      <c r="Q4541" s="125"/>
      <c r="R4541" s="127"/>
      <c r="S4541" s="123"/>
      <c r="T4541" s="3"/>
      <c r="W4541" s="86"/>
      <c r="Y4541" s="75"/>
    </row>
    <row r="4542" spans="1:25" x14ac:dyDescent="0.25">
      <c r="A4542" s="75"/>
      <c r="C4542" s="81"/>
      <c r="D4542" s="81"/>
      <c r="I4542" s="81"/>
      <c r="K4542" s="82"/>
      <c r="L4542" s="123"/>
      <c r="M4542" s="3"/>
      <c r="N4542" s="3"/>
      <c r="O4542" s="3"/>
      <c r="P4542" s="125"/>
      <c r="Q4542" s="125"/>
      <c r="R4542" s="127"/>
      <c r="S4542" s="123"/>
      <c r="T4542" s="3"/>
      <c r="W4542" s="86"/>
      <c r="Y4542" s="75"/>
    </row>
    <row r="4543" spans="1:25" x14ac:dyDescent="0.25">
      <c r="A4543" s="75"/>
      <c r="C4543" s="81"/>
      <c r="D4543" s="81"/>
      <c r="I4543" s="81"/>
      <c r="K4543" s="82"/>
      <c r="L4543" s="123"/>
      <c r="M4543" s="3"/>
      <c r="N4543" s="3"/>
      <c r="O4543" s="3"/>
      <c r="P4543" s="125"/>
      <c r="Q4543" s="125"/>
      <c r="R4543" s="127"/>
      <c r="S4543" s="123"/>
      <c r="T4543" s="3"/>
      <c r="W4543" s="86"/>
      <c r="Y4543" s="75"/>
    </row>
    <row r="4544" spans="1:25" x14ac:dyDescent="0.25">
      <c r="A4544" s="75"/>
      <c r="C4544" s="81"/>
      <c r="D4544" s="81"/>
      <c r="I4544" s="81"/>
      <c r="K4544" s="82"/>
      <c r="L4544" s="123"/>
      <c r="M4544" s="3"/>
      <c r="N4544" s="3"/>
      <c r="O4544" s="3"/>
      <c r="P4544" s="125"/>
      <c r="Q4544" s="125"/>
      <c r="R4544" s="127"/>
      <c r="S4544" s="123"/>
      <c r="T4544" s="3"/>
      <c r="W4544" s="86"/>
      <c r="Y4544" s="75"/>
    </row>
    <row r="4545" spans="1:25" x14ac:dyDescent="0.25">
      <c r="A4545" s="75"/>
      <c r="C4545" s="81"/>
      <c r="D4545" s="81"/>
      <c r="I4545" s="81"/>
      <c r="K4545" s="82"/>
      <c r="L4545" s="123"/>
      <c r="M4545" s="3"/>
      <c r="N4545" s="3"/>
      <c r="O4545" s="3"/>
      <c r="P4545" s="125"/>
      <c r="Q4545" s="125"/>
      <c r="R4545" s="127"/>
      <c r="S4545" s="123"/>
      <c r="T4545" s="3"/>
      <c r="W4545" s="86"/>
      <c r="Y4545" s="75"/>
    </row>
    <row r="4546" spans="1:25" x14ac:dyDescent="0.25">
      <c r="A4546" s="75"/>
      <c r="C4546" s="81"/>
      <c r="D4546" s="81"/>
      <c r="I4546" s="81"/>
      <c r="K4546" s="82"/>
      <c r="L4546" s="123"/>
      <c r="M4546" s="3"/>
      <c r="N4546" s="3"/>
      <c r="O4546" s="3"/>
      <c r="P4546" s="125"/>
      <c r="Q4546" s="125"/>
      <c r="R4546" s="127"/>
      <c r="S4546" s="123"/>
      <c r="T4546" s="3"/>
      <c r="W4546" s="86"/>
      <c r="Y4546" s="75"/>
    </row>
    <row r="4547" spans="1:25" x14ac:dyDescent="0.25">
      <c r="A4547" s="75"/>
      <c r="C4547" s="81"/>
      <c r="D4547" s="81"/>
      <c r="I4547" s="81"/>
      <c r="K4547" s="82"/>
      <c r="L4547" s="123"/>
      <c r="M4547" s="3"/>
      <c r="N4547" s="3"/>
      <c r="O4547" s="3"/>
      <c r="P4547" s="125"/>
      <c r="Q4547" s="125"/>
      <c r="R4547" s="127"/>
      <c r="S4547" s="123"/>
      <c r="T4547" s="3"/>
      <c r="W4547" s="86"/>
      <c r="Y4547" s="75"/>
    </row>
    <row r="4548" spans="1:25" x14ac:dyDescent="0.25">
      <c r="A4548" s="75"/>
      <c r="C4548" s="81"/>
      <c r="D4548" s="81"/>
      <c r="I4548" s="81"/>
      <c r="K4548" s="82"/>
      <c r="L4548" s="123"/>
      <c r="M4548" s="3"/>
      <c r="N4548" s="3"/>
      <c r="O4548" s="3"/>
      <c r="P4548" s="125"/>
      <c r="Q4548" s="125"/>
      <c r="R4548" s="127"/>
      <c r="S4548" s="123"/>
      <c r="T4548" s="3"/>
      <c r="W4548" s="86"/>
      <c r="Y4548" s="75"/>
    </row>
    <row r="4549" spans="1:25" x14ac:dyDescent="0.25">
      <c r="A4549" s="75"/>
      <c r="C4549" s="81"/>
      <c r="D4549" s="81"/>
      <c r="I4549" s="81"/>
      <c r="K4549" s="82"/>
      <c r="L4549" s="123"/>
      <c r="M4549" s="3"/>
      <c r="N4549" s="3"/>
      <c r="O4549" s="3"/>
      <c r="P4549" s="125"/>
      <c r="Q4549" s="125"/>
      <c r="R4549" s="127"/>
      <c r="S4549" s="123"/>
      <c r="T4549" s="3"/>
      <c r="W4549" s="86"/>
      <c r="Y4549" s="75"/>
    </row>
    <row r="4550" spans="1:25" x14ac:dyDescent="0.25">
      <c r="A4550" s="75"/>
      <c r="C4550" s="81"/>
      <c r="D4550" s="81"/>
      <c r="I4550" s="81"/>
      <c r="K4550" s="82"/>
      <c r="L4550" s="123"/>
      <c r="M4550" s="3"/>
      <c r="N4550" s="3"/>
      <c r="O4550" s="3"/>
      <c r="P4550" s="125"/>
      <c r="Q4550" s="125"/>
      <c r="R4550" s="127"/>
      <c r="S4550" s="123"/>
      <c r="T4550" s="3"/>
      <c r="W4550" s="86"/>
      <c r="Y4550" s="75"/>
    </row>
    <row r="4551" spans="1:25" x14ac:dyDescent="0.25">
      <c r="A4551" s="75"/>
      <c r="C4551" s="81"/>
      <c r="D4551" s="81"/>
      <c r="I4551" s="81"/>
      <c r="K4551" s="82"/>
      <c r="L4551" s="123"/>
      <c r="M4551" s="3"/>
      <c r="N4551" s="3"/>
      <c r="O4551" s="3"/>
      <c r="P4551" s="125"/>
      <c r="Q4551" s="125"/>
      <c r="R4551" s="127"/>
      <c r="S4551" s="123"/>
      <c r="T4551" s="3"/>
      <c r="W4551" s="86"/>
      <c r="Y4551" s="75"/>
    </row>
    <row r="4552" spans="1:25" x14ac:dyDescent="0.25">
      <c r="A4552" s="75"/>
      <c r="C4552" s="81"/>
      <c r="D4552" s="81"/>
      <c r="I4552" s="81"/>
      <c r="K4552" s="82"/>
      <c r="L4552" s="123"/>
      <c r="M4552" s="3"/>
      <c r="N4552" s="3"/>
      <c r="O4552" s="3"/>
      <c r="P4552" s="125"/>
      <c r="Q4552" s="125"/>
      <c r="R4552" s="127"/>
      <c r="S4552" s="123"/>
      <c r="T4552" s="3"/>
      <c r="W4552" s="86"/>
      <c r="Y4552" s="75"/>
    </row>
    <row r="4553" spans="1:25" x14ac:dyDescent="0.25">
      <c r="A4553" s="75"/>
      <c r="C4553" s="81"/>
      <c r="D4553" s="81"/>
      <c r="I4553" s="81"/>
      <c r="K4553" s="82"/>
      <c r="L4553" s="123"/>
      <c r="M4553" s="3"/>
      <c r="N4553" s="3"/>
      <c r="O4553" s="3"/>
      <c r="P4553" s="125"/>
      <c r="Q4553" s="125"/>
      <c r="R4553" s="127"/>
      <c r="S4553" s="123"/>
      <c r="T4553" s="3"/>
      <c r="W4553" s="86"/>
      <c r="Y4553" s="75"/>
    </row>
    <row r="4554" spans="1:25" x14ac:dyDescent="0.25">
      <c r="A4554" s="75"/>
      <c r="C4554" s="81"/>
      <c r="D4554" s="81"/>
      <c r="I4554" s="81"/>
      <c r="K4554" s="82"/>
      <c r="L4554" s="123"/>
      <c r="M4554" s="3"/>
      <c r="N4554" s="3"/>
      <c r="O4554" s="3"/>
      <c r="P4554" s="125"/>
      <c r="Q4554" s="125"/>
      <c r="R4554" s="127"/>
      <c r="S4554" s="123"/>
      <c r="T4554" s="3"/>
      <c r="W4554" s="86"/>
      <c r="Y4554" s="75"/>
    </row>
    <row r="4555" spans="1:25" x14ac:dyDescent="0.25">
      <c r="A4555" s="75"/>
      <c r="C4555" s="81"/>
      <c r="D4555" s="81"/>
      <c r="I4555" s="81"/>
      <c r="K4555" s="82"/>
      <c r="L4555" s="123"/>
      <c r="M4555" s="3"/>
      <c r="N4555" s="3"/>
      <c r="O4555" s="3"/>
      <c r="P4555" s="125"/>
      <c r="Q4555" s="125"/>
      <c r="R4555" s="127"/>
      <c r="S4555" s="123"/>
      <c r="T4555" s="3"/>
      <c r="W4555" s="86"/>
      <c r="Y4555" s="75"/>
    </row>
    <row r="4556" spans="1:25" x14ac:dyDescent="0.25">
      <c r="A4556" s="75"/>
      <c r="C4556" s="81"/>
      <c r="D4556" s="81"/>
      <c r="I4556" s="81"/>
      <c r="K4556" s="82"/>
      <c r="L4556" s="123"/>
      <c r="M4556" s="3"/>
      <c r="N4556" s="3"/>
      <c r="O4556" s="3"/>
      <c r="P4556" s="125"/>
      <c r="Q4556" s="125"/>
      <c r="R4556" s="127"/>
      <c r="S4556" s="123"/>
      <c r="T4556" s="3"/>
      <c r="W4556" s="86"/>
      <c r="Y4556" s="75"/>
    </row>
    <row r="4557" spans="1:25" x14ac:dyDescent="0.25">
      <c r="A4557" s="75"/>
      <c r="C4557" s="81"/>
      <c r="D4557" s="81"/>
      <c r="I4557" s="81"/>
      <c r="K4557" s="82"/>
      <c r="L4557" s="123"/>
      <c r="M4557" s="3"/>
      <c r="N4557" s="3"/>
      <c r="O4557" s="3"/>
      <c r="P4557" s="125"/>
      <c r="Q4557" s="125"/>
      <c r="R4557" s="127"/>
      <c r="S4557" s="123"/>
      <c r="T4557" s="3"/>
      <c r="W4557" s="86"/>
      <c r="Y4557" s="75"/>
    </row>
    <row r="4558" spans="1:25" x14ac:dyDescent="0.25">
      <c r="A4558" s="75"/>
      <c r="C4558" s="81"/>
      <c r="D4558" s="81"/>
      <c r="I4558" s="81"/>
      <c r="K4558" s="82"/>
      <c r="L4558" s="123"/>
      <c r="M4558" s="3"/>
      <c r="N4558" s="3"/>
      <c r="O4558" s="3"/>
      <c r="P4558" s="125"/>
      <c r="Q4558" s="125"/>
      <c r="R4558" s="127"/>
      <c r="S4558" s="123"/>
      <c r="T4558" s="3"/>
      <c r="W4558" s="86"/>
      <c r="Y4558" s="75"/>
    </row>
    <row r="4559" spans="1:25" x14ac:dyDescent="0.25">
      <c r="A4559" s="75"/>
      <c r="C4559" s="81"/>
      <c r="D4559" s="81"/>
      <c r="I4559" s="81"/>
      <c r="K4559" s="82"/>
      <c r="L4559" s="123"/>
      <c r="M4559" s="3"/>
      <c r="N4559" s="3"/>
      <c r="O4559" s="3"/>
      <c r="P4559" s="125"/>
      <c r="Q4559" s="125"/>
      <c r="R4559" s="127"/>
      <c r="S4559" s="123"/>
      <c r="T4559" s="3"/>
      <c r="W4559" s="86"/>
      <c r="Y4559" s="75"/>
    </row>
    <row r="4560" spans="1:25" x14ac:dyDescent="0.25">
      <c r="A4560" s="75"/>
      <c r="C4560" s="81"/>
      <c r="D4560" s="81"/>
      <c r="I4560" s="81"/>
      <c r="K4560" s="82"/>
      <c r="L4560" s="123"/>
      <c r="M4560" s="3"/>
      <c r="N4560" s="3"/>
      <c r="O4560" s="3"/>
      <c r="P4560" s="125"/>
      <c r="Q4560" s="125"/>
      <c r="R4560" s="127"/>
      <c r="S4560" s="123"/>
      <c r="T4560" s="3"/>
      <c r="W4560" s="86"/>
      <c r="Y4560" s="75"/>
    </row>
    <row r="4561" spans="1:25" x14ac:dyDescent="0.25">
      <c r="A4561" s="75"/>
      <c r="C4561" s="81"/>
      <c r="D4561" s="81"/>
      <c r="I4561" s="81"/>
      <c r="K4561" s="82"/>
      <c r="L4561" s="123"/>
      <c r="M4561" s="3"/>
      <c r="N4561" s="3"/>
      <c r="O4561" s="3"/>
      <c r="P4561" s="125"/>
      <c r="Q4561" s="125"/>
      <c r="R4561" s="127"/>
      <c r="S4561" s="123"/>
      <c r="T4561" s="3"/>
      <c r="W4561" s="86"/>
      <c r="Y4561" s="75"/>
    </row>
    <row r="4562" spans="1:25" x14ac:dyDescent="0.25">
      <c r="A4562" s="75"/>
      <c r="C4562" s="81"/>
      <c r="D4562" s="81"/>
      <c r="I4562" s="81"/>
      <c r="K4562" s="82"/>
      <c r="L4562" s="123"/>
      <c r="M4562" s="3"/>
      <c r="N4562" s="3"/>
      <c r="O4562" s="3"/>
      <c r="P4562" s="125"/>
      <c r="Q4562" s="125"/>
      <c r="R4562" s="127"/>
      <c r="S4562" s="123"/>
      <c r="T4562" s="3"/>
      <c r="W4562" s="86"/>
      <c r="Y4562" s="75"/>
    </row>
    <row r="4563" spans="1:25" x14ac:dyDescent="0.25">
      <c r="A4563" s="75"/>
      <c r="C4563" s="81"/>
      <c r="D4563" s="81"/>
      <c r="I4563" s="81"/>
      <c r="K4563" s="82"/>
      <c r="L4563" s="123"/>
      <c r="M4563" s="3"/>
      <c r="N4563" s="3"/>
      <c r="O4563" s="3"/>
      <c r="P4563" s="125"/>
      <c r="Q4563" s="125"/>
      <c r="R4563" s="127"/>
      <c r="S4563" s="123"/>
      <c r="T4563" s="3"/>
      <c r="W4563" s="86"/>
      <c r="Y4563" s="75"/>
    </row>
    <row r="4564" spans="1:25" x14ac:dyDescent="0.25">
      <c r="A4564" s="75"/>
      <c r="C4564" s="81"/>
      <c r="D4564" s="81"/>
      <c r="I4564" s="81"/>
      <c r="K4564" s="82"/>
      <c r="L4564" s="123"/>
      <c r="M4564" s="3"/>
      <c r="N4564" s="3"/>
      <c r="O4564" s="3"/>
      <c r="P4564" s="125"/>
      <c r="Q4564" s="125"/>
      <c r="R4564" s="127"/>
      <c r="S4564" s="123"/>
      <c r="T4564" s="3"/>
      <c r="W4564" s="86"/>
      <c r="Y4564" s="75"/>
    </row>
    <row r="4565" spans="1:25" x14ac:dyDescent="0.25">
      <c r="A4565" s="75"/>
      <c r="C4565" s="81"/>
      <c r="D4565" s="81"/>
      <c r="I4565" s="81"/>
      <c r="K4565" s="82"/>
      <c r="L4565" s="123"/>
      <c r="M4565" s="3"/>
      <c r="N4565" s="3"/>
      <c r="O4565" s="3"/>
      <c r="P4565" s="125"/>
      <c r="Q4565" s="125"/>
      <c r="R4565" s="127"/>
      <c r="S4565" s="123"/>
      <c r="T4565" s="3"/>
      <c r="W4565" s="86"/>
      <c r="Y4565" s="75"/>
    </row>
    <row r="4566" spans="1:25" x14ac:dyDescent="0.25">
      <c r="A4566" s="75"/>
      <c r="C4566" s="81"/>
      <c r="D4566" s="81"/>
      <c r="I4566" s="81"/>
      <c r="K4566" s="82"/>
      <c r="L4566" s="123"/>
      <c r="M4566" s="3"/>
      <c r="N4566" s="3"/>
      <c r="O4566" s="3"/>
      <c r="P4566" s="125"/>
      <c r="Q4566" s="125"/>
      <c r="R4566" s="127"/>
      <c r="S4566" s="123"/>
      <c r="T4566" s="3"/>
      <c r="W4566" s="86"/>
      <c r="Y4566" s="75"/>
    </row>
    <row r="4567" spans="1:25" x14ac:dyDescent="0.25">
      <c r="A4567" s="75"/>
      <c r="C4567" s="81"/>
      <c r="D4567" s="81"/>
      <c r="I4567" s="81"/>
      <c r="K4567" s="82"/>
      <c r="L4567" s="123"/>
      <c r="M4567" s="3"/>
      <c r="N4567" s="3"/>
      <c r="O4567" s="3"/>
      <c r="P4567" s="125"/>
      <c r="Q4567" s="125"/>
      <c r="R4567" s="127"/>
      <c r="S4567" s="123"/>
      <c r="T4567" s="3"/>
      <c r="W4567" s="86"/>
      <c r="Y4567" s="75"/>
    </row>
    <row r="4568" spans="1:25" x14ac:dyDescent="0.25">
      <c r="A4568" s="75"/>
      <c r="C4568" s="81"/>
      <c r="D4568" s="81"/>
      <c r="I4568" s="81"/>
      <c r="K4568" s="82"/>
      <c r="L4568" s="123"/>
      <c r="M4568" s="3"/>
      <c r="N4568" s="3"/>
      <c r="O4568" s="3"/>
      <c r="P4568" s="125"/>
      <c r="Q4568" s="125"/>
      <c r="R4568" s="127"/>
      <c r="S4568" s="123"/>
      <c r="T4568" s="3"/>
      <c r="W4568" s="86"/>
      <c r="Y4568" s="75"/>
    </row>
    <row r="4569" spans="1:25" x14ac:dyDescent="0.25">
      <c r="A4569" s="75"/>
      <c r="C4569" s="81"/>
      <c r="D4569" s="81"/>
      <c r="I4569" s="81"/>
      <c r="K4569" s="82"/>
      <c r="L4569" s="123"/>
      <c r="M4569" s="3"/>
      <c r="N4569" s="3"/>
      <c r="O4569" s="3"/>
      <c r="P4569" s="125"/>
      <c r="Q4569" s="125"/>
      <c r="R4569" s="127"/>
      <c r="S4569" s="123"/>
      <c r="T4569" s="3"/>
      <c r="W4569" s="86"/>
      <c r="Y4569" s="75"/>
    </row>
    <row r="4570" spans="1:25" x14ac:dyDescent="0.25">
      <c r="A4570" s="75"/>
      <c r="C4570" s="81"/>
      <c r="D4570" s="81"/>
      <c r="I4570" s="81"/>
      <c r="K4570" s="82"/>
      <c r="L4570" s="123"/>
      <c r="M4570" s="3"/>
      <c r="N4570" s="3"/>
      <c r="O4570" s="3"/>
      <c r="P4570" s="125"/>
      <c r="Q4570" s="125"/>
      <c r="R4570" s="127"/>
      <c r="S4570" s="123"/>
      <c r="T4570" s="3"/>
      <c r="W4570" s="86"/>
      <c r="Y4570" s="75"/>
    </row>
    <row r="4571" spans="1:25" x14ac:dyDescent="0.25">
      <c r="A4571" s="75"/>
      <c r="C4571" s="81"/>
      <c r="D4571" s="81"/>
      <c r="I4571" s="81"/>
      <c r="K4571" s="82"/>
      <c r="L4571" s="123"/>
      <c r="M4571" s="3"/>
      <c r="N4571" s="3"/>
      <c r="O4571" s="3"/>
      <c r="P4571" s="125"/>
      <c r="Q4571" s="125"/>
      <c r="R4571" s="127"/>
      <c r="S4571" s="123"/>
      <c r="T4571" s="3"/>
      <c r="W4571" s="86"/>
      <c r="Y4571" s="75"/>
    </row>
    <row r="4572" spans="1:25" x14ac:dyDescent="0.25">
      <c r="A4572" s="75"/>
      <c r="C4572" s="81"/>
      <c r="D4572" s="81"/>
      <c r="I4572" s="81"/>
      <c r="K4572" s="82"/>
      <c r="L4572" s="123"/>
      <c r="M4572" s="3"/>
      <c r="N4572" s="3"/>
      <c r="O4572" s="3"/>
      <c r="P4572" s="125"/>
      <c r="Q4572" s="125"/>
      <c r="R4572" s="127"/>
      <c r="S4572" s="123"/>
      <c r="T4572" s="3"/>
      <c r="W4572" s="86"/>
      <c r="Y4572" s="75"/>
    </row>
    <row r="4573" spans="1:25" x14ac:dyDescent="0.25">
      <c r="A4573" s="75"/>
      <c r="C4573" s="81"/>
      <c r="D4573" s="81"/>
      <c r="I4573" s="81"/>
      <c r="K4573" s="82"/>
      <c r="L4573" s="123"/>
      <c r="M4573" s="3"/>
      <c r="N4573" s="3"/>
      <c r="O4573" s="3"/>
      <c r="P4573" s="125"/>
      <c r="Q4573" s="125"/>
      <c r="R4573" s="127"/>
      <c r="S4573" s="123"/>
      <c r="T4573" s="3"/>
      <c r="W4573" s="86"/>
      <c r="Y4573" s="75"/>
    </row>
    <row r="4574" spans="1:25" x14ac:dyDescent="0.25">
      <c r="A4574" s="75"/>
      <c r="C4574" s="81"/>
      <c r="D4574" s="81"/>
      <c r="I4574" s="81"/>
      <c r="K4574" s="82"/>
      <c r="L4574" s="123"/>
      <c r="M4574" s="3"/>
      <c r="N4574" s="3"/>
      <c r="O4574" s="3"/>
      <c r="P4574" s="125"/>
      <c r="Q4574" s="125"/>
      <c r="R4574" s="127"/>
      <c r="S4574" s="123"/>
      <c r="T4574" s="3"/>
      <c r="W4574" s="86"/>
      <c r="Y4574" s="75"/>
    </row>
    <row r="4575" spans="1:25" x14ac:dyDescent="0.25">
      <c r="A4575" s="75"/>
      <c r="C4575" s="81"/>
      <c r="D4575" s="81"/>
      <c r="I4575" s="81"/>
      <c r="K4575" s="82"/>
      <c r="L4575" s="123"/>
      <c r="M4575" s="3"/>
      <c r="N4575" s="3"/>
      <c r="O4575" s="3"/>
      <c r="P4575" s="125"/>
      <c r="Q4575" s="125"/>
      <c r="R4575" s="127"/>
      <c r="S4575" s="123"/>
      <c r="T4575" s="3"/>
      <c r="W4575" s="86"/>
      <c r="Y4575" s="75"/>
    </row>
    <row r="4576" spans="1:25" x14ac:dyDescent="0.25">
      <c r="A4576" s="75"/>
      <c r="C4576" s="81"/>
      <c r="D4576" s="81"/>
      <c r="I4576" s="81"/>
      <c r="K4576" s="82"/>
      <c r="L4576" s="123"/>
      <c r="M4576" s="3"/>
      <c r="N4576" s="3"/>
      <c r="O4576" s="3"/>
      <c r="P4576" s="125"/>
      <c r="Q4576" s="125"/>
      <c r="R4576" s="127"/>
      <c r="S4576" s="123"/>
      <c r="T4576" s="3"/>
      <c r="W4576" s="86"/>
      <c r="Y4576" s="75"/>
    </row>
    <row r="4577" spans="1:25" x14ac:dyDescent="0.25">
      <c r="A4577" s="75"/>
      <c r="C4577" s="81"/>
      <c r="D4577" s="81"/>
      <c r="I4577" s="81"/>
      <c r="K4577" s="82"/>
      <c r="L4577" s="123"/>
      <c r="M4577" s="3"/>
      <c r="N4577" s="3"/>
      <c r="O4577" s="3"/>
      <c r="P4577" s="125"/>
      <c r="Q4577" s="125"/>
      <c r="R4577" s="127"/>
      <c r="S4577" s="123"/>
      <c r="T4577" s="3"/>
      <c r="W4577" s="86"/>
      <c r="Y4577" s="75"/>
    </row>
    <row r="4578" spans="1:25" x14ac:dyDescent="0.25">
      <c r="A4578" s="75"/>
      <c r="C4578" s="81"/>
      <c r="D4578" s="81"/>
      <c r="I4578" s="81"/>
      <c r="K4578" s="82"/>
      <c r="L4578" s="123"/>
      <c r="M4578" s="3"/>
      <c r="N4578" s="3"/>
      <c r="O4578" s="3"/>
      <c r="P4578" s="125"/>
      <c r="Q4578" s="125"/>
      <c r="R4578" s="127"/>
      <c r="S4578" s="123"/>
      <c r="T4578" s="3"/>
      <c r="W4578" s="86"/>
      <c r="Y4578" s="75"/>
    </row>
    <row r="4579" spans="1:25" x14ac:dyDescent="0.25">
      <c r="A4579" s="75"/>
      <c r="C4579" s="81"/>
      <c r="D4579" s="81"/>
      <c r="I4579" s="81"/>
      <c r="K4579" s="82"/>
      <c r="L4579" s="123"/>
      <c r="M4579" s="3"/>
      <c r="N4579" s="3"/>
      <c r="O4579" s="3"/>
      <c r="P4579" s="125"/>
      <c r="Q4579" s="125"/>
      <c r="R4579" s="127"/>
      <c r="S4579" s="123"/>
      <c r="T4579" s="3"/>
      <c r="W4579" s="86"/>
      <c r="Y4579" s="75"/>
    </row>
    <row r="4580" spans="1:25" x14ac:dyDescent="0.25">
      <c r="A4580" s="75"/>
      <c r="C4580" s="81"/>
      <c r="D4580" s="81"/>
      <c r="I4580" s="81"/>
      <c r="K4580" s="82"/>
      <c r="L4580" s="123"/>
      <c r="M4580" s="3"/>
      <c r="N4580" s="3"/>
      <c r="O4580" s="3"/>
      <c r="P4580" s="125"/>
      <c r="Q4580" s="125"/>
      <c r="R4580" s="127"/>
      <c r="S4580" s="123"/>
      <c r="T4580" s="3"/>
      <c r="W4580" s="86"/>
      <c r="Y4580" s="75"/>
    </row>
    <row r="4581" spans="1:25" x14ac:dyDescent="0.25">
      <c r="A4581" s="75"/>
      <c r="C4581" s="81"/>
      <c r="D4581" s="81"/>
      <c r="I4581" s="81"/>
      <c r="K4581" s="82"/>
      <c r="L4581" s="123"/>
      <c r="M4581" s="3"/>
      <c r="N4581" s="3"/>
      <c r="O4581" s="3"/>
      <c r="P4581" s="125"/>
      <c r="Q4581" s="125"/>
      <c r="R4581" s="127"/>
      <c r="S4581" s="123"/>
      <c r="T4581" s="3"/>
      <c r="W4581" s="86"/>
      <c r="Y4581" s="75"/>
    </row>
    <row r="4582" spans="1:25" x14ac:dyDescent="0.25">
      <c r="A4582" s="75"/>
      <c r="C4582" s="81"/>
      <c r="D4582" s="81"/>
      <c r="I4582" s="81"/>
      <c r="K4582" s="82"/>
      <c r="L4582" s="123"/>
      <c r="M4582" s="3"/>
      <c r="N4582" s="3"/>
      <c r="O4582" s="3"/>
      <c r="P4582" s="125"/>
      <c r="Q4582" s="125"/>
      <c r="R4582" s="127"/>
      <c r="S4582" s="123"/>
      <c r="T4582" s="3"/>
      <c r="W4582" s="86"/>
      <c r="Y4582" s="75"/>
    </row>
    <row r="4583" spans="1:25" x14ac:dyDescent="0.25">
      <c r="A4583" s="75"/>
      <c r="C4583" s="81"/>
      <c r="D4583" s="81"/>
      <c r="I4583" s="81"/>
      <c r="K4583" s="82"/>
      <c r="L4583" s="123"/>
      <c r="M4583" s="3"/>
      <c r="N4583" s="3"/>
      <c r="O4583" s="3"/>
      <c r="P4583" s="125"/>
      <c r="Q4583" s="125"/>
      <c r="R4583" s="127"/>
      <c r="S4583" s="123"/>
      <c r="T4583" s="3"/>
      <c r="W4583" s="86"/>
      <c r="Y4583" s="75"/>
    </row>
    <row r="4584" spans="1:25" x14ac:dyDescent="0.25">
      <c r="A4584" s="75"/>
      <c r="C4584" s="81"/>
      <c r="D4584" s="81"/>
      <c r="I4584" s="81"/>
      <c r="K4584" s="82"/>
      <c r="L4584" s="123"/>
      <c r="M4584" s="3"/>
      <c r="N4584" s="3"/>
      <c r="O4584" s="3"/>
      <c r="P4584" s="125"/>
      <c r="Q4584" s="125"/>
      <c r="R4584" s="127"/>
      <c r="S4584" s="123"/>
      <c r="T4584" s="3"/>
      <c r="W4584" s="86"/>
      <c r="Y4584" s="75"/>
    </row>
    <row r="4585" spans="1:25" x14ac:dyDescent="0.25">
      <c r="A4585" s="75"/>
      <c r="C4585" s="81"/>
      <c r="D4585" s="81"/>
      <c r="I4585" s="81"/>
      <c r="K4585" s="82"/>
      <c r="L4585" s="123"/>
      <c r="M4585" s="3"/>
      <c r="N4585" s="3"/>
      <c r="O4585" s="3"/>
      <c r="P4585" s="125"/>
      <c r="Q4585" s="125"/>
      <c r="R4585" s="127"/>
      <c r="S4585" s="123"/>
      <c r="T4585" s="3"/>
      <c r="W4585" s="86"/>
      <c r="Y4585" s="75"/>
    </row>
    <row r="4586" spans="1:25" x14ac:dyDescent="0.25">
      <c r="A4586" s="75"/>
      <c r="C4586" s="81"/>
      <c r="D4586" s="81"/>
      <c r="I4586" s="81"/>
      <c r="K4586" s="82"/>
      <c r="L4586" s="123"/>
      <c r="M4586" s="3"/>
      <c r="N4586" s="3"/>
      <c r="O4586" s="3"/>
      <c r="P4586" s="125"/>
      <c r="Q4586" s="125"/>
      <c r="R4586" s="127"/>
      <c r="S4586" s="123"/>
      <c r="T4586" s="3"/>
      <c r="W4586" s="86"/>
      <c r="Y4586" s="75"/>
    </row>
    <row r="4587" spans="1:25" x14ac:dyDescent="0.25">
      <c r="A4587" s="75"/>
      <c r="C4587" s="81"/>
      <c r="D4587" s="81"/>
      <c r="I4587" s="81"/>
      <c r="K4587" s="82"/>
      <c r="L4587" s="123"/>
      <c r="M4587" s="3"/>
      <c r="N4587" s="3"/>
      <c r="O4587" s="3"/>
      <c r="P4587" s="125"/>
      <c r="Q4587" s="125"/>
      <c r="R4587" s="127"/>
      <c r="S4587" s="123"/>
      <c r="T4587" s="3"/>
      <c r="W4587" s="86"/>
      <c r="Y4587" s="75"/>
    </row>
    <row r="4588" spans="1:25" x14ac:dyDescent="0.25">
      <c r="A4588" s="75"/>
      <c r="C4588" s="81"/>
      <c r="D4588" s="81"/>
      <c r="I4588" s="81"/>
      <c r="K4588" s="82"/>
      <c r="L4588" s="123"/>
      <c r="M4588" s="3"/>
      <c r="N4588" s="3"/>
      <c r="O4588" s="3"/>
      <c r="P4588" s="125"/>
      <c r="Q4588" s="125"/>
      <c r="R4588" s="127"/>
      <c r="S4588" s="123"/>
      <c r="T4588" s="3"/>
      <c r="W4588" s="86"/>
      <c r="Y4588" s="75"/>
    </row>
    <row r="4589" spans="1:25" x14ac:dyDescent="0.25">
      <c r="A4589" s="75"/>
      <c r="C4589" s="81"/>
      <c r="D4589" s="81"/>
      <c r="I4589" s="81"/>
      <c r="K4589" s="82"/>
      <c r="L4589" s="123"/>
      <c r="M4589" s="3"/>
      <c r="N4589" s="3"/>
      <c r="O4589" s="3"/>
      <c r="P4589" s="125"/>
      <c r="Q4589" s="125"/>
      <c r="R4589" s="127"/>
      <c r="S4589" s="123"/>
      <c r="T4589" s="3"/>
      <c r="W4589" s="86"/>
      <c r="Y4589" s="75"/>
    </row>
    <row r="4590" spans="1:25" x14ac:dyDescent="0.25">
      <c r="A4590" s="75"/>
      <c r="C4590" s="81"/>
      <c r="D4590" s="81"/>
      <c r="I4590" s="81"/>
      <c r="K4590" s="82"/>
      <c r="L4590" s="123"/>
      <c r="M4590" s="3"/>
      <c r="N4590" s="3"/>
      <c r="O4590" s="3"/>
      <c r="P4590" s="125"/>
      <c r="Q4590" s="125"/>
      <c r="R4590" s="127"/>
      <c r="S4590" s="123"/>
      <c r="T4590" s="3"/>
      <c r="W4590" s="86"/>
      <c r="Y4590" s="75"/>
    </row>
    <row r="4591" spans="1:25" x14ac:dyDescent="0.25">
      <c r="A4591" s="75"/>
      <c r="C4591" s="81"/>
      <c r="D4591" s="81"/>
      <c r="I4591" s="81"/>
      <c r="K4591" s="82"/>
      <c r="L4591" s="123"/>
      <c r="M4591" s="3"/>
      <c r="N4591" s="3"/>
      <c r="O4591" s="3"/>
      <c r="P4591" s="125"/>
      <c r="Q4591" s="125"/>
      <c r="R4591" s="127"/>
      <c r="S4591" s="123"/>
      <c r="T4591" s="3"/>
      <c r="W4591" s="86"/>
      <c r="Y4591" s="75"/>
    </row>
    <row r="4592" spans="1:25" x14ac:dyDescent="0.25">
      <c r="A4592" s="75"/>
      <c r="C4592" s="81"/>
      <c r="D4592" s="81"/>
      <c r="I4592" s="81"/>
      <c r="K4592" s="82"/>
      <c r="L4592" s="123"/>
      <c r="M4592" s="3"/>
      <c r="N4592" s="3"/>
      <c r="O4592" s="3"/>
      <c r="P4592" s="125"/>
      <c r="Q4592" s="125"/>
      <c r="R4592" s="127"/>
      <c r="S4592" s="123"/>
      <c r="T4592" s="3"/>
      <c r="W4592" s="86"/>
      <c r="Y4592" s="75"/>
    </row>
    <row r="4593" spans="1:25" x14ac:dyDescent="0.25">
      <c r="A4593" s="75"/>
      <c r="C4593" s="81"/>
      <c r="D4593" s="81"/>
      <c r="I4593" s="81"/>
      <c r="K4593" s="82"/>
      <c r="L4593" s="123"/>
      <c r="M4593" s="3"/>
      <c r="N4593" s="3"/>
      <c r="O4593" s="3"/>
      <c r="P4593" s="125"/>
      <c r="Q4593" s="125"/>
      <c r="R4593" s="127"/>
      <c r="S4593" s="123"/>
      <c r="T4593" s="3"/>
      <c r="W4593" s="86"/>
      <c r="Y4593" s="75"/>
    </row>
    <row r="4594" spans="1:25" x14ac:dyDescent="0.25">
      <c r="A4594" s="75"/>
      <c r="C4594" s="81"/>
      <c r="D4594" s="81"/>
      <c r="I4594" s="81"/>
      <c r="K4594" s="82"/>
      <c r="L4594" s="123"/>
      <c r="M4594" s="3"/>
      <c r="N4594" s="3"/>
      <c r="O4594" s="3"/>
      <c r="P4594" s="125"/>
      <c r="Q4594" s="125"/>
      <c r="R4594" s="127"/>
      <c r="S4594" s="123"/>
      <c r="T4594" s="3"/>
      <c r="W4594" s="86"/>
      <c r="Y4594" s="75"/>
    </row>
    <row r="4595" spans="1:25" x14ac:dyDescent="0.25">
      <c r="A4595" s="75"/>
      <c r="C4595" s="81"/>
      <c r="D4595" s="81"/>
      <c r="I4595" s="81"/>
      <c r="K4595" s="82"/>
      <c r="L4595" s="123"/>
      <c r="M4595" s="3"/>
      <c r="N4595" s="3"/>
      <c r="O4595" s="3"/>
      <c r="P4595" s="125"/>
      <c r="Q4595" s="125"/>
      <c r="R4595" s="127"/>
      <c r="S4595" s="123"/>
      <c r="T4595" s="3"/>
      <c r="W4595" s="86"/>
      <c r="Y4595" s="75"/>
    </row>
    <row r="4596" spans="1:25" x14ac:dyDescent="0.25">
      <c r="A4596" s="75"/>
      <c r="C4596" s="81"/>
      <c r="D4596" s="81"/>
      <c r="I4596" s="81"/>
      <c r="K4596" s="82"/>
      <c r="L4596" s="123"/>
      <c r="M4596" s="3"/>
      <c r="N4596" s="3"/>
      <c r="O4596" s="3"/>
      <c r="P4596" s="125"/>
      <c r="Q4596" s="125"/>
      <c r="R4596" s="127"/>
      <c r="S4596" s="123"/>
      <c r="T4596" s="3"/>
      <c r="W4596" s="86"/>
      <c r="Y4596" s="75"/>
    </row>
    <row r="4597" spans="1:25" x14ac:dyDescent="0.25">
      <c r="A4597" s="75"/>
      <c r="C4597" s="81"/>
      <c r="D4597" s="81"/>
      <c r="I4597" s="81"/>
      <c r="K4597" s="82"/>
      <c r="L4597" s="123"/>
      <c r="M4597" s="3"/>
      <c r="N4597" s="3"/>
      <c r="O4597" s="3"/>
      <c r="P4597" s="125"/>
      <c r="Q4597" s="125"/>
      <c r="R4597" s="127"/>
      <c r="S4597" s="123"/>
      <c r="T4597" s="3"/>
      <c r="W4597" s="86"/>
      <c r="Y4597" s="75"/>
    </row>
    <row r="4598" spans="1:25" x14ac:dyDescent="0.25">
      <c r="A4598" s="75"/>
      <c r="C4598" s="81"/>
      <c r="D4598" s="81"/>
      <c r="I4598" s="81"/>
      <c r="K4598" s="82"/>
      <c r="L4598" s="123"/>
      <c r="M4598" s="3"/>
      <c r="N4598" s="3"/>
      <c r="O4598" s="3"/>
      <c r="P4598" s="125"/>
      <c r="Q4598" s="125"/>
      <c r="R4598" s="127"/>
      <c r="S4598" s="123"/>
      <c r="T4598" s="3"/>
      <c r="W4598" s="86"/>
      <c r="Y4598" s="75"/>
    </row>
    <row r="4599" spans="1:25" x14ac:dyDescent="0.25">
      <c r="A4599" s="75"/>
      <c r="C4599" s="81"/>
      <c r="D4599" s="81"/>
      <c r="I4599" s="81"/>
      <c r="K4599" s="82"/>
      <c r="L4599" s="123"/>
      <c r="M4599" s="3"/>
      <c r="N4599" s="3"/>
      <c r="O4599" s="3"/>
      <c r="P4599" s="125"/>
      <c r="Q4599" s="125"/>
      <c r="R4599" s="127"/>
      <c r="S4599" s="123"/>
      <c r="T4599" s="3"/>
      <c r="W4599" s="86"/>
      <c r="Y4599" s="75"/>
    </row>
    <row r="4600" spans="1:25" x14ac:dyDescent="0.25">
      <c r="A4600" s="75"/>
      <c r="C4600" s="81"/>
      <c r="D4600" s="81"/>
      <c r="I4600" s="81"/>
      <c r="K4600" s="82"/>
      <c r="L4600" s="123"/>
      <c r="M4600" s="3"/>
      <c r="N4600" s="3"/>
      <c r="O4600" s="3"/>
      <c r="P4600" s="125"/>
      <c r="Q4600" s="125"/>
      <c r="R4600" s="127"/>
      <c r="S4600" s="123"/>
      <c r="T4600" s="3"/>
      <c r="W4600" s="86"/>
      <c r="Y4600" s="75"/>
    </row>
    <row r="4601" spans="1:25" x14ac:dyDescent="0.25">
      <c r="A4601" s="75"/>
      <c r="C4601" s="81"/>
      <c r="D4601" s="81"/>
      <c r="I4601" s="81"/>
      <c r="K4601" s="82"/>
      <c r="L4601" s="123"/>
      <c r="M4601" s="3"/>
      <c r="N4601" s="3"/>
      <c r="O4601" s="3"/>
      <c r="P4601" s="125"/>
      <c r="Q4601" s="125"/>
      <c r="R4601" s="127"/>
      <c r="S4601" s="123"/>
      <c r="T4601" s="3"/>
      <c r="W4601" s="86"/>
      <c r="Y4601" s="75"/>
    </row>
    <row r="4602" spans="1:25" x14ac:dyDescent="0.25">
      <c r="A4602" s="75"/>
      <c r="C4602" s="81"/>
      <c r="D4602" s="81"/>
      <c r="I4602" s="81"/>
      <c r="K4602" s="82"/>
      <c r="L4602" s="123"/>
      <c r="M4602" s="3"/>
      <c r="N4602" s="3"/>
      <c r="O4602" s="3"/>
      <c r="P4602" s="125"/>
      <c r="Q4602" s="125"/>
      <c r="R4602" s="127"/>
      <c r="S4602" s="123"/>
      <c r="T4602" s="3"/>
      <c r="W4602" s="86"/>
      <c r="Y4602" s="75"/>
    </row>
    <row r="4603" spans="1:25" x14ac:dyDescent="0.25">
      <c r="A4603" s="75"/>
      <c r="C4603" s="81"/>
      <c r="D4603" s="81"/>
      <c r="I4603" s="81"/>
      <c r="K4603" s="82"/>
      <c r="L4603" s="123"/>
      <c r="M4603" s="3"/>
      <c r="N4603" s="3"/>
      <c r="O4603" s="3"/>
      <c r="P4603" s="125"/>
      <c r="Q4603" s="125"/>
      <c r="R4603" s="127"/>
      <c r="S4603" s="123"/>
      <c r="T4603" s="3"/>
      <c r="W4603" s="86"/>
      <c r="Y4603" s="75"/>
    </row>
    <row r="4604" spans="1:25" x14ac:dyDescent="0.25">
      <c r="A4604" s="75"/>
      <c r="C4604" s="81"/>
      <c r="D4604" s="81"/>
      <c r="I4604" s="81"/>
      <c r="K4604" s="82"/>
      <c r="L4604" s="123"/>
      <c r="M4604" s="3"/>
      <c r="N4604" s="3"/>
      <c r="O4604" s="3"/>
      <c r="P4604" s="125"/>
      <c r="Q4604" s="125"/>
      <c r="R4604" s="127"/>
      <c r="S4604" s="123"/>
      <c r="T4604" s="3"/>
      <c r="W4604" s="86"/>
      <c r="Y4604" s="75"/>
    </row>
    <row r="4605" spans="1:25" x14ac:dyDescent="0.25">
      <c r="A4605" s="75"/>
      <c r="C4605" s="81"/>
      <c r="D4605" s="81"/>
      <c r="I4605" s="81"/>
      <c r="K4605" s="82"/>
      <c r="L4605" s="123"/>
      <c r="M4605" s="3"/>
      <c r="N4605" s="3"/>
      <c r="O4605" s="3"/>
      <c r="P4605" s="125"/>
      <c r="Q4605" s="125"/>
      <c r="R4605" s="127"/>
      <c r="S4605" s="123"/>
      <c r="T4605" s="3"/>
      <c r="W4605" s="86"/>
      <c r="Y4605" s="75"/>
    </row>
    <row r="4606" spans="1:25" x14ac:dyDescent="0.25">
      <c r="A4606" s="75"/>
      <c r="C4606" s="81"/>
      <c r="D4606" s="81"/>
      <c r="I4606" s="81"/>
      <c r="K4606" s="82"/>
      <c r="L4606" s="123"/>
      <c r="M4606" s="3"/>
      <c r="N4606" s="3"/>
      <c r="O4606" s="3"/>
      <c r="P4606" s="125"/>
      <c r="Q4606" s="125"/>
      <c r="R4606" s="127"/>
      <c r="S4606" s="123"/>
      <c r="T4606" s="3"/>
      <c r="W4606" s="86"/>
      <c r="Y4606" s="75"/>
    </row>
    <row r="4607" spans="1:25" x14ac:dyDescent="0.25">
      <c r="A4607" s="75"/>
      <c r="C4607" s="81"/>
      <c r="D4607" s="81"/>
      <c r="I4607" s="81"/>
      <c r="K4607" s="82"/>
      <c r="L4607" s="123"/>
      <c r="M4607" s="3"/>
      <c r="N4607" s="3"/>
      <c r="O4607" s="3"/>
      <c r="P4607" s="125"/>
      <c r="Q4607" s="125"/>
      <c r="R4607" s="127"/>
      <c r="S4607" s="123"/>
      <c r="T4607" s="3"/>
      <c r="W4607" s="86"/>
      <c r="Y4607" s="75"/>
    </row>
    <row r="4608" spans="1:25" x14ac:dyDescent="0.25">
      <c r="A4608" s="75"/>
      <c r="C4608" s="81"/>
      <c r="D4608" s="81"/>
      <c r="I4608" s="81"/>
      <c r="K4608" s="82"/>
      <c r="L4608" s="123"/>
      <c r="M4608" s="3"/>
      <c r="N4608" s="3"/>
      <c r="O4608" s="3"/>
      <c r="P4608" s="125"/>
      <c r="Q4608" s="125"/>
      <c r="R4608" s="127"/>
      <c r="S4608" s="123"/>
      <c r="T4608" s="3"/>
      <c r="W4608" s="86"/>
      <c r="Y4608" s="75"/>
    </row>
    <row r="4609" spans="1:25" x14ac:dyDescent="0.25">
      <c r="A4609" s="75"/>
      <c r="C4609" s="81"/>
      <c r="D4609" s="81"/>
      <c r="I4609" s="81"/>
      <c r="K4609" s="82"/>
      <c r="L4609" s="123"/>
      <c r="M4609" s="3"/>
      <c r="N4609" s="3"/>
      <c r="O4609" s="3"/>
      <c r="P4609" s="125"/>
      <c r="Q4609" s="125"/>
      <c r="R4609" s="127"/>
      <c r="S4609" s="123"/>
      <c r="T4609" s="3"/>
      <c r="W4609" s="86"/>
      <c r="Y4609" s="75"/>
    </row>
    <row r="4610" spans="1:25" x14ac:dyDescent="0.25">
      <c r="A4610" s="75"/>
      <c r="C4610" s="81"/>
      <c r="D4610" s="81"/>
      <c r="I4610" s="81"/>
      <c r="K4610" s="82"/>
      <c r="L4610" s="123"/>
      <c r="M4610" s="3"/>
      <c r="N4610" s="3"/>
      <c r="O4610" s="3"/>
      <c r="P4610" s="125"/>
      <c r="Q4610" s="125"/>
      <c r="R4610" s="127"/>
      <c r="S4610" s="123"/>
      <c r="T4610" s="3"/>
      <c r="W4610" s="86"/>
      <c r="Y4610" s="75"/>
    </row>
    <row r="4611" spans="1:25" x14ac:dyDescent="0.25">
      <c r="A4611" s="75"/>
      <c r="C4611" s="81"/>
      <c r="D4611" s="81"/>
      <c r="I4611" s="81"/>
      <c r="K4611" s="82"/>
      <c r="L4611" s="123"/>
      <c r="M4611" s="3"/>
      <c r="N4611" s="3"/>
      <c r="O4611" s="3"/>
      <c r="P4611" s="125"/>
      <c r="Q4611" s="125"/>
      <c r="R4611" s="127"/>
      <c r="S4611" s="123"/>
      <c r="T4611" s="3"/>
      <c r="W4611" s="86"/>
      <c r="Y4611" s="75"/>
    </row>
    <row r="4612" spans="1:25" x14ac:dyDescent="0.25">
      <c r="A4612" s="75"/>
      <c r="C4612" s="81"/>
      <c r="D4612" s="81"/>
      <c r="I4612" s="81"/>
      <c r="K4612" s="82"/>
      <c r="L4612" s="123"/>
      <c r="M4612" s="3"/>
      <c r="N4612" s="3"/>
      <c r="O4612" s="3"/>
      <c r="P4612" s="125"/>
      <c r="Q4612" s="125"/>
      <c r="R4612" s="127"/>
      <c r="S4612" s="123"/>
      <c r="T4612" s="3"/>
      <c r="W4612" s="86"/>
      <c r="Y4612" s="75"/>
    </row>
    <row r="4613" spans="1:25" x14ac:dyDescent="0.25">
      <c r="A4613" s="75"/>
      <c r="C4613" s="81"/>
      <c r="D4613" s="81"/>
      <c r="I4613" s="81"/>
      <c r="K4613" s="82"/>
      <c r="L4613" s="123"/>
      <c r="M4613" s="3"/>
      <c r="N4613" s="3"/>
      <c r="O4613" s="3"/>
      <c r="P4613" s="125"/>
      <c r="Q4613" s="125"/>
      <c r="R4613" s="127"/>
      <c r="S4613" s="123"/>
      <c r="T4613" s="3"/>
      <c r="W4613" s="86"/>
      <c r="Y4613" s="75"/>
    </row>
    <row r="4614" spans="1:25" x14ac:dyDescent="0.25">
      <c r="A4614" s="75"/>
      <c r="C4614" s="81"/>
      <c r="D4614" s="81"/>
      <c r="I4614" s="81"/>
      <c r="K4614" s="82"/>
      <c r="L4614" s="123"/>
      <c r="M4614" s="3"/>
      <c r="N4614" s="3"/>
      <c r="O4614" s="3"/>
      <c r="P4614" s="125"/>
      <c r="Q4614" s="125"/>
      <c r="R4614" s="127"/>
      <c r="S4614" s="123"/>
      <c r="T4614" s="3"/>
      <c r="W4614" s="86"/>
      <c r="Y4614" s="75"/>
    </row>
    <row r="4615" spans="1:25" x14ac:dyDescent="0.25">
      <c r="A4615" s="75"/>
      <c r="C4615" s="81"/>
      <c r="D4615" s="81"/>
      <c r="I4615" s="81"/>
      <c r="K4615" s="82"/>
      <c r="L4615" s="123"/>
      <c r="M4615" s="3"/>
      <c r="N4615" s="3"/>
      <c r="O4615" s="3"/>
      <c r="P4615" s="125"/>
      <c r="Q4615" s="125"/>
      <c r="R4615" s="127"/>
      <c r="S4615" s="123"/>
      <c r="T4615" s="3"/>
      <c r="W4615" s="86"/>
      <c r="Y4615" s="75"/>
    </row>
    <row r="4616" spans="1:25" x14ac:dyDescent="0.25">
      <c r="A4616" s="75"/>
      <c r="C4616" s="81"/>
      <c r="D4616" s="81"/>
      <c r="I4616" s="81"/>
      <c r="K4616" s="82"/>
      <c r="L4616" s="123"/>
      <c r="M4616" s="3"/>
      <c r="N4616" s="3"/>
      <c r="O4616" s="3"/>
      <c r="P4616" s="125"/>
      <c r="Q4616" s="125"/>
      <c r="R4616" s="127"/>
      <c r="S4616" s="123"/>
      <c r="T4616" s="3"/>
      <c r="W4616" s="86"/>
      <c r="Y4616" s="75"/>
    </row>
    <row r="4617" spans="1:25" x14ac:dyDescent="0.25">
      <c r="A4617" s="75"/>
      <c r="C4617" s="81"/>
      <c r="D4617" s="81"/>
      <c r="I4617" s="81"/>
      <c r="K4617" s="82"/>
      <c r="L4617" s="123"/>
      <c r="M4617" s="3"/>
      <c r="N4617" s="3"/>
      <c r="O4617" s="3"/>
      <c r="P4617" s="125"/>
      <c r="Q4617" s="125"/>
      <c r="R4617" s="127"/>
      <c r="S4617" s="123"/>
      <c r="T4617" s="3"/>
      <c r="W4617" s="86"/>
      <c r="Y4617" s="75"/>
    </row>
    <row r="4618" spans="1:25" x14ac:dyDescent="0.25">
      <c r="A4618" s="75"/>
      <c r="C4618" s="81"/>
      <c r="D4618" s="81"/>
      <c r="I4618" s="81"/>
      <c r="K4618" s="82"/>
      <c r="L4618" s="123"/>
      <c r="M4618" s="3"/>
      <c r="N4618" s="3"/>
      <c r="O4618" s="3"/>
      <c r="P4618" s="125"/>
      <c r="Q4618" s="125"/>
      <c r="R4618" s="127"/>
      <c r="S4618" s="123"/>
      <c r="T4618" s="3"/>
      <c r="W4618" s="86"/>
      <c r="Y4618" s="75"/>
    </row>
    <row r="4619" spans="1:25" x14ac:dyDescent="0.25">
      <c r="A4619" s="75"/>
      <c r="C4619" s="81"/>
      <c r="D4619" s="81"/>
      <c r="I4619" s="81"/>
      <c r="K4619" s="82"/>
      <c r="L4619" s="123"/>
      <c r="M4619" s="3"/>
      <c r="N4619" s="3"/>
      <c r="O4619" s="3"/>
      <c r="P4619" s="125"/>
      <c r="Q4619" s="125"/>
      <c r="R4619" s="127"/>
      <c r="S4619" s="123"/>
      <c r="T4619" s="3"/>
      <c r="W4619" s="86"/>
      <c r="Y4619" s="75"/>
    </row>
    <row r="4620" spans="1:25" x14ac:dyDescent="0.25">
      <c r="A4620" s="75"/>
      <c r="C4620" s="81"/>
      <c r="D4620" s="81"/>
      <c r="I4620" s="81"/>
      <c r="K4620" s="82"/>
      <c r="L4620" s="123"/>
      <c r="M4620" s="3"/>
      <c r="N4620" s="3"/>
      <c r="O4620" s="3"/>
      <c r="P4620" s="125"/>
      <c r="Q4620" s="125"/>
      <c r="R4620" s="127"/>
      <c r="S4620" s="123"/>
      <c r="T4620" s="3"/>
      <c r="W4620" s="86"/>
      <c r="Y4620" s="75"/>
    </row>
    <row r="4621" spans="1:25" x14ac:dyDescent="0.25">
      <c r="A4621" s="75"/>
      <c r="C4621" s="81"/>
      <c r="D4621" s="81"/>
      <c r="I4621" s="81"/>
      <c r="K4621" s="82"/>
      <c r="L4621" s="123"/>
      <c r="M4621" s="3"/>
      <c r="N4621" s="3"/>
      <c r="O4621" s="3"/>
      <c r="P4621" s="125"/>
      <c r="Q4621" s="125"/>
      <c r="R4621" s="127"/>
      <c r="S4621" s="123"/>
      <c r="T4621" s="3"/>
      <c r="W4621" s="86"/>
      <c r="Y4621" s="75"/>
    </row>
    <row r="4622" spans="1:25" x14ac:dyDescent="0.25">
      <c r="A4622" s="75"/>
      <c r="C4622" s="81"/>
      <c r="D4622" s="81"/>
      <c r="I4622" s="81"/>
      <c r="K4622" s="82"/>
      <c r="L4622" s="123"/>
      <c r="M4622" s="3"/>
      <c r="N4622" s="3"/>
      <c r="O4622" s="3"/>
      <c r="P4622" s="125"/>
      <c r="Q4622" s="125"/>
      <c r="R4622" s="127"/>
      <c r="S4622" s="123"/>
      <c r="T4622" s="3"/>
      <c r="W4622" s="86"/>
      <c r="Y4622" s="75"/>
    </row>
    <row r="4623" spans="1:25" x14ac:dyDescent="0.25">
      <c r="A4623" s="75"/>
      <c r="C4623" s="81"/>
      <c r="D4623" s="81"/>
      <c r="I4623" s="81"/>
      <c r="K4623" s="82"/>
      <c r="L4623" s="123"/>
      <c r="M4623" s="3"/>
      <c r="N4623" s="3"/>
      <c r="O4623" s="3"/>
      <c r="P4623" s="125"/>
      <c r="Q4623" s="125"/>
      <c r="R4623" s="127"/>
      <c r="S4623" s="123"/>
      <c r="T4623" s="3"/>
      <c r="W4623" s="86"/>
      <c r="Y4623" s="75"/>
    </row>
    <row r="4624" spans="1:25" x14ac:dyDescent="0.25">
      <c r="A4624" s="75"/>
      <c r="C4624" s="81"/>
      <c r="D4624" s="81"/>
      <c r="I4624" s="81"/>
      <c r="K4624" s="82"/>
      <c r="L4624" s="123"/>
      <c r="M4624" s="3"/>
      <c r="N4624" s="3"/>
      <c r="O4624" s="3"/>
      <c r="P4624" s="125"/>
      <c r="Q4624" s="125"/>
      <c r="R4624" s="127"/>
      <c r="S4624" s="123"/>
      <c r="T4624" s="3"/>
      <c r="W4624" s="86"/>
      <c r="Y4624" s="75"/>
    </row>
    <row r="4625" spans="1:25" x14ac:dyDescent="0.25">
      <c r="A4625" s="75"/>
      <c r="C4625" s="81"/>
      <c r="D4625" s="81"/>
      <c r="I4625" s="81"/>
      <c r="K4625" s="82"/>
      <c r="L4625" s="123"/>
      <c r="M4625" s="3"/>
      <c r="N4625" s="3"/>
      <c r="O4625" s="3"/>
      <c r="P4625" s="125"/>
      <c r="Q4625" s="125"/>
      <c r="R4625" s="127"/>
      <c r="S4625" s="123"/>
      <c r="T4625" s="3"/>
      <c r="W4625" s="86"/>
      <c r="Y4625" s="75"/>
    </row>
    <row r="4626" spans="1:25" x14ac:dyDescent="0.25">
      <c r="A4626" s="75"/>
      <c r="C4626" s="81"/>
      <c r="D4626" s="81"/>
      <c r="I4626" s="81"/>
      <c r="K4626" s="82"/>
      <c r="L4626" s="123"/>
      <c r="M4626" s="3"/>
      <c r="N4626" s="3"/>
      <c r="O4626" s="3"/>
      <c r="P4626" s="125"/>
      <c r="Q4626" s="125"/>
      <c r="R4626" s="127"/>
      <c r="S4626" s="123"/>
      <c r="T4626" s="3"/>
      <c r="W4626" s="86"/>
      <c r="Y4626" s="75"/>
    </row>
    <row r="4627" spans="1:25" x14ac:dyDescent="0.25">
      <c r="A4627" s="75"/>
      <c r="C4627" s="81"/>
      <c r="D4627" s="81"/>
      <c r="I4627" s="81"/>
      <c r="K4627" s="82"/>
      <c r="L4627" s="123"/>
      <c r="M4627" s="3"/>
      <c r="N4627" s="3"/>
      <c r="O4627" s="3"/>
      <c r="P4627" s="125"/>
      <c r="Q4627" s="125"/>
      <c r="R4627" s="127"/>
      <c r="S4627" s="123"/>
      <c r="T4627" s="3"/>
      <c r="W4627" s="86"/>
      <c r="Y4627" s="75"/>
    </row>
    <row r="4628" spans="1:25" x14ac:dyDescent="0.25">
      <c r="A4628" s="75"/>
      <c r="C4628" s="81"/>
      <c r="D4628" s="81"/>
      <c r="I4628" s="81"/>
      <c r="K4628" s="82"/>
      <c r="L4628" s="123"/>
      <c r="M4628" s="3"/>
      <c r="N4628" s="3"/>
      <c r="O4628" s="3"/>
      <c r="P4628" s="125"/>
      <c r="Q4628" s="125"/>
      <c r="R4628" s="127"/>
      <c r="S4628" s="123"/>
      <c r="T4628" s="3"/>
      <c r="W4628" s="86"/>
      <c r="Y4628" s="75"/>
    </row>
    <row r="4629" spans="1:25" x14ac:dyDescent="0.25">
      <c r="A4629" s="75"/>
      <c r="C4629" s="81"/>
      <c r="D4629" s="81"/>
      <c r="I4629" s="81"/>
      <c r="K4629" s="82"/>
      <c r="L4629" s="123"/>
      <c r="M4629" s="3"/>
      <c r="N4629" s="3"/>
      <c r="O4629" s="3"/>
      <c r="P4629" s="125"/>
      <c r="Q4629" s="125"/>
      <c r="R4629" s="127"/>
      <c r="S4629" s="123"/>
      <c r="T4629" s="3"/>
      <c r="W4629" s="86"/>
      <c r="Y4629" s="75"/>
    </row>
    <row r="4630" spans="1:25" x14ac:dyDescent="0.25">
      <c r="A4630" s="75"/>
      <c r="C4630" s="81"/>
      <c r="D4630" s="81"/>
      <c r="I4630" s="81"/>
      <c r="K4630" s="82"/>
      <c r="L4630" s="123"/>
      <c r="M4630" s="3"/>
      <c r="N4630" s="3"/>
      <c r="O4630" s="3"/>
      <c r="P4630" s="125"/>
      <c r="Q4630" s="125"/>
      <c r="R4630" s="127"/>
      <c r="S4630" s="123"/>
      <c r="T4630" s="3"/>
      <c r="W4630" s="86"/>
      <c r="Y4630" s="75"/>
    </row>
    <row r="4631" spans="1:25" x14ac:dyDescent="0.25">
      <c r="A4631" s="75"/>
      <c r="C4631" s="81"/>
      <c r="D4631" s="81"/>
      <c r="I4631" s="81"/>
      <c r="K4631" s="82"/>
      <c r="L4631" s="123"/>
      <c r="M4631" s="3"/>
      <c r="N4631" s="3"/>
      <c r="O4631" s="3"/>
      <c r="P4631" s="125"/>
      <c r="Q4631" s="125"/>
      <c r="R4631" s="127"/>
      <c r="S4631" s="123"/>
      <c r="T4631" s="3"/>
      <c r="W4631" s="86"/>
      <c r="Y4631" s="75"/>
    </row>
    <row r="4632" spans="1:25" x14ac:dyDescent="0.25">
      <c r="A4632" s="75"/>
      <c r="C4632" s="81"/>
      <c r="D4632" s="81"/>
      <c r="I4632" s="81"/>
      <c r="K4632" s="82"/>
      <c r="L4632" s="123"/>
      <c r="M4632" s="3"/>
      <c r="N4632" s="3"/>
      <c r="O4632" s="3"/>
      <c r="P4632" s="125"/>
      <c r="Q4632" s="125"/>
      <c r="R4632" s="127"/>
      <c r="S4632" s="123"/>
      <c r="T4632" s="3"/>
      <c r="W4632" s="86"/>
      <c r="Y4632" s="75"/>
    </row>
    <row r="4633" spans="1:25" x14ac:dyDescent="0.25">
      <c r="A4633" s="75"/>
      <c r="C4633" s="81"/>
      <c r="D4633" s="81"/>
      <c r="I4633" s="81"/>
      <c r="K4633" s="82"/>
      <c r="L4633" s="123"/>
      <c r="M4633" s="3"/>
      <c r="N4633" s="3"/>
      <c r="O4633" s="3"/>
      <c r="P4633" s="125"/>
      <c r="Q4633" s="125"/>
      <c r="R4633" s="127"/>
      <c r="S4633" s="123"/>
      <c r="T4633" s="3"/>
      <c r="W4633" s="86"/>
      <c r="Y4633" s="75"/>
    </row>
    <row r="4634" spans="1:25" x14ac:dyDescent="0.25">
      <c r="A4634" s="75"/>
      <c r="C4634" s="81"/>
      <c r="D4634" s="81"/>
      <c r="I4634" s="81"/>
      <c r="K4634" s="82"/>
      <c r="L4634" s="123"/>
      <c r="M4634" s="3"/>
      <c r="N4634" s="3"/>
      <c r="O4634" s="3"/>
      <c r="P4634" s="125"/>
      <c r="Q4634" s="125"/>
      <c r="R4634" s="127"/>
      <c r="S4634" s="123"/>
      <c r="T4634" s="3"/>
      <c r="W4634" s="86"/>
      <c r="Y4634" s="75"/>
    </row>
    <row r="4635" spans="1:25" x14ac:dyDescent="0.25">
      <c r="A4635" s="75"/>
      <c r="C4635" s="81"/>
      <c r="D4635" s="81"/>
      <c r="I4635" s="81"/>
      <c r="K4635" s="82"/>
      <c r="L4635" s="123"/>
      <c r="M4635" s="3"/>
      <c r="N4635" s="3"/>
      <c r="O4635" s="3"/>
      <c r="P4635" s="125"/>
      <c r="Q4635" s="125"/>
      <c r="R4635" s="127"/>
      <c r="S4635" s="123"/>
      <c r="T4635" s="3"/>
      <c r="W4635" s="86"/>
      <c r="Y4635" s="75"/>
    </row>
    <row r="4636" spans="1:25" x14ac:dyDescent="0.25">
      <c r="A4636" s="75"/>
      <c r="C4636" s="81"/>
      <c r="D4636" s="81"/>
      <c r="I4636" s="81"/>
      <c r="K4636" s="82"/>
      <c r="L4636" s="123"/>
      <c r="M4636" s="3"/>
      <c r="N4636" s="3"/>
      <c r="O4636" s="3"/>
      <c r="P4636" s="125"/>
      <c r="Q4636" s="125"/>
      <c r="R4636" s="127"/>
      <c r="S4636" s="123"/>
      <c r="T4636" s="3"/>
      <c r="W4636" s="86"/>
      <c r="Y4636" s="75"/>
    </row>
    <row r="4637" spans="1:25" x14ac:dyDescent="0.25">
      <c r="A4637" s="75"/>
      <c r="C4637" s="81"/>
      <c r="D4637" s="81"/>
      <c r="I4637" s="81"/>
      <c r="K4637" s="82"/>
      <c r="L4637" s="123"/>
      <c r="M4637" s="3"/>
      <c r="N4637" s="3"/>
      <c r="O4637" s="3"/>
      <c r="P4637" s="125"/>
      <c r="Q4637" s="125"/>
      <c r="R4637" s="127"/>
      <c r="S4637" s="123"/>
      <c r="T4637" s="3"/>
      <c r="W4637" s="86"/>
      <c r="Y4637" s="75"/>
    </row>
    <row r="4638" spans="1:25" x14ac:dyDescent="0.25">
      <c r="A4638" s="75"/>
      <c r="C4638" s="81"/>
      <c r="D4638" s="81"/>
      <c r="I4638" s="81"/>
      <c r="K4638" s="82"/>
      <c r="L4638" s="123"/>
      <c r="M4638" s="3"/>
      <c r="N4638" s="3"/>
      <c r="O4638" s="3"/>
      <c r="P4638" s="125"/>
      <c r="Q4638" s="125"/>
      <c r="R4638" s="127"/>
      <c r="S4638" s="123"/>
      <c r="T4638" s="3"/>
      <c r="W4638" s="86"/>
      <c r="Y4638" s="75"/>
    </row>
    <row r="4639" spans="1:25" x14ac:dyDescent="0.25">
      <c r="A4639" s="75"/>
      <c r="C4639" s="81"/>
      <c r="D4639" s="81"/>
      <c r="I4639" s="81"/>
      <c r="K4639" s="82"/>
      <c r="L4639" s="123"/>
      <c r="M4639" s="3"/>
      <c r="N4639" s="3"/>
      <c r="O4639" s="3"/>
      <c r="P4639" s="125"/>
      <c r="Q4639" s="125"/>
      <c r="R4639" s="127"/>
      <c r="S4639" s="123"/>
      <c r="T4639" s="3"/>
      <c r="W4639" s="86"/>
      <c r="Y4639" s="75"/>
    </row>
    <row r="4640" spans="1:25" x14ac:dyDescent="0.25">
      <c r="A4640" s="75"/>
      <c r="C4640" s="81"/>
      <c r="D4640" s="81"/>
      <c r="I4640" s="81"/>
      <c r="K4640" s="82"/>
      <c r="L4640" s="123"/>
      <c r="M4640" s="3"/>
      <c r="N4640" s="3"/>
      <c r="O4640" s="3"/>
      <c r="P4640" s="125"/>
      <c r="Q4640" s="125"/>
      <c r="R4640" s="127"/>
      <c r="S4640" s="123"/>
      <c r="T4640" s="3"/>
      <c r="W4640" s="86"/>
      <c r="Y4640" s="75"/>
    </row>
    <row r="4641" spans="1:25" x14ac:dyDescent="0.25">
      <c r="A4641" s="75"/>
      <c r="C4641" s="81"/>
      <c r="D4641" s="81"/>
      <c r="I4641" s="81"/>
      <c r="K4641" s="82"/>
      <c r="L4641" s="123"/>
      <c r="M4641" s="3"/>
      <c r="N4641" s="3"/>
      <c r="O4641" s="3"/>
      <c r="P4641" s="125"/>
      <c r="Q4641" s="125"/>
      <c r="R4641" s="127"/>
      <c r="S4641" s="123"/>
      <c r="T4641" s="3"/>
      <c r="W4641" s="86"/>
      <c r="Y4641" s="75"/>
    </row>
    <row r="4642" spans="1:25" x14ac:dyDescent="0.25">
      <c r="A4642" s="75"/>
      <c r="C4642" s="81"/>
      <c r="D4642" s="81"/>
      <c r="I4642" s="81"/>
      <c r="K4642" s="82"/>
      <c r="L4642" s="123"/>
      <c r="M4642" s="3"/>
      <c r="N4642" s="3"/>
      <c r="O4642" s="3"/>
      <c r="P4642" s="125"/>
      <c r="Q4642" s="125"/>
      <c r="R4642" s="127"/>
      <c r="S4642" s="123"/>
      <c r="T4642" s="3"/>
      <c r="W4642" s="86"/>
      <c r="Y4642" s="75"/>
    </row>
    <row r="4643" spans="1:25" x14ac:dyDescent="0.25">
      <c r="A4643" s="75"/>
      <c r="C4643" s="81"/>
      <c r="D4643" s="81"/>
      <c r="I4643" s="81"/>
      <c r="K4643" s="82"/>
      <c r="L4643" s="123"/>
      <c r="M4643" s="3"/>
      <c r="N4643" s="3"/>
      <c r="O4643" s="3"/>
      <c r="P4643" s="125"/>
      <c r="Q4643" s="125"/>
      <c r="R4643" s="127"/>
      <c r="S4643" s="123"/>
      <c r="T4643" s="3"/>
      <c r="W4643" s="86"/>
      <c r="Y4643" s="75"/>
    </row>
    <row r="4644" spans="1:25" x14ac:dyDescent="0.25">
      <c r="A4644" s="75"/>
      <c r="C4644" s="81"/>
      <c r="D4644" s="81"/>
      <c r="I4644" s="81"/>
      <c r="K4644" s="82"/>
      <c r="L4644" s="123"/>
      <c r="M4644" s="3"/>
      <c r="N4644" s="3"/>
      <c r="O4644" s="3"/>
      <c r="P4644" s="125"/>
      <c r="Q4644" s="125"/>
      <c r="R4644" s="127"/>
      <c r="S4644" s="123"/>
      <c r="T4644" s="3"/>
      <c r="W4644" s="86"/>
      <c r="Y4644" s="75"/>
    </row>
    <row r="4645" spans="1:25" x14ac:dyDescent="0.25">
      <c r="A4645" s="75"/>
      <c r="C4645" s="81"/>
      <c r="D4645" s="81"/>
      <c r="I4645" s="81"/>
      <c r="K4645" s="82"/>
      <c r="L4645" s="123"/>
      <c r="M4645" s="3"/>
      <c r="N4645" s="3"/>
      <c r="O4645" s="3"/>
      <c r="P4645" s="125"/>
      <c r="Q4645" s="125"/>
      <c r="R4645" s="127"/>
      <c r="S4645" s="123"/>
      <c r="T4645" s="3"/>
      <c r="W4645" s="86"/>
      <c r="Y4645" s="75"/>
    </row>
    <row r="4646" spans="1:25" x14ac:dyDescent="0.25">
      <c r="A4646" s="75"/>
      <c r="C4646" s="81"/>
      <c r="D4646" s="81"/>
      <c r="I4646" s="81"/>
      <c r="K4646" s="82"/>
      <c r="L4646" s="123"/>
      <c r="M4646" s="3"/>
      <c r="N4646" s="3"/>
      <c r="O4646" s="3"/>
      <c r="P4646" s="125"/>
      <c r="Q4646" s="125"/>
      <c r="R4646" s="127"/>
      <c r="S4646" s="123"/>
      <c r="T4646" s="3"/>
      <c r="W4646" s="86"/>
      <c r="Y4646" s="75"/>
    </row>
    <row r="4647" spans="1:25" x14ac:dyDescent="0.25">
      <c r="A4647" s="75"/>
      <c r="C4647" s="81"/>
      <c r="D4647" s="81"/>
      <c r="I4647" s="81"/>
      <c r="K4647" s="82"/>
      <c r="L4647" s="123"/>
      <c r="M4647" s="3"/>
      <c r="N4647" s="3"/>
      <c r="O4647" s="3"/>
      <c r="P4647" s="125"/>
      <c r="Q4647" s="125"/>
      <c r="R4647" s="127"/>
      <c r="S4647" s="123"/>
      <c r="T4647" s="3"/>
      <c r="W4647" s="86"/>
      <c r="Y4647" s="75"/>
    </row>
    <row r="4648" spans="1:25" x14ac:dyDescent="0.25">
      <c r="A4648" s="75"/>
      <c r="C4648" s="81"/>
      <c r="D4648" s="81"/>
      <c r="I4648" s="81"/>
      <c r="K4648" s="82"/>
      <c r="L4648" s="123"/>
      <c r="M4648" s="3"/>
      <c r="N4648" s="3"/>
      <c r="O4648" s="3"/>
      <c r="P4648" s="125"/>
      <c r="Q4648" s="125"/>
      <c r="R4648" s="127"/>
      <c r="S4648" s="123"/>
      <c r="T4648" s="3"/>
      <c r="W4648" s="86"/>
      <c r="Y4648" s="75"/>
    </row>
    <row r="4649" spans="1:25" x14ac:dyDescent="0.25">
      <c r="A4649" s="75"/>
      <c r="C4649" s="81"/>
      <c r="D4649" s="81"/>
      <c r="I4649" s="81"/>
      <c r="K4649" s="82"/>
      <c r="L4649" s="123"/>
      <c r="M4649" s="3"/>
      <c r="N4649" s="3"/>
      <c r="O4649" s="3"/>
      <c r="P4649" s="125"/>
      <c r="Q4649" s="125"/>
      <c r="R4649" s="127"/>
      <c r="S4649" s="123"/>
      <c r="T4649" s="3"/>
      <c r="W4649" s="86"/>
      <c r="Y4649" s="75"/>
    </row>
    <row r="4650" spans="1:25" x14ac:dyDescent="0.25">
      <c r="A4650" s="75"/>
      <c r="C4650" s="81"/>
      <c r="D4650" s="81"/>
      <c r="I4650" s="81"/>
      <c r="K4650" s="82"/>
      <c r="L4650" s="123"/>
      <c r="M4650" s="3"/>
      <c r="N4650" s="3"/>
      <c r="O4650" s="3"/>
      <c r="P4650" s="125"/>
      <c r="Q4650" s="125"/>
      <c r="R4650" s="127"/>
      <c r="S4650" s="123"/>
      <c r="T4650" s="3"/>
      <c r="W4650" s="86"/>
      <c r="Y4650" s="75"/>
    </row>
    <row r="4651" spans="1:25" x14ac:dyDescent="0.25">
      <c r="A4651" s="75"/>
      <c r="C4651" s="81"/>
      <c r="D4651" s="81"/>
      <c r="I4651" s="81"/>
      <c r="K4651" s="82"/>
      <c r="L4651" s="123"/>
      <c r="M4651" s="3"/>
      <c r="N4651" s="3"/>
      <c r="O4651" s="3"/>
      <c r="P4651" s="125"/>
      <c r="Q4651" s="125"/>
      <c r="R4651" s="127"/>
      <c r="S4651" s="123"/>
      <c r="T4651" s="3"/>
      <c r="W4651" s="86"/>
      <c r="Y4651" s="75"/>
    </row>
    <row r="4652" spans="1:25" x14ac:dyDescent="0.25">
      <c r="A4652" s="75"/>
      <c r="C4652" s="81"/>
      <c r="D4652" s="81"/>
      <c r="I4652" s="81"/>
      <c r="K4652" s="82"/>
      <c r="L4652" s="123"/>
      <c r="M4652" s="3"/>
      <c r="N4652" s="3"/>
      <c r="O4652" s="3"/>
      <c r="P4652" s="125"/>
      <c r="Q4652" s="125"/>
      <c r="R4652" s="127"/>
      <c r="S4652" s="123"/>
      <c r="T4652" s="3"/>
      <c r="W4652" s="86"/>
      <c r="Y4652" s="75"/>
    </row>
    <row r="4653" spans="1:25" x14ac:dyDescent="0.25">
      <c r="A4653" s="75"/>
      <c r="C4653" s="81"/>
      <c r="D4653" s="81"/>
      <c r="I4653" s="81"/>
      <c r="K4653" s="82"/>
      <c r="L4653" s="123"/>
      <c r="M4653" s="3"/>
      <c r="N4653" s="3"/>
      <c r="O4653" s="3"/>
      <c r="P4653" s="125"/>
      <c r="Q4653" s="125"/>
      <c r="R4653" s="127"/>
      <c r="S4653" s="123"/>
      <c r="T4653" s="3"/>
      <c r="W4653" s="86"/>
      <c r="Y4653" s="75"/>
    </row>
    <row r="4654" spans="1:25" x14ac:dyDescent="0.25">
      <c r="A4654" s="75"/>
      <c r="C4654" s="81"/>
      <c r="D4654" s="81"/>
      <c r="I4654" s="81"/>
      <c r="K4654" s="82"/>
      <c r="L4654" s="123"/>
      <c r="M4654" s="3"/>
      <c r="N4654" s="3"/>
      <c r="O4654" s="3"/>
      <c r="P4654" s="125"/>
      <c r="Q4654" s="125"/>
      <c r="R4654" s="127"/>
      <c r="S4654" s="123"/>
      <c r="T4654" s="3"/>
      <c r="W4654" s="86"/>
      <c r="Y4654" s="75"/>
    </row>
    <row r="4655" spans="1:25" x14ac:dyDescent="0.25">
      <c r="A4655" s="75"/>
      <c r="C4655" s="81"/>
      <c r="D4655" s="81"/>
      <c r="I4655" s="81"/>
      <c r="K4655" s="82"/>
      <c r="L4655" s="123"/>
      <c r="M4655" s="3"/>
      <c r="N4655" s="3"/>
      <c r="O4655" s="3"/>
      <c r="P4655" s="125"/>
      <c r="Q4655" s="125"/>
      <c r="R4655" s="127"/>
      <c r="S4655" s="123"/>
      <c r="T4655" s="3"/>
      <c r="W4655" s="86"/>
      <c r="Y4655" s="75"/>
    </row>
    <row r="4656" spans="1:25" x14ac:dyDescent="0.25">
      <c r="A4656" s="75"/>
      <c r="C4656" s="81"/>
      <c r="D4656" s="81"/>
      <c r="I4656" s="81"/>
      <c r="K4656" s="82"/>
      <c r="L4656" s="123"/>
      <c r="M4656" s="3"/>
      <c r="N4656" s="3"/>
      <c r="O4656" s="3"/>
      <c r="P4656" s="125"/>
      <c r="Q4656" s="125"/>
      <c r="R4656" s="127"/>
      <c r="S4656" s="123"/>
      <c r="T4656" s="3"/>
      <c r="W4656" s="86"/>
      <c r="Y4656" s="75"/>
    </row>
    <row r="4657" spans="1:25" x14ac:dyDescent="0.25">
      <c r="A4657" s="75"/>
      <c r="C4657" s="81"/>
      <c r="D4657" s="81"/>
      <c r="I4657" s="81"/>
      <c r="K4657" s="82"/>
      <c r="L4657" s="123"/>
      <c r="M4657" s="3"/>
      <c r="N4657" s="3"/>
      <c r="O4657" s="3"/>
      <c r="P4657" s="125"/>
      <c r="Q4657" s="125"/>
      <c r="R4657" s="127"/>
      <c r="S4657" s="123"/>
      <c r="T4657" s="3"/>
      <c r="W4657" s="86"/>
      <c r="Y4657" s="75"/>
    </row>
    <row r="4658" spans="1:25" x14ac:dyDescent="0.25">
      <c r="A4658" s="75"/>
      <c r="C4658" s="81"/>
      <c r="D4658" s="81"/>
      <c r="I4658" s="81"/>
      <c r="K4658" s="82"/>
      <c r="L4658" s="123"/>
      <c r="M4658" s="3"/>
      <c r="N4658" s="3"/>
      <c r="O4658" s="3"/>
      <c r="P4658" s="125"/>
      <c r="Q4658" s="125"/>
      <c r="R4658" s="127"/>
      <c r="S4658" s="123"/>
      <c r="T4658" s="3"/>
      <c r="W4658" s="86"/>
      <c r="Y4658" s="75"/>
    </row>
    <row r="4659" spans="1:25" x14ac:dyDescent="0.25">
      <c r="A4659" s="75"/>
      <c r="C4659" s="81"/>
      <c r="D4659" s="81"/>
      <c r="I4659" s="81"/>
      <c r="K4659" s="82"/>
      <c r="L4659" s="123"/>
      <c r="M4659" s="3"/>
      <c r="N4659" s="3"/>
      <c r="O4659" s="3"/>
      <c r="P4659" s="125"/>
      <c r="Q4659" s="125"/>
      <c r="R4659" s="127"/>
      <c r="S4659" s="123"/>
      <c r="T4659" s="3"/>
      <c r="W4659" s="86"/>
      <c r="Y4659" s="75"/>
    </row>
    <row r="4660" spans="1:25" x14ac:dyDescent="0.25">
      <c r="A4660" s="75"/>
      <c r="C4660" s="81"/>
      <c r="D4660" s="81"/>
      <c r="I4660" s="81"/>
      <c r="K4660" s="82"/>
      <c r="L4660" s="123"/>
      <c r="M4660" s="3"/>
      <c r="N4660" s="3"/>
      <c r="O4660" s="3"/>
      <c r="P4660" s="125"/>
      <c r="Q4660" s="125"/>
      <c r="R4660" s="127"/>
      <c r="S4660" s="123"/>
      <c r="T4660" s="3"/>
      <c r="W4660" s="86"/>
      <c r="Y4660" s="75"/>
    </row>
    <row r="4661" spans="1:25" x14ac:dyDescent="0.25">
      <c r="A4661" s="75"/>
      <c r="C4661" s="81"/>
      <c r="D4661" s="81"/>
      <c r="I4661" s="81"/>
      <c r="K4661" s="82"/>
      <c r="L4661" s="123"/>
      <c r="M4661" s="3"/>
      <c r="N4661" s="3"/>
      <c r="O4661" s="3"/>
      <c r="P4661" s="125"/>
      <c r="Q4661" s="125"/>
      <c r="R4661" s="127"/>
      <c r="S4661" s="123"/>
      <c r="T4661" s="3"/>
      <c r="W4661" s="86"/>
      <c r="Y4661" s="75"/>
    </row>
    <row r="4662" spans="1:25" x14ac:dyDescent="0.25">
      <c r="A4662" s="75"/>
      <c r="C4662" s="81"/>
      <c r="D4662" s="81"/>
      <c r="I4662" s="81"/>
      <c r="K4662" s="82"/>
      <c r="L4662" s="123"/>
      <c r="M4662" s="3"/>
      <c r="N4662" s="3"/>
      <c r="O4662" s="3"/>
      <c r="P4662" s="125"/>
      <c r="Q4662" s="125"/>
      <c r="R4662" s="127"/>
      <c r="S4662" s="123"/>
      <c r="T4662" s="3"/>
      <c r="W4662" s="86"/>
      <c r="Y4662" s="75"/>
    </row>
    <row r="4663" spans="1:25" x14ac:dyDescent="0.25">
      <c r="A4663" s="75"/>
      <c r="C4663" s="81"/>
      <c r="D4663" s="81"/>
      <c r="I4663" s="81"/>
      <c r="K4663" s="82"/>
      <c r="L4663" s="123"/>
      <c r="M4663" s="3"/>
      <c r="N4663" s="3"/>
      <c r="O4663" s="3"/>
      <c r="P4663" s="125"/>
      <c r="Q4663" s="125"/>
      <c r="R4663" s="127"/>
      <c r="S4663" s="123"/>
      <c r="T4663" s="3"/>
      <c r="W4663" s="86"/>
      <c r="Y4663" s="75"/>
    </row>
    <row r="4664" spans="1:25" x14ac:dyDescent="0.25">
      <c r="A4664" s="75"/>
      <c r="C4664" s="81"/>
      <c r="D4664" s="81"/>
      <c r="I4664" s="81"/>
      <c r="K4664" s="82"/>
      <c r="L4664" s="123"/>
      <c r="M4664" s="3"/>
      <c r="N4664" s="3"/>
      <c r="O4664" s="3"/>
      <c r="P4664" s="125"/>
      <c r="Q4664" s="125"/>
      <c r="R4664" s="127"/>
      <c r="S4664" s="123"/>
      <c r="T4664" s="3"/>
      <c r="W4664" s="86"/>
      <c r="Y4664" s="75"/>
    </row>
    <row r="4665" spans="1:25" x14ac:dyDescent="0.25">
      <c r="A4665" s="75"/>
      <c r="C4665" s="81"/>
      <c r="D4665" s="81"/>
      <c r="I4665" s="81"/>
      <c r="K4665" s="82"/>
      <c r="L4665" s="123"/>
      <c r="M4665" s="3"/>
      <c r="N4665" s="3"/>
      <c r="O4665" s="3"/>
      <c r="P4665" s="125"/>
      <c r="Q4665" s="125"/>
      <c r="R4665" s="127"/>
      <c r="S4665" s="123"/>
      <c r="T4665" s="3"/>
      <c r="W4665" s="86"/>
      <c r="Y4665" s="75"/>
    </row>
    <row r="4666" spans="1:25" x14ac:dyDescent="0.25">
      <c r="A4666" s="75"/>
      <c r="C4666" s="81"/>
      <c r="D4666" s="81"/>
      <c r="I4666" s="81"/>
      <c r="K4666" s="82"/>
      <c r="L4666" s="123"/>
      <c r="M4666" s="3"/>
      <c r="N4666" s="3"/>
      <c r="O4666" s="3"/>
      <c r="P4666" s="125"/>
      <c r="Q4666" s="125"/>
      <c r="R4666" s="127"/>
      <c r="S4666" s="123"/>
      <c r="T4666" s="3"/>
      <c r="W4666" s="86"/>
      <c r="Y4666" s="75"/>
    </row>
    <row r="4667" spans="1:25" x14ac:dyDescent="0.25">
      <c r="A4667" s="75"/>
      <c r="C4667" s="81"/>
      <c r="D4667" s="81"/>
      <c r="I4667" s="81"/>
      <c r="K4667" s="82"/>
      <c r="L4667" s="123"/>
      <c r="M4667" s="3"/>
      <c r="N4667" s="3"/>
      <c r="O4667" s="3"/>
      <c r="P4667" s="125"/>
      <c r="Q4667" s="125"/>
      <c r="R4667" s="127"/>
      <c r="S4667" s="123"/>
      <c r="T4667" s="3"/>
      <c r="W4667" s="86"/>
      <c r="Y4667" s="75"/>
    </row>
    <row r="4668" spans="1:25" x14ac:dyDescent="0.25">
      <c r="A4668" s="75"/>
      <c r="C4668" s="81"/>
      <c r="D4668" s="81"/>
      <c r="I4668" s="81"/>
      <c r="K4668" s="82"/>
      <c r="L4668" s="123"/>
      <c r="M4668" s="3"/>
      <c r="N4668" s="3"/>
      <c r="O4668" s="3"/>
      <c r="P4668" s="125"/>
      <c r="Q4668" s="125"/>
      <c r="R4668" s="127"/>
      <c r="S4668" s="123"/>
      <c r="T4668" s="3"/>
      <c r="W4668" s="86"/>
      <c r="Y4668" s="75"/>
    </row>
    <row r="4669" spans="1:25" x14ac:dyDescent="0.25">
      <c r="A4669" s="75"/>
      <c r="C4669" s="81"/>
      <c r="D4669" s="81"/>
      <c r="I4669" s="81"/>
      <c r="K4669" s="82"/>
      <c r="L4669" s="123"/>
      <c r="M4669" s="3"/>
      <c r="N4669" s="3"/>
      <c r="O4669" s="3"/>
      <c r="P4669" s="125"/>
      <c r="Q4669" s="125"/>
      <c r="R4669" s="127"/>
      <c r="S4669" s="123"/>
      <c r="T4669" s="3"/>
      <c r="W4669" s="86"/>
      <c r="Y4669" s="75"/>
    </row>
    <row r="4670" spans="1:25" x14ac:dyDescent="0.25">
      <c r="A4670" s="75"/>
      <c r="C4670" s="81"/>
      <c r="D4670" s="81"/>
      <c r="I4670" s="81"/>
      <c r="K4670" s="82"/>
      <c r="L4670" s="123"/>
      <c r="M4670" s="3"/>
      <c r="N4670" s="3"/>
      <c r="O4670" s="3"/>
      <c r="P4670" s="125"/>
      <c r="Q4670" s="125"/>
      <c r="R4670" s="127"/>
      <c r="S4670" s="123"/>
      <c r="T4670" s="3"/>
      <c r="W4670" s="86"/>
      <c r="Y4670" s="75"/>
    </row>
    <row r="4671" spans="1:25" x14ac:dyDescent="0.25">
      <c r="A4671" s="75"/>
      <c r="C4671" s="81"/>
      <c r="D4671" s="81"/>
      <c r="I4671" s="81"/>
      <c r="K4671" s="82"/>
      <c r="L4671" s="123"/>
      <c r="M4671" s="3"/>
      <c r="N4671" s="3"/>
      <c r="O4671" s="3"/>
      <c r="P4671" s="125"/>
      <c r="Q4671" s="125"/>
      <c r="R4671" s="127"/>
      <c r="S4671" s="123"/>
      <c r="T4671" s="3"/>
      <c r="W4671" s="86"/>
      <c r="Y4671" s="75"/>
    </row>
    <row r="4672" spans="1:25" x14ac:dyDescent="0.25">
      <c r="A4672" s="75"/>
      <c r="C4672" s="81"/>
      <c r="D4672" s="81"/>
      <c r="I4672" s="81"/>
      <c r="K4672" s="82"/>
      <c r="L4672" s="123"/>
      <c r="M4672" s="3"/>
      <c r="N4672" s="3"/>
      <c r="O4672" s="3"/>
      <c r="P4672" s="125"/>
      <c r="Q4672" s="125"/>
      <c r="R4672" s="127"/>
      <c r="S4672" s="123"/>
      <c r="T4672" s="3"/>
      <c r="W4672" s="86"/>
      <c r="Y4672" s="75"/>
    </row>
    <row r="4673" spans="1:25" x14ac:dyDescent="0.25">
      <c r="A4673" s="75"/>
      <c r="C4673" s="81"/>
      <c r="D4673" s="81"/>
      <c r="I4673" s="81"/>
      <c r="K4673" s="82"/>
      <c r="L4673" s="123"/>
      <c r="M4673" s="3"/>
      <c r="N4673" s="3"/>
      <c r="O4673" s="3"/>
      <c r="P4673" s="125"/>
      <c r="Q4673" s="125"/>
      <c r="R4673" s="127"/>
      <c r="S4673" s="123"/>
      <c r="T4673" s="3"/>
      <c r="W4673" s="86"/>
      <c r="Y4673" s="75"/>
    </row>
    <row r="4674" spans="1:25" x14ac:dyDescent="0.25">
      <c r="A4674" s="75"/>
      <c r="C4674" s="81"/>
      <c r="D4674" s="81"/>
      <c r="I4674" s="81"/>
      <c r="K4674" s="82"/>
      <c r="L4674" s="123"/>
      <c r="M4674" s="3"/>
      <c r="N4674" s="3"/>
      <c r="O4674" s="3"/>
      <c r="P4674" s="125"/>
      <c r="Q4674" s="125"/>
      <c r="R4674" s="127"/>
      <c r="S4674" s="123"/>
      <c r="T4674" s="3"/>
      <c r="W4674" s="86"/>
      <c r="Y4674" s="75"/>
    </row>
    <row r="4675" spans="1:25" x14ac:dyDescent="0.25">
      <c r="A4675" s="75"/>
      <c r="C4675" s="81"/>
      <c r="D4675" s="81"/>
      <c r="I4675" s="81"/>
      <c r="K4675" s="82"/>
      <c r="L4675" s="123"/>
      <c r="M4675" s="3"/>
      <c r="N4675" s="3"/>
      <c r="O4675" s="3"/>
      <c r="P4675" s="125"/>
      <c r="Q4675" s="125"/>
      <c r="R4675" s="127"/>
      <c r="S4675" s="123"/>
      <c r="T4675" s="3"/>
      <c r="W4675" s="86"/>
      <c r="Y4675" s="75"/>
    </row>
    <row r="4676" spans="1:25" x14ac:dyDescent="0.25">
      <c r="A4676" s="75"/>
      <c r="C4676" s="81"/>
      <c r="D4676" s="81"/>
      <c r="I4676" s="81"/>
      <c r="K4676" s="82"/>
      <c r="L4676" s="123"/>
      <c r="M4676" s="3"/>
      <c r="N4676" s="3"/>
      <c r="O4676" s="3"/>
      <c r="P4676" s="125"/>
      <c r="Q4676" s="125"/>
      <c r="R4676" s="127"/>
      <c r="S4676" s="123"/>
      <c r="T4676" s="3"/>
      <c r="W4676" s="86"/>
      <c r="Y4676" s="75"/>
    </row>
    <row r="4677" spans="1:25" x14ac:dyDescent="0.25">
      <c r="A4677" s="75"/>
      <c r="C4677" s="81"/>
      <c r="D4677" s="81"/>
      <c r="I4677" s="81"/>
      <c r="K4677" s="82"/>
      <c r="L4677" s="123"/>
      <c r="M4677" s="3"/>
      <c r="N4677" s="3"/>
      <c r="O4677" s="3"/>
      <c r="P4677" s="125"/>
      <c r="Q4677" s="125"/>
      <c r="R4677" s="127"/>
      <c r="S4677" s="123"/>
      <c r="T4677" s="3"/>
      <c r="W4677" s="86"/>
      <c r="Y4677" s="75"/>
    </row>
    <row r="4678" spans="1:25" x14ac:dyDescent="0.25">
      <c r="A4678" s="75"/>
      <c r="C4678" s="81"/>
      <c r="D4678" s="81"/>
      <c r="I4678" s="81"/>
      <c r="K4678" s="82"/>
      <c r="L4678" s="123"/>
      <c r="M4678" s="3"/>
      <c r="N4678" s="3"/>
      <c r="O4678" s="3"/>
      <c r="P4678" s="125"/>
      <c r="Q4678" s="125"/>
      <c r="R4678" s="127"/>
      <c r="S4678" s="123"/>
      <c r="T4678" s="3"/>
      <c r="W4678" s="86"/>
      <c r="Y4678" s="75"/>
    </row>
    <row r="4679" spans="1:25" x14ac:dyDescent="0.25">
      <c r="A4679" s="75"/>
      <c r="C4679" s="81"/>
      <c r="D4679" s="81"/>
      <c r="I4679" s="81"/>
      <c r="K4679" s="82"/>
      <c r="L4679" s="123"/>
      <c r="M4679" s="3"/>
      <c r="N4679" s="3"/>
      <c r="O4679" s="3"/>
      <c r="P4679" s="125"/>
      <c r="Q4679" s="125"/>
      <c r="R4679" s="127"/>
      <c r="S4679" s="123"/>
      <c r="T4679" s="3"/>
      <c r="W4679" s="86"/>
      <c r="Y4679" s="75"/>
    </row>
    <row r="4680" spans="1:25" x14ac:dyDescent="0.25">
      <c r="A4680" s="75"/>
      <c r="C4680" s="81"/>
      <c r="D4680" s="81"/>
      <c r="I4680" s="81"/>
      <c r="K4680" s="82"/>
      <c r="L4680" s="123"/>
      <c r="M4680" s="3"/>
      <c r="N4680" s="3"/>
      <c r="O4680" s="3"/>
      <c r="P4680" s="125"/>
      <c r="Q4680" s="125"/>
      <c r="R4680" s="127"/>
      <c r="S4680" s="123"/>
      <c r="T4680" s="3"/>
      <c r="W4680" s="86"/>
      <c r="Y4680" s="75"/>
    </row>
    <row r="4681" spans="1:25" x14ac:dyDescent="0.25">
      <c r="A4681" s="75"/>
      <c r="C4681" s="81"/>
      <c r="D4681" s="81"/>
      <c r="I4681" s="81"/>
      <c r="K4681" s="82"/>
      <c r="L4681" s="123"/>
      <c r="M4681" s="3"/>
      <c r="N4681" s="3"/>
      <c r="O4681" s="3"/>
      <c r="P4681" s="125"/>
      <c r="Q4681" s="125"/>
      <c r="R4681" s="127"/>
      <c r="S4681" s="123"/>
      <c r="T4681" s="3"/>
      <c r="W4681" s="86"/>
      <c r="Y4681" s="75"/>
    </row>
    <row r="4682" spans="1:25" x14ac:dyDescent="0.25">
      <c r="A4682" s="75"/>
      <c r="C4682" s="81"/>
      <c r="D4682" s="81"/>
      <c r="I4682" s="81"/>
      <c r="K4682" s="82"/>
      <c r="L4682" s="123"/>
      <c r="M4682" s="3"/>
      <c r="N4682" s="3"/>
      <c r="O4682" s="3"/>
      <c r="P4682" s="125"/>
      <c r="Q4682" s="125"/>
      <c r="R4682" s="127"/>
      <c r="S4682" s="123"/>
      <c r="T4682" s="3"/>
      <c r="W4682" s="86"/>
      <c r="Y4682" s="75"/>
    </row>
    <row r="4683" spans="1:25" x14ac:dyDescent="0.25">
      <c r="A4683" s="75"/>
      <c r="C4683" s="81"/>
      <c r="D4683" s="81"/>
      <c r="I4683" s="81"/>
      <c r="K4683" s="82"/>
      <c r="L4683" s="123"/>
      <c r="M4683" s="3"/>
      <c r="N4683" s="3"/>
      <c r="O4683" s="3"/>
      <c r="P4683" s="125"/>
      <c r="Q4683" s="125"/>
      <c r="R4683" s="127"/>
      <c r="S4683" s="123"/>
      <c r="T4683" s="3"/>
      <c r="W4683" s="86"/>
      <c r="Y4683" s="75"/>
    </row>
    <row r="4684" spans="1:25" x14ac:dyDescent="0.25">
      <c r="A4684" s="75"/>
      <c r="C4684" s="81"/>
      <c r="D4684" s="81"/>
      <c r="I4684" s="81"/>
      <c r="K4684" s="82"/>
      <c r="L4684" s="123"/>
      <c r="M4684" s="3"/>
      <c r="N4684" s="3"/>
      <c r="O4684" s="3"/>
      <c r="P4684" s="125"/>
      <c r="Q4684" s="125"/>
      <c r="R4684" s="127"/>
      <c r="S4684" s="123"/>
      <c r="T4684" s="3"/>
      <c r="W4684" s="86"/>
      <c r="Y4684" s="75"/>
    </row>
    <row r="4685" spans="1:25" x14ac:dyDescent="0.25">
      <c r="A4685" s="75"/>
      <c r="C4685" s="81"/>
      <c r="D4685" s="81"/>
      <c r="I4685" s="81"/>
      <c r="K4685" s="82"/>
      <c r="L4685" s="123"/>
      <c r="M4685" s="3"/>
      <c r="N4685" s="3"/>
      <c r="O4685" s="3"/>
      <c r="P4685" s="125"/>
      <c r="Q4685" s="125"/>
      <c r="R4685" s="127"/>
      <c r="S4685" s="123"/>
      <c r="T4685" s="3"/>
      <c r="W4685" s="86"/>
      <c r="Y4685" s="75"/>
    </row>
    <row r="4686" spans="1:25" x14ac:dyDescent="0.25">
      <c r="A4686" s="75"/>
      <c r="C4686" s="81"/>
      <c r="D4686" s="81"/>
      <c r="I4686" s="81"/>
      <c r="K4686" s="82"/>
      <c r="L4686" s="123"/>
      <c r="M4686" s="3"/>
      <c r="N4686" s="3"/>
      <c r="O4686" s="3"/>
      <c r="P4686" s="125"/>
      <c r="Q4686" s="125"/>
      <c r="R4686" s="127"/>
      <c r="S4686" s="123"/>
      <c r="T4686" s="3"/>
      <c r="W4686" s="86"/>
      <c r="Y4686" s="75"/>
    </row>
    <row r="4687" spans="1:25" x14ac:dyDescent="0.25">
      <c r="A4687" s="75"/>
      <c r="C4687" s="81"/>
      <c r="D4687" s="81"/>
      <c r="I4687" s="81"/>
      <c r="K4687" s="82"/>
      <c r="L4687" s="123"/>
      <c r="M4687" s="3"/>
      <c r="N4687" s="3"/>
      <c r="O4687" s="3"/>
      <c r="P4687" s="125"/>
      <c r="Q4687" s="125"/>
      <c r="R4687" s="127"/>
      <c r="S4687" s="123"/>
      <c r="T4687" s="3"/>
      <c r="W4687" s="86"/>
      <c r="Y4687" s="75"/>
    </row>
    <row r="4688" spans="1:25" x14ac:dyDescent="0.25">
      <c r="A4688" s="75"/>
      <c r="C4688" s="81"/>
      <c r="D4688" s="81"/>
      <c r="I4688" s="81"/>
      <c r="K4688" s="82"/>
      <c r="L4688" s="123"/>
      <c r="M4688" s="3"/>
      <c r="N4688" s="3"/>
      <c r="O4688" s="3"/>
      <c r="P4688" s="125"/>
      <c r="Q4688" s="125"/>
      <c r="R4688" s="127"/>
      <c r="S4688" s="123"/>
      <c r="T4688" s="3"/>
      <c r="W4688" s="86"/>
      <c r="Y4688" s="75"/>
    </row>
    <row r="4689" spans="1:25" x14ac:dyDescent="0.25">
      <c r="A4689" s="75"/>
      <c r="C4689" s="81"/>
      <c r="D4689" s="81"/>
      <c r="I4689" s="81"/>
      <c r="K4689" s="82"/>
      <c r="L4689" s="123"/>
      <c r="M4689" s="3"/>
      <c r="N4689" s="3"/>
      <c r="O4689" s="3"/>
      <c r="P4689" s="125"/>
      <c r="Q4689" s="125"/>
      <c r="R4689" s="127"/>
      <c r="S4689" s="123"/>
      <c r="T4689" s="3"/>
      <c r="W4689" s="86"/>
      <c r="Y4689" s="75"/>
    </row>
    <row r="4690" spans="1:25" x14ac:dyDescent="0.25">
      <c r="A4690" s="75"/>
      <c r="C4690" s="81"/>
      <c r="D4690" s="81"/>
      <c r="I4690" s="81"/>
      <c r="K4690" s="82"/>
      <c r="L4690" s="123"/>
      <c r="M4690" s="3"/>
      <c r="N4690" s="3"/>
      <c r="O4690" s="3"/>
      <c r="P4690" s="125"/>
      <c r="Q4690" s="125"/>
      <c r="R4690" s="127"/>
      <c r="S4690" s="123"/>
      <c r="T4690" s="3"/>
      <c r="W4690" s="86"/>
      <c r="Y4690" s="75"/>
    </row>
    <row r="4691" spans="1:25" x14ac:dyDescent="0.25">
      <c r="A4691" s="75"/>
      <c r="C4691" s="81"/>
      <c r="D4691" s="81"/>
      <c r="I4691" s="81"/>
      <c r="K4691" s="82"/>
      <c r="L4691" s="123"/>
      <c r="M4691" s="3"/>
      <c r="N4691" s="3"/>
      <c r="O4691" s="3"/>
      <c r="P4691" s="125"/>
      <c r="Q4691" s="125"/>
      <c r="R4691" s="127"/>
      <c r="S4691" s="123"/>
      <c r="T4691" s="3"/>
      <c r="W4691" s="86"/>
      <c r="Y4691" s="75"/>
    </row>
    <row r="4692" spans="1:25" x14ac:dyDescent="0.25">
      <c r="A4692" s="75"/>
      <c r="C4692" s="81"/>
      <c r="D4692" s="81"/>
      <c r="I4692" s="81"/>
      <c r="K4692" s="82"/>
      <c r="L4692" s="123"/>
      <c r="M4692" s="3"/>
      <c r="N4692" s="3"/>
      <c r="O4692" s="3"/>
      <c r="P4692" s="125"/>
      <c r="Q4692" s="125"/>
      <c r="R4692" s="127"/>
      <c r="S4692" s="123"/>
      <c r="T4692" s="3"/>
      <c r="W4692" s="86"/>
      <c r="Y4692" s="75"/>
    </row>
    <row r="4693" spans="1:25" x14ac:dyDescent="0.25">
      <c r="A4693" s="75"/>
      <c r="C4693" s="81"/>
      <c r="D4693" s="81"/>
      <c r="I4693" s="81"/>
      <c r="K4693" s="82"/>
      <c r="L4693" s="123"/>
      <c r="M4693" s="3"/>
      <c r="N4693" s="3"/>
      <c r="O4693" s="3"/>
      <c r="P4693" s="125"/>
      <c r="Q4693" s="125"/>
      <c r="R4693" s="127"/>
      <c r="S4693" s="123"/>
      <c r="T4693" s="3"/>
      <c r="W4693" s="86"/>
      <c r="Y4693" s="75"/>
    </row>
    <row r="4694" spans="1:25" x14ac:dyDescent="0.25">
      <c r="A4694" s="75"/>
      <c r="C4694" s="81"/>
      <c r="D4694" s="81"/>
      <c r="I4694" s="81"/>
      <c r="K4694" s="82"/>
      <c r="L4694" s="123"/>
      <c r="M4694" s="3"/>
      <c r="N4694" s="3"/>
      <c r="O4694" s="3"/>
      <c r="P4694" s="125"/>
      <c r="Q4694" s="125"/>
      <c r="R4694" s="127"/>
      <c r="S4694" s="123"/>
      <c r="T4694" s="3"/>
      <c r="W4694" s="86"/>
      <c r="Y4694" s="75"/>
    </row>
    <row r="4695" spans="1:25" x14ac:dyDescent="0.25">
      <c r="A4695" s="75"/>
      <c r="C4695" s="81"/>
      <c r="D4695" s="81"/>
      <c r="I4695" s="81"/>
      <c r="K4695" s="82"/>
      <c r="L4695" s="123"/>
      <c r="M4695" s="3"/>
      <c r="N4695" s="3"/>
      <c r="O4695" s="3"/>
      <c r="P4695" s="125"/>
      <c r="Q4695" s="125"/>
      <c r="R4695" s="127"/>
      <c r="S4695" s="123"/>
      <c r="T4695" s="3"/>
      <c r="W4695" s="86"/>
      <c r="Y4695" s="75"/>
    </row>
    <row r="4696" spans="1:25" x14ac:dyDescent="0.25">
      <c r="A4696" s="75"/>
      <c r="C4696" s="81"/>
      <c r="D4696" s="81"/>
      <c r="I4696" s="81"/>
      <c r="K4696" s="82"/>
      <c r="L4696" s="123"/>
      <c r="M4696" s="3"/>
      <c r="N4696" s="3"/>
      <c r="O4696" s="3"/>
      <c r="P4696" s="125"/>
      <c r="Q4696" s="125"/>
      <c r="R4696" s="127"/>
      <c r="S4696" s="123"/>
      <c r="T4696" s="3"/>
      <c r="W4696" s="86"/>
      <c r="Y4696" s="75"/>
    </row>
    <row r="4697" spans="1:25" x14ac:dyDescent="0.25">
      <c r="A4697" s="75"/>
      <c r="C4697" s="81"/>
      <c r="D4697" s="81"/>
      <c r="I4697" s="81"/>
      <c r="K4697" s="82"/>
      <c r="L4697" s="123"/>
      <c r="M4697" s="3"/>
      <c r="N4697" s="3"/>
      <c r="O4697" s="3"/>
      <c r="P4697" s="125"/>
      <c r="Q4697" s="125"/>
      <c r="R4697" s="127"/>
      <c r="S4697" s="123"/>
      <c r="T4697" s="3"/>
      <c r="W4697" s="86"/>
      <c r="Y4697" s="75"/>
    </row>
    <row r="4698" spans="1:25" x14ac:dyDescent="0.25">
      <c r="A4698" s="75"/>
      <c r="C4698" s="81"/>
      <c r="D4698" s="81"/>
      <c r="I4698" s="81"/>
      <c r="K4698" s="82"/>
      <c r="L4698" s="123"/>
      <c r="M4698" s="3"/>
      <c r="N4698" s="3"/>
      <c r="O4698" s="3"/>
      <c r="P4698" s="125"/>
      <c r="Q4698" s="125"/>
      <c r="R4698" s="127"/>
      <c r="S4698" s="123"/>
      <c r="T4698" s="3"/>
      <c r="W4698" s="86"/>
      <c r="Y4698" s="75"/>
    </row>
    <row r="4699" spans="1:25" x14ac:dyDescent="0.25">
      <c r="A4699" s="75"/>
      <c r="C4699" s="81"/>
      <c r="D4699" s="81"/>
      <c r="I4699" s="81"/>
      <c r="K4699" s="82"/>
      <c r="L4699" s="123"/>
      <c r="M4699" s="3"/>
      <c r="N4699" s="3"/>
      <c r="O4699" s="3"/>
      <c r="P4699" s="125"/>
      <c r="Q4699" s="125"/>
      <c r="R4699" s="127"/>
      <c r="S4699" s="123"/>
      <c r="T4699" s="3"/>
      <c r="W4699" s="86"/>
      <c r="Y4699" s="75"/>
    </row>
    <row r="4700" spans="1:25" x14ac:dyDescent="0.25">
      <c r="A4700" s="75"/>
      <c r="C4700" s="81"/>
      <c r="D4700" s="81"/>
      <c r="I4700" s="81"/>
      <c r="K4700" s="82"/>
      <c r="L4700" s="123"/>
      <c r="M4700" s="3"/>
      <c r="N4700" s="3"/>
      <c r="O4700" s="3"/>
      <c r="P4700" s="125"/>
      <c r="Q4700" s="125"/>
      <c r="R4700" s="127"/>
      <c r="S4700" s="123"/>
      <c r="T4700" s="3"/>
      <c r="W4700" s="86"/>
      <c r="Y4700" s="75"/>
    </row>
    <row r="4701" spans="1:25" x14ac:dyDescent="0.25">
      <c r="A4701" s="75"/>
      <c r="C4701" s="81"/>
      <c r="D4701" s="81"/>
      <c r="I4701" s="81"/>
      <c r="K4701" s="82"/>
      <c r="L4701" s="123"/>
      <c r="M4701" s="3"/>
      <c r="N4701" s="3"/>
      <c r="O4701" s="3"/>
      <c r="P4701" s="125"/>
      <c r="Q4701" s="125"/>
      <c r="R4701" s="127"/>
      <c r="S4701" s="123"/>
      <c r="T4701" s="3"/>
      <c r="W4701" s="86"/>
      <c r="Y4701" s="75"/>
    </row>
    <row r="4702" spans="1:25" x14ac:dyDescent="0.25">
      <c r="A4702" s="75"/>
      <c r="C4702" s="81"/>
      <c r="D4702" s="81"/>
      <c r="I4702" s="81"/>
      <c r="K4702" s="82"/>
      <c r="L4702" s="123"/>
      <c r="M4702" s="3"/>
      <c r="N4702" s="3"/>
      <c r="O4702" s="3"/>
      <c r="P4702" s="125"/>
      <c r="Q4702" s="125"/>
      <c r="R4702" s="127"/>
      <c r="S4702" s="123"/>
      <c r="T4702" s="3"/>
      <c r="W4702" s="86"/>
      <c r="Y4702" s="75"/>
    </row>
    <row r="4703" spans="1:25" x14ac:dyDescent="0.25">
      <c r="A4703" s="75"/>
      <c r="C4703" s="81"/>
      <c r="D4703" s="81"/>
      <c r="I4703" s="81"/>
      <c r="K4703" s="82"/>
      <c r="L4703" s="123"/>
      <c r="M4703" s="3"/>
      <c r="N4703" s="3"/>
      <c r="O4703" s="3"/>
      <c r="P4703" s="125"/>
      <c r="Q4703" s="125"/>
      <c r="R4703" s="127"/>
      <c r="S4703" s="123"/>
      <c r="T4703" s="3"/>
      <c r="W4703" s="86"/>
      <c r="Y4703" s="75"/>
    </row>
    <row r="4704" spans="1:25" x14ac:dyDescent="0.25">
      <c r="A4704" s="75"/>
      <c r="C4704" s="81"/>
      <c r="D4704" s="81"/>
      <c r="I4704" s="81"/>
      <c r="K4704" s="82"/>
      <c r="L4704" s="123"/>
      <c r="M4704" s="3"/>
      <c r="N4704" s="3"/>
      <c r="O4704" s="3"/>
      <c r="P4704" s="125"/>
      <c r="Q4704" s="125"/>
      <c r="R4704" s="127"/>
      <c r="S4704" s="123"/>
      <c r="T4704" s="3"/>
      <c r="W4704" s="86"/>
      <c r="Y4704" s="75"/>
    </row>
    <row r="4705" spans="1:25" x14ac:dyDescent="0.25">
      <c r="A4705" s="75"/>
      <c r="C4705" s="81"/>
      <c r="D4705" s="81"/>
      <c r="I4705" s="81"/>
      <c r="K4705" s="82"/>
      <c r="L4705" s="123"/>
      <c r="M4705" s="3"/>
      <c r="N4705" s="3"/>
      <c r="O4705" s="3"/>
      <c r="P4705" s="125"/>
      <c r="Q4705" s="125"/>
      <c r="R4705" s="127"/>
      <c r="S4705" s="123"/>
      <c r="T4705" s="3"/>
      <c r="W4705" s="86"/>
      <c r="Y4705" s="75"/>
    </row>
    <row r="4706" spans="1:25" x14ac:dyDescent="0.25">
      <c r="A4706" s="75"/>
      <c r="C4706" s="81"/>
      <c r="D4706" s="81"/>
      <c r="I4706" s="81"/>
      <c r="K4706" s="82"/>
      <c r="L4706" s="123"/>
      <c r="M4706" s="3"/>
      <c r="N4706" s="3"/>
      <c r="O4706" s="3"/>
      <c r="P4706" s="125"/>
      <c r="Q4706" s="125"/>
      <c r="R4706" s="127"/>
      <c r="S4706" s="123"/>
      <c r="T4706" s="3"/>
      <c r="W4706" s="86"/>
      <c r="Y4706" s="75"/>
    </row>
    <row r="4707" spans="1:25" x14ac:dyDescent="0.25">
      <c r="A4707" s="75"/>
      <c r="C4707" s="81"/>
      <c r="D4707" s="81"/>
      <c r="I4707" s="81"/>
      <c r="K4707" s="82"/>
      <c r="L4707" s="123"/>
      <c r="M4707" s="3"/>
      <c r="N4707" s="3"/>
      <c r="O4707" s="3"/>
      <c r="P4707" s="125"/>
      <c r="Q4707" s="125"/>
      <c r="R4707" s="127"/>
      <c r="S4707" s="123"/>
      <c r="T4707" s="3"/>
      <c r="W4707" s="86"/>
      <c r="Y4707" s="75"/>
    </row>
    <row r="4708" spans="1:25" x14ac:dyDescent="0.25">
      <c r="A4708" s="75"/>
      <c r="C4708" s="81"/>
      <c r="D4708" s="81"/>
      <c r="I4708" s="81"/>
      <c r="K4708" s="82"/>
      <c r="L4708" s="123"/>
      <c r="M4708" s="3"/>
      <c r="N4708" s="3"/>
      <c r="O4708" s="3"/>
      <c r="P4708" s="125"/>
      <c r="Q4708" s="125"/>
      <c r="R4708" s="127"/>
      <c r="S4708" s="123"/>
      <c r="T4708" s="3"/>
      <c r="W4708" s="86"/>
      <c r="Y4708" s="75"/>
    </row>
    <row r="4709" spans="1:25" x14ac:dyDescent="0.25">
      <c r="A4709" s="75"/>
      <c r="C4709" s="81"/>
      <c r="D4709" s="81"/>
      <c r="I4709" s="81"/>
      <c r="K4709" s="82"/>
      <c r="L4709" s="123"/>
      <c r="M4709" s="3"/>
      <c r="N4709" s="3"/>
      <c r="O4709" s="3"/>
      <c r="P4709" s="125"/>
      <c r="Q4709" s="125"/>
      <c r="R4709" s="127"/>
      <c r="S4709" s="123"/>
      <c r="T4709" s="3"/>
      <c r="W4709" s="86"/>
      <c r="Y4709" s="75"/>
    </row>
    <row r="4710" spans="1:25" x14ac:dyDescent="0.25">
      <c r="A4710" s="75"/>
      <c r="C4710" s="81"/>
      <c r="D4710" s="81"/>
      <c r="I4710" s="81"/>
      <c r="K4710" s="82"/>
      <c r="L4710" s="123"/>
      <c r="M4710" s="3"/>
      <c r="N4710" s="3"/>
      <c r="O4710" s="3"/>
      <c r="P4710" s="125"/>
      <c r="Q4710" s="125"/>
      <c r="R4710" s="127"/>
      <c r="S4710" s="123"/>
      <c r="T4710" s="3"/>
      <c r="W4710" s="86"/>
      <c r="Y4710" s="75"/>
    </row>
    <row r="4711" spans="1:25" x14ac:dyDescent="0.25">
      <c r="A4711" s="75"/>
      <c r="C4711" s="81"/>
      <c r="D4711" s="81"/>
      <c r="I4711" s="81"/>
      <c r="K4711" s="82"/>
      <c r="L4711" s="123"/>
      <c r="M4711" s="3"/>
      <c r="N4711" s="3"/>
      <c r="O4711" s="3"/>
      <c r="P4711" s="125"/>
      <c r="Q4711" s="125"/>
      <c r="R4711" s="127"/>
      <c r="S4711" s="123"/>
      <c r="T4711" s="3"/>
      <c r="W4711" s="86"/>
      <c r="Y4711" s="75"/>
    </row>
    <row r="4712" spans="1:25" x14ac:dyDescent="0.25">
      <c r="A4712" s="75"/>
      <c r="C4712" s="81"/>
      <c r="D4712" s="81"/>
      <c r="I4712" s="81"/>
      <c r="K4712" s="82"/>
      <c r="L4712" s="123"/>
      <c r="M4712" s="3"/>
      <c r="N4712" s="3"/>
      <c r="O4712" s="3"/>
      <c r="P4712" s="125"/>
      <c r="Q4712" s="125"/>
      <c r="R4712" s="127"/>
      <c r="S4712" s="123"/>
      <c r="T4712" s="3"/>
      <c r="W4712" s="86"/>
      <c r="Y4712" s="75"/>
    </row>
    <row r="4713" spans="1:25" x14ac:dyDescent="0.25">
      <c r="A4713" s="75"/>
      <c r="C4713" s="81"/>
      <c r="D4713" s="81"/>
      <c r="I4713" s="81"/>
      <c r="K4713" s="82"/>
      <c r="L4713" s="123"/>
      <c r="M4713" s="3"/>
      <c r="N4713" s="3"/>
      <c r="O4713" s="3"/>
      <c r="P4713" s="125"/>
      <c r="Q4713" s="125"/>
      <c r="R4713" s="127"/>
      <c r="S4713" s="123"/>
      <c r="T4713" s="3"/>
      <c r="W4713" s="86"/>
      <c r="Y4713" s="75"/>
    </row>
    <row r="4714" spans="1:25" x14ac:dyDescent="0.25">
      <c r="A4714" s="75"/>
      <c r="C4714" s="81"/>
      <c r="D4714" s="81"/>
      <c r="I4714" s="81"/>
      <c r="K4714" s="82"/>
      <c r="L4714" s="123"/>
      <c r="M4714" s="3"/>
      <c r="N4714" s="3"/>
      <c r="O4714" s="3"/>
      <c r="P4714" s="125"/>
      <c r="Q4714" s="125"/>
      <c r="R4714" s="127"/>
      <c r="S4714" s="123"/>
      <c r="T4714" s="3"/>
      <c r="W4714" s="86"/>
      <c r="Y4714" s="75"/>
    </row>
    <row r="4715" spans="1:25" x14ac:dyDescent="0.25">
      <c r="A4715" s="75"/>
      <c r="C4715" s="81"/>
      <c r="D4715" s="81"/>
      <c r="I4715" s="81"/>
      <c r="K4715" s="82"/>
      <c r="L4715" s="123"/>
      <c r="M4715" s="3"/>
      <c r="N4715" s="3"/>
      <c r="O4715" s="3"/>
      <c r="P4715" s="125"/>
      <c r="Q4715" s="125"/>
      <c r="R4715" s="127"/>
      <c r="S4715" s="123"/>
      <c r="T4715" s="3"/>
      <c r="W4715" s="86"/>
      <c r="Y4715" s="75"/>
    </row>
    <row r="4716" spans="1:25" x14ac:dyDescent="0.25">
      <c r="A4716" s="75"/>
      <c r="C4716" s="81"/>
      <c r="D4716" s="81"/>
      <c r="I4716" s="81"/>
      <c r="K4716" s="82"/>
      <c r="L4716" s="123"/>
      <c r="M4716" s="3"/>
      <c r="N4716" s="3"/>
      <c r="O4716" s="3"/>
      <c r="P4716" s="125"/>
      <c r="Q4716" s="125"/>
      <c r="R4716" s="127"/>
      <c r="S4716" s="123"/>
      <c r="T4716" s="3"/>
      <c r="W4716" s="86"/>
      <c r="Y4716" s="75"/>
    </row>
    <row r="4717" spans="1:25" x14ac:dyDescent="0.25">
      <c r="A4717" s="75"/>
      <c r="C4717" s="81"/>
      <c r="D4717" s="81"/>
      <c r="I4717" s="81"/>
      <c r="K4717" s="82"/>
      <c r="L4717" s="123"/>
      <c r="M4717" s="3"/>
      <c r="N4717" s="3"/>
      <c r="O4717" s="3"/>
      <c r="P4717" s="125"/>
      <c r="Q4717" s="125"/>
      <c r="R4717" s="127"/>
      <c r="S4717" s="123"/>
      <c r="T4717" s="3"/>
      <c r="W4717" s="86"/>
      <c r="Y4717" s="75"/>
    </row>
    <row r="4718" spans="1:25" x14ac:dyDescent="0.25">
      <c r="A4718" s="75"/>
      <c r="C4718" s="81"/>
      <c r="D4718" s="81"/>
      <c r="I4718" s="81"/>
      <c r="K4718" s="82"/>
      <c r="L4718" s="123"/>
      <c r="M4718" s="3"/>
      <c r="N4718" s="3"/>
      <c r="O4718" s="3"/>
      <c r="P4718" s="125"/>
      <c r="Q4718" s="125"/>
      <c r="R4718" s="127"/>
      <c r="S4718" s="123"/>
      <c r="T4718" s="3"/>
      <c r="W4718" s="86"/>
      <c r="Y4718" s="75"/>
    </row>
    <row r="4719" spans="1:25" x14ac:dyDescent="0.25">
      <c r="A4719" s="75"/>
      <c r="C4719" s="81"/>
      <c r="D4719" s="81"/>
      <c r="I4719" s="81"/>
      <c r="K4719" s="82"/>
      <c r="L4719" s="123"/>
      <c r="M4719" s="3"/>
      <c r="N4719" s="3"/>
      <c r="O4719" s="3"/>
      <c r="P4719" s="125"/>
      <c r="Q4719" s="125"/>
      <c r="R4719" s="127"/>
      <c r="S4719" s="123"/>
      <c r="T4719" s="3"/>
      <c r="W4719" s="86"/>
      <c r="Y4719" s="75"/>
    </row>
    <row r="4720" spans="1:25" x14ac:dyDescent="0.25">
      <c r="A4720" s="75"/>
      <c r="C4720" s="81"/>
      <c r="D4720" s="81"/>
      <c r="I4720" s="81"/>
      <c r="K4720" s="82"/>
      <c r="L4720" s="123"/>
      <c r="M4720" s="3"/>
      <c r="N4720" s="3"/>
      <c r="O4720" s="3"/>
      <c r="P4720" s="125"/>
      <c r="Q4720" s="125"/>
      <c r="R4720" s="127"/>
      <c r="S4720" s="123"/>
      <c r="T4720" s="3"/>
      <c r="W4720" s="86"/>
      <c r="Y4720" s="75"/>
    </row>
    <row r="4721" spans="1:25" x14ac:dyDescent="0.25">
      <c r="A4721" s="75"/>
      <c r="C4721" s="81"/>
      <c r="D4721" s="81"/>
      <c r="I4721" s="81"/>
      <c r="K4721" s="82"/>
      <c r="L4721" s="123"/>
      <c r="M4721" s="3"/>
      <c r="N4721" s="3"/>
      <c r="O4721" s="3"/>
      <c r="P4721" s="125"/>
      <c r="Q4721" s="125"/>
      <c r="R4721" s="127"/>
      <c r="S4721" s="123"/>
      <c r="T4721" s="3"/>
      <c r="W4721" s="86"/>
      <c r="Y4721" s="75"/>
    </row>
    <row r="4722" spans="1:25" x14ac:dyDescent="0.25">
      <c r="A4722" s="75"/>
      <c r="C4722" s="81"/>
      <c r="D4722" s="81"/>
      <c r="I4722" s="81"/>
      <c r="K4722" s="82"/>
      <c r="L4722" s="123"/>
      <c r="M4722" s="3"/>
      <c r="N4722" s="3"/>
      <c r="O4722" s="3"/>
      <c r="P4722" s="125"/>
      <c r="Q4722" s="125"/>
      <c r="R4722" s="127"/>
      <c r="S4722" s="123"/>
      <c r="T4722" s="3"/>
      <c r="W4722" s="86"/>
      <c r="Y4722" s="75"/>
    </row>
    <row r="4723" spans="1:25" x14ac:dyDescent="0.25">
      <c r="A4723" s="75"/>
      <c r="C4723" s="81"/>
      <c r="D4723" s="81"/>
      <c r="I4723" s="81"/>
      <c r="K4723" s="82"/>
      <c r="L4723" s="123"/>
      <c r="M4723" s="3"/>
      <c r="N4723" s="3"/>
      <c r="O4723" s="3"/>
      <c r="P4723" s="125"/>
      <c r="Q4723" s="125"/>
      <c r="R4723" s="127"/>
      <c r="S4723" s="123"/>
      <c r="T4723" s="3"/>
      <c r="W4723" s="86"/>
      <c r="Y4723" s="75"/>
    </row>
    <row r="4724" spans="1:25" x14ac:dyDescent="0.25">
      <c r="A4724" s="75"/>
      <c r="C4724" s="81"/>
      <c r="D4724" s="81"/>
      <c r="I4724" s="81"/>
      <c r="K4724" s="82"/>
      <c r="L4724" s="123"/>
      <c r="M4724" s="3"/>
      <c r="N4724" s="3"/>
      <c r="O4724" s="3"/>
      <c r="P4724" s="125"/>
      <c r="Q4724" s="125"/>
      <c r="R4724" s="127"/>
      <c r="S4724" s="123"/>
      <c r="T4724" s="3"/>
      <c r="W4724" s="86"/>
      <c r="Y4724" s="75"/>
    </row>
    <row r="4725" spans="1:25" x14ac:dyDescent="0.25">
      <c r="A4725" s="75"/>
      <c r="C4725" s="81"/>
      <c r="D4725" s="81"/>
      <c r="I4725" s="81"/>
      <c r="K4725" s="82"/>
      <c r="L4725" s="123"/>
      <c r="M4725" s="3"/>
      <c r="N4725" s="3"/>
      <c r="O4725" s="3"/>
      <c r="P4725" s="125"/>
      <c r="Q4725" s="125"/>
      <c r="R4725" s="127"/>
      <c r="S4725" s="123"/>
      <c r="T4725" s="3"/>
      <c r="W4725" s="86"/>
      <c r="Y4725" s="75"/>
    </row>
    <row r="4726" spans="1:25" x14ac:dyDescent="0.25">
      <c r="A4726" s="75"/>
      <c r="C4726" s="81"/>
      <c r="D4726" s="81"/>
      <c r="I4726" s="81"/>
      <c r="K4726" s="82"/>
      <c r="L4726" s="123"/>
      <c r="M4726" s="3"/>
      <c r="N4726" s="3"/>
      <c r="O4726" s="3"/>
      <c r="P4726" s="125"/>
      <c r="Q4726" s="125"/>
      <c r="R4726" s="127"/>
      <c r="S4726" s="123"/>
      <c r="T4726" s="3"/>
      <c r="W4726" s="86"/>
      <c r="Y4726" s="75"/>
    </row>
    <row r="4727" spans="1:25" x14ac:dyDescent="0.25">
      <c r="A4727" s="75"/>
      <c r="C4727" s="81"/>
      <c r="D4727" s="81"/>
      <c r="I4727" s="81"/>
      <c r="K4727" s="82"/>
      <c r="L4727" s="123"/>
      <c r="M4727" s="3"/>
      <c r="N4727" s="3"/>
      <c r="O4727" s="3"/>
      <c r="P4727" s="125"/>
      <c r="Q4727" s="125"/>
      <c r="R4727" s="127"/>
      <c r="S4727" s="123"/>
      <c r="T4727" s="3"/>
      <c r="W4727" s="86"/>
      <c r="Y4727" s="75"/>
    </row>
    <row r="4728" spans="1:25" x14ac:dyDescent="0.25">
      <c r="A4728" s="75"/>
      <c r="C4728" s="81"/>
      <c r="D4728" s="81"/>
      <c r="I4728" s="81"/>
      <c r="K4728" s="82"/>
      <c r="L4728" s="123"/>
      <c r="M4728" s="3"/>
      <c r="N4728" s="3"/>
      <c r="O4728" s="3"/>
      <c r="P4728" s="125"/>
      <c r="Q4728" s="125"/>
      <c r="R4728" s="127"/>
      <c r="S4728" s="123"/>
      <c r="T4728" s="3"/>
      <c r="W4728" s="86"/>
      <c r="Y4728" s="75"/>
    </row>
    <row r="4729" spans="1:25" x14ac:dyDescent="0.25">
      <c r="A4729" s="75"/>
      <c r="C4729" s="81"/>
      <c r="D4729" s="81"/>
      <c r="I4729" s="81"/>
      <c r="K4729" s="82"/>
      <c r="L4729" s="123"/>
      <c r="M4729" s="3"/>
      <c r="N4729" s="3"/>
      <c r="O4729" s="3"/>
      <c r="P4729" s="125"/>
      <c r="Q4729" s="125"/>
      <c r="R4729" s="127"/>
      <c r="S4729" s="123"/>
      <c r="T4729" s="3"/>
      <c r="W4729" s="86"/>
      <c r="Y4729" s="75"/>
    </row>
    <row r="4730" spans="1:25" x14ac:dyDescent="0.25">
      <c r="A4730" s="75"/>
      <c r="C4730" s="81"/>
      <c r="D4730" s="81"/>
      <c r="I4730" s="81"/>
      <c r="K4730" s="82"/>
      <c r="L4730" s="123"/>
      <c r="M4730" s="3"/>
      <c r="N4730" s="3"/>
      <c r="O4730" s="3"/>
      <c r="P4730" s="125"/>
      <c r="Q4730" s="125"/>
      <c r="R4730" s="127"/>
      <c r="S4730" s="123"/>
      <c r="T4730" s="3"/>
      <c r="W4730" s="86"/>
      <c r="Y4730" s="75"/>
    </row>
    <row r="4731" spans="1:25" x14ac:dyDescent="0.25">
      <c r="A4731" s="75"/>
      <c r="C4731" s="81"/>
      <c r="D4731" s="81"/>
      <c r="I4731" s="81"/>
      <c r="K4731" s="82"/>
      <c r="L4731" s="123"/>
      <c r="M4731" s="3"/>
      <c r="N4731" s="3"/>
      <c r="O4731" s="3"/>
      <c r="P4731" s="125"/>
      <c r="Q4731" s="125"/>
      <c r="R4731" s="127"/>
      <c r="S4731" s="123"/>
      <c r="T4731" s="3"/>
      <c r="W4731" s="86"/>
      <c r="Y4731" s="75"/>
    </row>
    <row r="4732" spans="1:25" x14ac:dyDescent="0.25">
      <c r="A4732" s="75"/>
      <c r="C4732" s="81"/>
      <c r="D4732" s="81"/>
      <c r="I4732" s="81"/>
      <c r="K4732" s="82"/>
      <c r="L4732" s="123"/>
      <c r="M4732" s="3"/>
      <c r="N4732" s="3"/>
      <c r="O4732" s="3"/>
      <c r="P4732" s="125"/>
      <c r="Q4732" s="125"/>
      <c r="R4732" s="127"/>
      <c r="S4732" s="123"/>
      <c r="T4732" s="3"/>
      <c r="W4732" s="86"/>
      <c r="Y4732" s="75"/>
    </row>
    <row r="4733" spans="1:25" x14ac:dyDescent="0.25">
      <c r="A4733" s="75"/>
      <c r="C4733" s="81"/>
      <c r="D4733" s="81"/>
      <c r="I4733" s="81"/>
      <c r="K4733" s="82"/>
      <c r="L4733" s="123"/>
      <c r="M4733" s="3"/>
      <c r="N4733" s="3"/>
      <c r="O4733" s="3"/>
      <c r="P4733" s="125"/>
      <c r="Q4733" s="125"/>
      <c r="R4733" s="127"/>
      <c r="S4733" s="123"/>
      <c r="T4733" s="3"/>
      <c r="W4733" s="86"/>
      <c r="Y4733" s="75"/>
    </row>
    <row r="4734" spans="1:25" x14ac:dyDescent="0.25">
      <c r="A4734" s="75"/>
      <c r="C4734" s="81"/>
      <c r="D4734" s="81"/>
      <c r="I4734" s="81"/>
      <c r="K4734" s="82"/>
      <c r="L4734" s="123"/>
      <c r="M4734" s="3"/>
      <c r="N4734" s="3"/>
      <c r="O4734" s="3"/>
      <c r="P4734" s="125"/>
      <c r="Q4734" s="125"/>
      <c r="R4734" s="127"/>
      <c r="S4734" s="123"/>
      <c r="T4734" s="3"/>
      <c r="W4734" s="86"/>
      <c r="Y4734" s="75"/>
    </row>
    <row r="4735" spans="1:25" x14ac:dyDescent="0.25">
      <c r="A4735" s="75"/>
      <c r="C4735" s="81"/>
      <c r="D4735" s="81"/>
      <c r="I4735" s="81"/>
      <c r="K4735" s="82"/>
      <c r="L4735" s="123"/>
      <c r="M4735" s="3"/>
      <c r="N4735" s="3"/>
      <c r="O4735" s="3"/>
      <c r="P4735" s="125"/>
      <c r="Q4735" s="125"/>
      <c r="R4735" s="127"/>
      <c r="S4735" s="123"/>
      <c r="T4735" s="3"/>
      <c r="W4735" s="86"/>
      <c r="Y4735" s="75"/>
    </row>
    <row r="4736" spans="1:25" x14ac:dyDescent="0.25">
      <c r="A4736" s="75"/>
      <c r="C4736" s="81"/>
      <c r="D4736" s="81"/>
      <c r="I4736" s="81"/>
      <c r="K4736" s="82"/>
      <c r="L4736" s="123"/>
      <c r="M4736" s="3"/>
      <c r="N4736" s="3"/>
      <c r="O4736" s="3"/>
      <c r="P4736" s="125"/>
      <c r="Q4736" s="125"/>
      <c r="R4736" s="127"/>
      <c r="S4736" s="123"/>
      <c r="T4736" s="3"/>
      <c r="W4736" s="86"/>
      <c r="Y4736" s="75"/>
    </row>
    <row r="4737" spans="1:25" x14ac:dyDescent="0.25">
      <c r="A4737" s="75"/>
      <c r="C4737" s="81"/>
      <c r="D4737" s="81"/>
      <c r="I4737" s="81"/>
      <c r="K4737" s="82"/>
      <c r="L4737" s="123"/>
      <c r="M4737" s="3"/>
      <c r="N4737" s="3"/>
      <c r="O4737" s="3"/>
      <c r="P4737" s="125"/>
      <c r="Q4737" s="125"/>
      <c r="R4737" s="127"/>
      <c r="S4737" s="123"/>
      <c r="T4737" s="3"/>
      <c r="W4737" s="86"/>
      <c r="Y4737" s="75"/>
    </row>
    <row r="4738" spans="1:25" x14ac:dyDescent="0.25">
      <c r="A4738" s="75"/>
      <c r="C4738" s="81"/>
      <c r="D4738" s="81"/>
      <c r="I4738" s="81"/>
      <c r="K4738" s="82"/>
      <c r="L4738" s="123"/>
      <c r="M4738" s="3"/>
      <c r="N4738" s="3"/>
      <c r="O4738" s="3"/>
      <c r="P4738" s="125"/>
      <c r="Q4738" s="125"/>
      <c r="R4738" s="127"/>
      <c r="S4738" s="123"/>
      <c r="T4738" s="3"/>
      <c r="W4738" s="86"/>
      <c r="Y4738" s="75"/>
    </row>
    <row r="4739" spans="1:25" x14ac:dyDescent="0.25">
      <c r="A4739" s="75"/>
      <c r="C4739" s="81"/>
      <c r="D4739" s="81"/>
      <c r="I4739" s="81"/>
      <c r="K4739" s="82"/>
      <c r="L4739" s="123"/>
      <c r="M4739" s="3"/>
      <c r="N4739" s="3"/>
      <c r="O4739" s="3"/>
      <c r="P4739" s="125"/>
      <c r="Q4739" s="125"/>
      <c r="R4739" s="127"/>
      <c r="S4739" s="123"/>
      <c r="T4739" s="3"/>
      <c r="W4739" s="86"/>
      <c r="Y4739" s="75"/>
    </row>
    <row r="4740" spans="1:25" x14ac:dyDescent="0.25">
      <c r="A4740" s="75"/>
      <c r="C4740" s="81"/>
      <c r="D4740" s="81"/>
      <c r="I4740" s="81"/>
      <c r="K4740" s="82"/>
      <c r="L4740" s="123"/>
      <c r="M4740" s="3"/>
      <c r="N4740" s="3"/>
      <c r="O4740" s="3"/>
      <c r="P4740" s="125"/>
      <c r="Q4740" s="125"/>
      <c r="R4740" s="127"/>
      <c r="S4740" s="123"/>
      <c r="T4740" s="3"/>
      <c r="W4740" s="86"/>
      <c r="Y4740" s="75"/>
    </row>
    <row r="4741" spans="1:25" x14ac:dyDescent="0.25">
      <c r="A4741" s="75"/>
      <c r="C4741" s="81"/>
      <c r="D4741" s="81"/>
      <c r="I4741" s="81"/>
      <c r="K4741" s="82"/>
      <c r="L4741" s="123"/>
      <c r="M4741" s="3"/>
      <c r="N4741" s="3"/>
      <c r="O4741" s="3"/>
      <c r="P4741" s="125"/>
      <c r="Q4741" s="125"/>
      <c r="R4741" s="127"/>
      <c r="S4741" s="123"/>
      <c r="T4741" s="3"/>
      <c r="W4741" s="86"/>
      <c r="Y4741" s="75"/>
    </row>
    <row r="4742" spans="1:25" x14ac:dyDescent="0.25">
      <c r="A4742" s="75"/>
      <c r="C4742" s="81"/>
      <c r="D4742" s="81"/>
      <c r="I4742" s="81"/>
      <c r="K4742" s="82"/>
      <c r="L4742" s="123"/>
      <c r="M4742" s="3"/>
      <c r="N4742" s="3"/>
      <c r="O4742" s="3"/>
      <c r="P4742" s="125"/>
      <c r="Q4742" s="125"/>
      <c r="R4742" s="127"/>
      <c r="S4742" s="123"/>
      <c r="T4742" s="3"/>
      <c r="W4742" s="86"/>
      <c r="Y4742" s="75"/>
    </row>
    <row r="4743" spans="1:25" x14ac:dyDescent="0.25">
      <c r="A4743" s="75"/>
      <c r="C4743" s="81"/>
      <c r="D4743" s="81"/>
      <c r="I4743" s="81"/>
      <c r="K4743" s="82"/>
      <c r="L4743" s="123"/>
      <c r="M4743" s="3"/>
      <c r="N4743" s="3"/>
      <c r="O4743" s="3"/>
      <c r="P4743" s="125"/>
      <c r="Q4743" s="125"/>
      <c r="R4743" s="127"/>
      <c r="S4743" s="123"/>
      <c r="T4743" s="3"/>
      <c r="W4743" s="86"/>
      <c r="Y4743" s="75"/>
    </row>
    <row r="4744" spans="1:25" x14ac:dyDescent="0.25">
      <c r="A4744" s="75"/>
      <c r="C4744" s="81"/>
      <c r="D4744" s="81"/>
      <c r="I4744" s="81"/>
      <c r="K4744" s="82"/>
      <c r="L4744" s="123"/>
      <c r="M4744" s="3"/>
      <c r="N4744" s="3"/>
      <c r="O4744" s="3"/>
      <c r="P4744" s="125"/>
      <c r="Q4744" s="125"/>
      <c r="R4744" s="127"/>
      <c r="S4744" s="123"/>
      <c r="T4744" s="3"/>
      <c r="W4744" s="86"/>
      <c r="Y4744" s="75"/>
    </row>
    <row r="4745" spans="1:25" x14ac:dyDescent="0.25">
      <c r="A4745" s="75"/>
      <c r="C4745" s="81"/>
      <c r="D4745" s="81"/>
      <c r="I4745" s="81"/>
      <c r="K4745" s="82"/>
      <c r="L4745" s="123"/>
      <c r="M4745" s="3"/>
      <c r="N4745" s="3"/>
      <c r="O4745" s="3"/>
      <c r="P4745" s="125"/>
      <c r="Q4745" s="125"/>
      <c r="R4745" s="127"/>
      <c r="S4745" s="123"/>
      <c r="T4745" s="3"/>
      <c r="W4745" s="86"/>
      <c r="Y4745" s="75"/>
    </row>
    <row r="4746" spans="1:25" x14ac:dyDescent="0.25">
      <c r="A4746" s="75"/>
      <c r="C4746" s="81"/>
      <c r="D4746" s="81"/>
      <c r="I4746" s="81"/>
      <c r="K4746" s="82"/>
      <c r="L4746" s="123"/>
      <c r="M4746" s="3"/>
      <c r="N4746" s="3"/>
      <c r="O4746" s="3"/>
      <c r="P4746" s="125"/>
      <c r="Q4746" s="125"/>
      <c r="R4746" s="127"/>
      <c r="S4746" s="123"/>
      <c r="T4746" s="3"/>
      <c r="W4746" s="86"/>
      <c r="Y4746" s="75"/>
    </row>
    <row r="4747" spans="1:25" x14ac:dyDescent="0.25">
      <c r="A4747" s="75"/>
      <c r="C4747" s="81"/>
      <c r="D4747" s="81"/>
      <c r="I4747" s="81"/>
      <c r="K4747" s="82"/>
      <c r="L4747" s="123"/>
      <c r="M4747" s="3"/>
      <c r="N4747" s="3"/>
      <c r="O4747" s="3"/>
      <c r="P4747" s="125"/>
      <c r="Q4747" s="125"/>
      <c r="R4747" s="127"/>
      <c r="S4747" s="123"/>
      <c r="T4747" s="3"/>
      <c r="W4747" s="86"/>
      <c r="Y4747" s="75"/>
    </row>
    <row r="4748" spans="1:25" x14ac:dyDescent="0.25">
      <c r="A4748" s="75"/>
      <c r="C4748" s="81"/>
      <c r="D4748" s="81"/>
      <c r="I4748" s="81"/>
      <c r="K4748" s="82"/>
      <c r="L4748" s="123"/>
      <c r="M4748" s="3"/>
      <c r="N4748" s="3"/>
      <c r="O4748" s="3"/>
      <c r="P4748" s="125"/>
      <c r="Q4748" s="125"/>
      <c r="R4748" s="127"/>
      <c r="S4748" s="123"/>
      <c r="T4748" s="3"/>
      <c r="W4748" s="86"/>
      <c r="Y4748" s="75"/>
    </row>
    <row r="4749" spans="1:25" x14ac:dyDescent="0.25">
      <c r="A4749" s="75"/>
      <c r="C4749" s="81"/>
      <c r="D4749" s="81"/>
      <c r="I4749" s="81"/>
      <c r="K4749" s="82"/>
      <c r="L4749" s="123"/>
      <c r="M4749" s="3"/>
      <c r="N4749" s="3"/>
      <c r="O4749" s="3"/>
      <c r="P4749" s="125"/>
      <c r="Q4749" s="125"/>
      <c r="R4749" s="127"/>
      <c r="S4749" s="123"/>
      <c r="T4749" s="3"/>
      <c r="W4749" s="86"/>
      <c r="Y4749" s="75"/>
    </row>
    <row r="4750" spans="1:25" x14ac:dyDescent="0.25">
      <c r="A4750" s="75"/>
      <c r="C4750" s="81"/>
      <c r="D4750" s="81"/>
      <c r="I4750" s="81"/>
      <c r="K4750" s="82"/>
      <c r="L4750" s="123"/>
      <c r="M4750" s="3"/>
      <c r="N4750" s="3"/>
      <c r="O4750" s="3"/>
      <c r="P4750" s="125"/>
      <c r="Q4750" s="125"/>
      <c r="R4750" s="127"/>
      <c r="S4750" s="123"/>
      <c r="T4750" s="3"/>
      <c r="W4750" s="86"/>
      <c r="Y4750" s="75"/>
    </row>
    <row r="4751" spans="1:25" x14ac:dyDescent="0.25">
      <c r="A4751" s="75"/>
      <c r="C4751" s="81"/>
      <c r="D4751" s="81"/>
      <c r="I4751" s="81"/>
      <c r="K4751" s="82"/>
      <c r="L4751" s="123"/>
      <c r="M4751" s="3"/>
      <c r="N4751" s="3"/>
      <c r="O4751" s="3"/>
      <c r="P4751" s="125"/>
      <c r="Q4751" s="125"/>
      <c r="R4751" s="127"/>
      <c r="S4751" s="123"/>
      <c r="T4751" s="3"/>
      <c r="W4751" s="86"/>
      <c r="Y4751" s="75"/>
    </row>
    <row r="4752" spans="1:25" x14ac:dyDescent="0.25">
      <c r="A4752" s="75"/>
      <c r="C4752" s="81"/>
      <c r="D4752" s="81"/>
      <c r="I4752" s="81"/>
      <c r="K4752" s="82"/>
      <c r="L4752" s="123"/>
      <c r="M4752" s="3"/>
      <c r="N4752" s="3"/>
      <c r="O4752" s="3"/>
      <c r="P4752" s="125"/>
      <c r="Q4752" s="125"/>
      <c r="R4752" s="127"/>
      <c r="S4752" s="123"/>
      <c r="T4752" s="3"/>
      <c r="W4752" s="86"/>
      <c r="Y4752" s="75"/>
    </row>
    <row r="4753" spans="1:25" x14ac:dyDescent="0.25">
      <c r="A4753" s="75"/>
      <c r="C4753" s="81"/>
      <c r="D4753" s="81"/>
      <c r="I4753" s="81"/>
      <c r="K4753" s="82"/>
      <c r="L4753" s="123"/>
      <c r="M4753" s="3"/>
      <c r="N4753" s="3"/>
      <c r="O4753" s="3"/>
      <c r="P4753" s="125"/>
      <c r="Q4753" s="125"/>
      <c r="R4753" s="127"/>
      <c r="S4753" s="123"/>
      <c r="T4753" s="3"/>
      <c r="W4753" s="86"/>
      <c r="Y4753" s="75"/>
    </row>
    <row r="4754" spans="1:25" x14ac:dyDescent="0.25">
      <c r="A4754" s="75"/>
      <c r="C4754" s="81"/>
      <c r="D4754" s="81"/>
      <c r="I4754" s="81"/>
      <c r="K4754" s="82"/>
      <c r="L4754" s="123"/>
      <c r="M4754" s="3"/>
      <c r="N4754" s="3"/>
      <c r="O4754" s="3"/>
      <c r="P4754" s="125"/>
      <c r="Q4754" s="125"/>
      <c r="R4754" s="127"/>
      <c r="S4754" s="123"/>
      <c r="T4754" s="3"/>
      <c r="W4754" s="86"/>
      <c r="Y4754" s="75"/>
    </row>
    <row r="4755" spans="1:25" x14ac:dyDescent="0.25">
      <c r="A4755" s="75"/>
      <c r="C4755" s="81"/>
      <c r="D4755" s="81"/>
      <c r="I4755" s="81"/>
      <c r="K4755" s="82"/>
      <c r="L4755" s="123"/>
      <c r="M4755" s="3"/>
      <c r="N4755" s="3"/>
      <c r="O4755" s="3"/>
      <c r="P4755" s="125"/>
      <c r="Q4755" s="125"/>
      <c r="R4755" s="127"/>
      <c r="S4755" s="123"/>
      <c r="T4755" s="3"/>
      <c r="W4755" s="86"/>
      <c r="Y4755" s="75"/>
    </row>
    <row r="4756" spans="1:25" x14ac:dyDescent="0.25">
      <c r="A4756" s="75"/>
      <c r="C4756" s="81"/>
      <c r="D4756" s="81"/>
      <c r="I4756" s="81"/>
      <c r="K4756" s="82"/>
      <c r="L4756" s="123"/>
      <c r="M4756" s="3"/>
      <c r="N4756" s="3"/>
      <c r="O4756" s="3"/>
      <c r="P4756" s="125"/>
      <c r="Q4756" s="125"/>
      <c r="R4756" s="127"/>
      <c r="S4756" s="123"/>
      <c r="T4756" s="3"/>
      <c r="W4756" s="86"/>
      <c r="Y4756" s="75"/>
    </row>
    <row r="4757" spans="1:25" x14ac:dyDescent="0.25">
      <c r="A4757" s="75"/>
      <c r="C4757" s="81"/>
      <c r="D4757" s="81"/>
      <c r="I4757" s="81"/>
      <c r="K4757" s="82"/>
      <c r="L4757" s="123"/>
      <c r="M4757" s="3"/>
      <c r="N4757" s="3"/>
      <c r="O4757" s="3"/>
      <c r="P4757" s="125"/>
      <c r="Q4757" s="125"/>
      <c r="R4757" s="127"/>
      <c r="S4757" s="123"/>
      <c r="T4757" s="3"/>
      <c r="W4757" s="86"/>
      <c r="Y4757" s="75"/>
    </row>
    <row r="4758" spans="1:25" x14ac:dyDescent="0.25">
      <c r="A4758" s="75"/>
      <c r="C4758" s="81"/>
      <c r="D4758" s="81"/>
      <c r="I4758" s="81"/>
      <c r="K4758" s="82"/>
      <c r="L4758" s="123"/>
      <c r="M4758" s="3"/>
      <c r="N4758" s="3"/>
      <c r="O4758" s="3"/>
      <c r="P4758" s="125"/>
      <c r="Q4758" s="125"/>
      <c r="R4758" s="127"/>
      <c r="S4758" s="123"/>
      <c r="T4758" s="3"/>
      <c r="W4758" s="86"/>
      <c r="Y4758" s="75"/>
    </row>
    <row r="4759" spans="1:25" x14ac:dyDescent="0.25">
      <c r="A4759" s="75"/>
      <c r="C4759" s="81"/>
      <c r="D4759" s="81"/>
      <c r="I4759" s="81"/>
      <c r="K4759" s="82"/>
      <c r="L4759" s="123"/>
      <c r="M4759" s="3"/>
      <c r="N4759" s="3"/>
      <c r="O4759" s="3"/>
      <c r="P4759" s="125"/>
      <c r="Q4759" s="125"/>
      <c r="R4759" s="127"/>
      <c r="S4759" s="123"/>
      <c r="T4759" s="3"/>
      <c r="W4759" s="86"/>
      <c r="Y4759" s="75"/>
    </row>
    <row r="4760" spans="1:25" x14ac:dyDescent="0.25">
      <c r="A4760" s="75"/>
      <c r="C4760" s="81"/>
      <c r="D4760" s="81"/>
      <c r="I4760" s="81"/>
      <c r="K4760" s="82"/>
      <c r="L4760" s="123"/>
      <c r="M4760" s="3"/>
      <c r="N4760" s="3"/>
      <c r="O4760" s="3"/>
      <c r="P4760" s="125"/>
      <c r="Q4760" s="125"/>
      <c r="R4760" s="127"/>
      <c r="S4760" s="123"/>
      <c r="T4760" s="3"/>
      <c r="W4760" s="86"/>
      <c r="Y4760" s="75"/>
    </row>
    <row r="4761" spans="1:25" x14ac:dyDescent="0.25">
      <c r="A4761" s="75"/>
      <c r="C4761" s="81"/>
      <c r="D4761" s="81"/>
      <c r="I4761" s="81"/>
      <c r="K4761" s="82"/>
      <c r="L4761" s="123"/>
      <c r="M4761" s="3"/>
      <c r="N4761" s="3"/>
      <c r="O4761" s="3"/>
      <c r="P4761" s="125"/>
      <c r="Q4761" s="125"/>
      <c r="R4761" s="127"/>
      <c r="S4761" s="123"/>
      <c r="T4761" s="3"/>
      <c r="W4761" s="86"/>
      <c r="Y4761" s="75"/>
    </row>
    <row r="4762" spans="1:25" x14ac:dyDescent="0.25">
      <c r="A4762" s="75"/>
      <c r="C4762" s="81"/>
      <c r="D4762" s="81"/>
      <c r="I4762" s="81"/>
      <c r="K4762" s="82"/>
      <c r="L4762" s="123"/>
      <c r="M4762" s="3"/>
      <c r="N4762" s="3"/>
      <c r="O4762" s="3"/>
      <c r="P4762" s="125"/>
      <c r="Q4762" s="125"/>
      <c r="R4762" s="127"/>
      <c r="S4762" s="123"/>
      <c r="T4762" s="3"/>
      <c r="W4762" s="86"/>
      <c r="Y4762" s="75"/>
    </row>
    <row r="4763" spans="1:25" x14ac:dyDescent="0.25">
      <c r="A4763" s="75"/>
      <c r="C4763" s="81"/>
      <c r="D4763" s="81"/>
      <c r="I4763" s="81"/>
      <c r="K4763" s="82"/>
      <c r="L4763" s="123"/>
      <c r="M4763" s="3"/>
      <c r="N4763" s="3"/>
      <c r="O4763" s="3"/>
      <c r="P4763" s="125"/>
      <c r="Q4763" s="125"/>
      <c r="R4763" s="127"/>
      <c r="S4763" s="123"/>
      <c r="T4763" s="3"/>
      <c r="W4763" s="86"/>
      <c r="Y4763" s="75"/>
    </row>
    <row r="4764" spans="1:25" x14ac:dyDescent="0.25">
      <c r="A4764" s="75"/>
      <c r="C4764" s="81"/>
      <c r="D4764" s="81"/>
      <c r="I4764" s="81"/>
      <c r="K4764" s="82"/>
      <c r="L4764" s="123"/>
      <c r="M4764" s="3"/>
      <c r="N4764" s="3"/>
      <c r="O4764" s="3"/>
      <c r="P4764" s="125"/>
      <c r="Q4764" s="125"/>
      <c r="R4764" s="127"/>
      <c r="S4764" s="123"/>
      <c r="T4764" s="3"/>
      <c r="W4764" s="86"/>
      <c r="Y4764" s="75"/>
    </row>
    <row r="4765" spans="1:25" x14ac:dyDescent="0.25">
      <c r="A4765" s="75"/>
      <c r="C4765" s="81"/>
      <c r="D4765" s="81"/>
      <c r="I4765" s="81"/>
      <c r="K4765" s="82"/>
      <c r="L4765" s="123"/>
      <c r="M4765" s="3"/>
      <c r="N4765" s="3"/>
      <c r="O4765" s="3"/>
      <c r="P4765" s="125"/>
      <c r="Q4765" s="125"/>
      <c r="R4765" s="127"/>
      <c r="S4765" s="123"/>
      <c r="T4765" s="3"/>
      <c r="W4765" s="86"/>
      <c r="Y4765" s="75"/>
    </row>
    <row r="4766" spans="1:25" x14ac:dyDescent="0.25">
      <c r="A4766" s="75"/>
      <c r="C4766" s="81"/>
      <c r="D4766" s="81"/>
      <c r="I4766" s="81"/>
      <c r="K4766" s="82"/>
      <c r="L4766" s="123"/>
      <c r="M4766" s="3"/>
      <c r="N4766" s="3"/>
      <c r="O4766" s="3"/>
      <c r="P4766" s="125"/>
      <c r="Q4766" s="125"/>
      <c r="R4766" s="127"/>
      <c r="S4766" s="123"/>
      <c r="T4766" s="3"/>
      <c r="W4766" s="86"/>
      <c r="Y4766" s="75"/>
    </row>
    <row r="4767" spans="1:25" x14ac:dyDescent="0.25">
      <c r="A4767" s="75"/>
      <c r="C4767" s="81"/>
      <c r="D4767" s="81"/>
      <c r="I4767" s="81"/>
      <c r="K4767" s="82"/>
      <c r="L4767" s="123"/>
      <c r="M4767" s="3"/>
      <c r="N4767" s="3"/>
      <c r="O4767" s="3"/>
      <c r="P4767" s="125"/>
      <c r="Q4767" s="125"/>
      <c r="R4767" s="127"/>
      <c r="S4767" s="123"/>
      <c r="T4767" s="3"/>
      <c r="W4767" s="86"/>
      <c r="Y4767" s="75"/>
    </row>
    <row r="4768" spans="1:25" x14ac:dyDescent="0.25">
      <c r="A4768" s="75"/>
      <c r="C4768" s="81"/>
      <c r="D4768" s="81"/>
      <c r="I4768" s="81"/>
      <c r="K4768" s="82"/>
      <c r="L4768" s="123"/>
      <c r="M4768" s="3"/>
      <c r="N4768" s="3"/>
      <c r="O4768" s="3"/>
      <c r="P4768" s="125"/>
      <c r="Q4768" s="125"/>
      <c r="R4768" s="127"/>
      <c r="S4768" s="123"/>
      <c r="T4768" s="3"/>
      <c r="W4768" s="86"/>
      <c r="Y4768" s="75"/>
    </row>
    <row r="4769" spans="1:25" x14ac:dyDescent="0.25">
      <c r="A4769" s="75"/>
      <c r="C4769" s="81"/>
      <c r="D4769" s="81"/>
      <c r="I4769" s="81"/>
      <c r="K4769" s="82"/>
      <c r="L4769" s="123"/>
      <c r="M4769" s="3"/>
      <c r="N4769" s="3"/>
      <c r="O4769" s="3"/>
      <c r="P4769" s="125"/>
      <c r="Q4769" s="125"/>
      <c r="R4769" s="127"/>
      <c r="S4769" s="123"/>
      <c r="T4769" s="3"/>
      <c r="W4769" s="86"/>
      <c r="Y4769" s="75"/>
    </row>
    <row r="4770" spans="1:25" x14ac:dyDescent="0.25">
      <c r="A4770" s="75"/>
      <c r="C4770" s="81"/>
      <c r="D4770" s="81"/>
      <c r="I4770" s="81"/>
      <c r="K4770" s="82"/>
      <c r="L4770" s="123"/>
      <c r="M4770" s="3"/>
      <c r="N4770" s="3"/>
      <c r="O4770" s="3"/>
      <c r="P4770" s="125"/>
      <c r="Q4770" s="125"/>
      <c r="R4770" s="127"/>
      <c r="S4770" s="123"/>
      <c r="T4770" s="3"/>
      <c r="W4770" s="86"/>
      <c r="Y4770" s="75"/>
    </row>
    <row r="4771" spans="1:25" x14ac:dyDescent="0.25">
      <c r="A4771" s="75"/>
      <c r="C4771" s="81"/>
      <c r="D4771" s="81"/>
      <c r="I4771" s="81"/>
      <c r="K4771" s="82"/>
      <c r="L4771" s="123"/>
      <c r="M4771" s="3"/>
      <c r="N4771" s="3"/>
      <c r="O4771" s="3"/>
      <c r="P4771" s="125"/>
      <c r="Q4771" s="125"/>
      <c r="R4771" s="127"/>
      <c r="S4771" s="123"/>
      <c r="T4771" s="3"/>
      <c r="W4771" s="86"/>
      <c r="Y4771" s="75"/>
    </row>
    <row r="4772" spans="1:25" x14ac:dyDescent="0.25">
      <c r="A4772" s="75"/>
      <c r="C4772" s="81"/>
      <c r="D4772" s="81"/>
      <c r="I4772" s="81"/>
      <c r="K4772" s="82"/>
      <c r="L4772" s="123"/>
      <c r="M4772" s="3"/>
      <c r="N4772" s="3"/>
      <c r="O4772" s="3"/>
      <c r="P4772" s="125"/>
      <c r="Q4772" s="125"/>
      <c r="R4772" s="127"/>
      <c r="S4772" s="123"/>
      <c r="T4772" s="3"/>
      <c r="W4772" s="86"/>
      <c r="Y4772" s="75"/>
    </row>
    <row r="4773" spans="1:25" x14ac:dyDescent="0.25">
      <c r="A4773" s="75"/>
      <c r="C4773" s="81"/>
      <c r="D4773" s="81"/>
      <c r="I4773" s="81"/>
      <c r="K4773" s="82"/>
      <c r="L4773" s="123"/>
      <c r="M4773" s="3"/>
      <c r="N4773" s="3"/>
      <c r="O4773" s="3"/>
      <c r="P4773" s="125"/>
      <c r="Q4773" s="125"/>
      <c r="R4773" s="127"/>
      <c r="S4773" s="123"/>
      <c r="T4773" s="3"/>
      <c r="W4773" s="86"/>
      <c r="Y4773" s="75"/>
    </row>
    <row r="4774" spans="1:25" x14ac:dyDescent="0.25">
      <c r="A4774" s="75"/>
      <c r="C4774" s="81"/>
      <c r="D4774" s="81"/>
      <c r="I4774" s="81"/>
      <c r="K4774" s="82"/>
      <c r="L4774" s="123"/>
      <c r="M4774" s="3"/>
      <c r="N4774" s="3"/>
      <c r="O4774" s="3"/>
      <c r="P4774" s="125"/>
      <c r="Q4774" s="125"/>
      <c r="R4774" s="127"/>
      <c r="S4774" s="123"/>
      <c r="T4774" s="3"/>
      <c r="W4774" s="86"/>
      <c r="Y4774" s="75"/>
    </row>
    <row r="4775" spans="1:25" x14ac:dyDescent="0.25">
      <c r="A4775" s="75"/>
      <c r="C4775" s="81"/>
      <c r="D4775" s="81"/>
      <c r="I4775" s="81"/>
      <c r="K4775" s="82"/>
      <c r="L4775" s="123"/>
      <c r="M4775" s="3"/>
      <c r="N4775" s="3"/>
      <c r="O4775" s="3"/>
      <c r="P4775" s="125"/>
      <c r="Q4775" s="125"/>
      <c r="R4775" s="127"/>
      <c r="S4775" s="123"/>
      <c r="T4775" s="3"/>
      <c r="W4775" s="86"/>
      <c r="Y4775" s="75"/>
    </row>
    <row r="4776" spans="1:25" x14ac:dyDescent="0.25">
      <c r="A4776" s="75"/>
      <c r="C4776" s="81"/>
      <c r="D4776" s="81"/>
      <c r="I4776" s="81"/>
      <c r="K4776" s="82"/>
      <c r="L4776" s="123"/>
      <c r="M4776" s="3"/>
      <c r="N4776" s="3"/>
      <c r="O4776" s="3"/>
      <c r="P4776" s="125"/>
      <c r="Q4776" s="125"/>
      <c r="R4776" s="127"/>
      <c r="S4776" s="123"/>
      <c r="T4776" s="3"/>
      <c r="W4776" s="86"/>
      <c r="Y4776" s="75"/>
    </row>
    <row r="4777" spans="1:25" x14ac:dyDescent="0.25">
      <c r="A4777" s="75"/>
      <c r="C4777" s="81"/>
      <c r="D4777" s="81"/>
      <c r="I4777" s="81"/>
      <c r="K4777" s="82"/>
      <c r="L4777" s="123"/>
      <c r="M4777" s="3"/>
      <c r="N4777" s="3"/>
      <c r="O4777" s="3"/>
      <c r="P4777" s="125"/>
      <c r="Q4777" s="125"/>
      <c r="R4777" s="127"/>
      <c r="S4777" s="123"/>
      <c r="T4777" s="3"/>
      <c r="W4777" s="86"/>
      <c r="Y4777" s="75"/>
    </row>
    <row r="4778" spans="1:25" x14ac:dyDescent="0.25">
      <c r="A4778" s="75"/>
      <c r="C4778" s="81"/>
      <c r="D4778" s="81"/>
      <c r="I4778" s="81"/>
      <c r="K4778" s="82"/>
      <c r="L4778" s="123"/>
      <c r="M4778" s="3"/>
      <c r="N4778" s="3"/>
      <c r="O4778" s="3"/>
      <c r="P4778" s="125"/>
      <c r="Q4778" s="125"/>
      <c r="R4778" s="127"/>
      <c r="S4778" s="123"/>
      <c r="T4778" s="3"/>
      <c r="W4778" s="86"/>
      <c r="Y4778" s="75"/>
    </row>
    <row r="4779" spans="1:25" x14ac:dyDescent="0.25">
      <c r="A4779" s="75"/>
      <c r="C4779" s="81"/>
      <c r="D4779" s="81"/>
      <c r="I4779" s="81"/>
      <c r="K4779" s="82"/>
      <c r="L4779" s="123"/>
      <c r="M4779" s="3"/>
      <c r="N4779" s="3"/>
      <c r="O4779" s="3"/>
      <c r="P4779" s="125"/>
      <c r="Q4779" s="125"/>
      <c r="R4779" s="127"/>
      <c r="S4779" s="123"/>
      <c r="T4779" s="3"/>
      <c r="W4779" s="86"/>
      <c r="Y4779" s="75"/>
    </row>
    <row r="4780" spans="1:25" x14ac:dyDescent="0.25">
      <c r="A4780" s="75"/>
      <c r="C4780" s="81"/>
      <c r="D4780" s="81"/>
      <c r="I4780" s="81"/>
      <c r="K4780" s="82"/>
      <c r="L4780" s="123"/>
      <c r="M4780" s="3"/>
      <c r="N4780" s="3"/>
      <c r="O4780" s="3"/>
      <c r="P4780" s="125"/>
      <c r="Q4780" s="125"/>
      <c r="R4780" s="127"/>
      <c r="S4780" s="123"/>
      <c r="T4780" s="3"/>
      <c r="W4780" s="86"/>
      <c r="Y4780" s="75"/>
    </row>
    <row r="4781" spans="1:25" x14ac:dyDescent="0.25">
      <c r="A4781" s="75"/>
      <c r="C4781" s="81"/>
      <c r="D4781" s="81"/>
      <c r="I4781" s="81"/>
      <c r="K4781" s="82"/>
      <c r="L4781" s="123"/>
      <c r="M4781" s="3"/>
      <c r="N4781" s="3"/>
      <c r="O4781" s="3"/>
      <c r="P4781" s="125"/>
      <c r="Q4781" s="125"/>
      <c r="R4781" s="127"/>
      <c r="S4781" s="123"/>
      <c r="T4781" s="3"/>
      <c r="W4781" s="86"/>
      <c r="Y4781" s="75"/>
    </row>
    <row r="4782" spans="1:25" x14ac:dyDescent="0.25">
      <c r="A4782" s="75"/>
      <c r="C4782" s="81"/>
      <c r="D4782" s="81"/>
      <c r="I4782" s="81"/>
      <c r="K4782" s="82"/>
      <c r="L4782" s="123"/>
      <c r="M4782" s="3"/>
      <c r="N4782" s="3"/>
      <c r="O4782" s="3"/>
      <c r="P4782" s="125"/>
      <c r="Q4782" s="125"/>
      <c r="R4782" s="127"/>
      <c r="S4782" s="123"/>
      <c r="T4782" s="3"/>
      <c r="W4782" s="86"/>
      <c r="Y4782" s="75"/>
    </row>
    <row r="4783" spans="1:25" x14ac:dyDescent="0.25">
      <c r="A4783" s="75"/>
      <c r="C4783" s="81"/>
      <c r="D4783" s="81"/>
      <c r="I4783" s="81"/>
      <c r="K4783" s="82"/>
      <c r="L4783" s="123"/>
      <c r="M4783" s="3"/>
      <c r="N4783" s="3"/>
      <c r="O4783" s="3"/>
      <c r="P4783" s="125"/>
      <c r="Q4783" s="125"/>
      <c r="R4783" s="127"/>
      <c r="S4783" s="123"/>
      <c r="T4783" s="3"/>
      <c r="W4783" s="86"/>
      <c r="Y4783" s="75"/>
    </row>
    <row r="4784" spans="1:25" x14ac:dyDescent="0.25">
      <c r="A4784" s="75"/>
      <c r="C4784" s="81"/>
      <c r="D4784" s="81"/>
      <c r="I4784" s="81"/>
      <c r="K4784" s="82"/>
      <c r="L4784" s="123"/>
      <c r="M4784" s="3"/>
      <c r="N4784" s="3"/>
      <c r="O4784" s="3"/>
      <c r="P4784" s="125"/>
      <c r="Q4784" s="125"/>
      <c r="R4784" s="127"/>
      <c r="S4784" s="123"/>
      <c r="T4784" s="3"/>
      <c r="W4784" s="86"/>
      <c r="Y4784" s="75"/>
    </row>
    <row r="4785" spans="1:25" x14ac:dyDescent="0.25">
      <c r="A4785" s="75"/>
      <c r="C4785" s="81"/>
      <c r="D4785" s="81"/>
      <c r="I4785" s="81"/>
      <c r="K4785" s="82"/>
      <c r="L4785" s="123"/>
      <c r="M4785" s="3"/>
      <c r="N4785" s="3"/>
      <c r="O4785" s="3"/>
      <c r="P4785" s="125"/>
      <c r="Q4785" s="125"/>
      <c r="R4785" s="127"/>
      <c r="S4785" s="123"/>
      <c r="T4785" s="3"/>
      <c r="W4785" s="86"/>
      <c r="Y4785" s="75"/>
    </row>
    <row r="4786" spans="1:25" x14ac:dyDescent="0.25">
      <c r="A4786" s="75"/>
      <c r="C4786" s="81"/>
      <c r="D4786" s="81"/>
      <c r="I4786" s="81"/>
      <c r="K4786" s="82"/>
      <c r="L4786" s="123"/>
      <c r="M4786" s="3"/>
      <c r="N4786" s="3"/>
      <c r="O4786" s="3"/>
      <c r="P4786" s="125"/>
      <c r="Q4786" s="125"/>
      <c r="R4786" s="127"/>
      <c r="S4786" s="123"/>
      <c r="T4786" s="3"/>
      <c r="W4786" s="86"/>
      <c r="Y4786" s="75"/>
    </row>
    <row r="4787" spans="1:25" x14ac:dyDescent="0.25">
      <c r="A4787" s="75"/>
      <c r="C4787" s="81"/>
      <c r="D4787" s="81"/>
      <c r="I4787" s="81"/>
      <c r="K4787" s="82"/>
      <c r="L4787" s="123"/>
      <c r="M4787" s="3"/>
      <c r="N4787" s="3"/>
      <c r="O4787" s="3"/>
      <c r="P4787" s="125"/>
      <c r="Q4787" s="125"/>
      <c r="R4787" s="127"/>
      <c r="S4787" s="123"/>
      <c r="T4787" s="3"/>
      <c r="W4787" s="86"/>
      <c r="Y4787" s="75"/>
    </row>
    <row r="4788" spans="1:25" x14ac:dyDescent="0.25">
      <c r="A4788" s="75"/>
      <c r="C4788" s="81"/>
      <c r="D4788" s="81"/>
      <c r="I4788" s="81"/>
      <c r="K4788" s="82"/>
      <c r="L4788" s="123"/>
      <c r="M4788" s="3"/>
      <c r="N4788" s="3"/>
      <c r="O4788" s="3"/>
      <c r="P4788" s="125"/>
      <c r="Q4788" s="125"/>
      <c r="R4788" s="127"/>
      <c r="S4788" s="123"/>
      <c r="T4788" s="3"/>
      <c r="W4788" s="86"/>
      <c r="Y4788" s="75"/>
    </row>
    <row r="4789" spans="1:25" x14ac:dyDescent="0.25">
      <c r="A4789" s="75"/>
      <c r="C4789" s="81"/>
      <c r="D4789" s="81"/>
      <c r="I4789" s="81"/>
      <c r="K4789" s="82"/>
      <c r="L4789" s="123"/>
      <c r="M4789" s="3"/>
      <c r="N4789" s="3"/>
      <c r="O4789" s="3"/>
      <c r="P4789" s="125"/>
      <c r="Q4789" s="125"/>
      <c r="R4789" s="127"/>
      <c r="S4789" s="123"/>
      <c r="T4789" s="3"/>
      <c r="W4789" s="86"/>
      <c r="Y4789" s="75"/>
    </row>
    <row r="4790" spans="1:25" x14ac:dyDescent="0.25">
      <c r="A4790" s="75"/>
      <c r="C4790" s="81"/>
      <c r="D4790" s="81"/>
      <c r="I4790" s="81"/>
      <c r="K4790" s="82"/>
      <c r="L4790" s="123"/>
      <c r="M4790" s="3"/>
      <c r="N4790" s="3"/>
      <c r="O4790" s="3"/>
      <c r="P4790" s="125"/>
      <c r="Q4790" s="125"/>
      <c r="R4790" s="127"/>
      <c r="S4790" s="123"/>
      <c r="T4790" s="3"/>
      <c r="W4790" s="86"/>
      <c r="Y4790" s="75"/>
    </row>
    <row r="4791" spans="1:25" x14ac:dyDescent="0.25">
      <c r="A4791" s="75"/>
      <c r="C4791" s="81"/>
      <c r="D4791" s="81"/>
      <c r="I4791" s="81"/>
      <c r="K4791" s="82"/>
      <c r="L4791" s="123"/>
      <c r="M4791" s="3"/>
      <c r="N4791" s="3"/>
      <c r="O4791" s="3"/>
      <c r="P4791" s="125"/>
      <c r="Q4791" s="125"/>
      <c r="R4791" s="127"/>
      <c r="S4791" s="123"/>
      <c r="T4791" s="3"/>
      <c r="W4791" s="86"/>
      <c r="Y4791" s="75"/>
    </row>
    <row r="4792" spans="1:25" x14ac:dyDescent="0.25">
      <c r="A4792" s="75"/>
      <c r="C4792" s="81"/>
      <c r="D4792" s="81"/>
      <c r="I4792" s="81"/>
      <c r="K4792" s="82"/>
      <c r="L4792" s="123"/>
      <c r="M4792" s="3"/>
      <c r="N4792" s="3"/>
      <c r="O4792" s="3"/>
      <c r="P4792" s="125"/>
      <c r="Q4792" s="125"/>
      <c r="R4792" s="127"/>
      <c r="S4792" s="123"/>
      <c r="T4792" s="3"/>
      <c r="W4792" s="86"/>
      <c r="Y4792" s="75"/>
    </row>
    <row r="4793" spans="1:25" x14ac:dyDescent="0.25">
      <c r="A4793" s="75"/>
      <c r="C4793" s="81"/>
      <c r="D4793" s="81"/>
      <c r="I4793" s="81"/>
      <c r="K4793" s="82"/>
      <c r="L4793" s="123"/>
      <c r="M4793" s="3"/>
      <c r="N4793" s="3"/>
      <c r="O4793" s="3"/>
      <c r="P4793" s="125"/>
      <c r="Q4793" s="125"/>
      <c r="R4793" s="127"/>
      <c r="S4793" s="123"/>
      <c r="T4793" s="3"/>
      <c r="W4793" s="86"/>
      <c r="Y4793" s="75"/>
    </row>
    <row r="4794" spans="1:25" x14ac:dyDescent="0.25">
      <c r="A4794" s="75"/>
      <c r="C4794" s="81"/>
      <c r="D4794" s="81"/>
      <c r="I4794" s="81"/>
      <c r="K4794" s="82"/>
      <c r="L4794" s="123"/>
      <c r="M4794" s="3"/>
      <c r="N4794" s="3"/>
      <c r="O4794" s="3"/>
      <c r="P4794" s="125"/>
      <c r="Q4794" s="125"/>
      <c r="R4794" s="127"/>
      <c r="S4794" s="123"/>
      <c r="T4794" s="3"/>
      <c r="W4794" s="86"/>
      <c r="Y4794" s="75"/>
    </row>
    <row r="4795" spans="1:25" x14ac:dyDescent="0.25">
      <c r="A4795" s="75"/>
      <c r="C4795" s="81"/>
      <c r="D4795" s="81"/>
      <c r="I4795" s="81"/>
      <c r="K4795" s="82"/>
      <c r="L4795" s="123"/>
      <c r="M4795" s="3"/>
      <c r="N4795" s="3"/>
      <c r="O4795" s="3"/>
      <c r="P4795" s="125"/>
      <c r="Q4795" s="125"/>
      <c r="R4795" s="127"/>
      <c r="S4795" s="123"/>
      <c r="T4795" s="3"/>
      <c r="W4795" s="86"/>
      <c r="Y4795" s="75"/>
    </row>
    <row r="4796" spans="1:25" x14ac:dyDescent="0.25">
      <c r="A4796" s="75"/>
      <c r="C4796" s="81"/>
      <c r="D4796" s="81"/>
      <c r="I4796" s="81"/>
      <c r="K4796" s="82"/>
      <c r="L4796" s="123"/>
      <c r="M4796" s="3"/>
      <c r="N4796" s="3"/>
      <c r="O4796" s="3"/>
      <c r="P4796" s="125"/>
      <c r="Q4796" s="125"/>
      <c r="R4796" s="127"/>
      <c r="S4796" s="123"/>
      <c r="T4796" s="3"/>
      <c r="W4796" s="86"/>
      <c r="Y4796" s="75"/>
    </row>
    <row r="4797" spans="1:25" x14ac:dyDescent="0.25">
      <c r="A4797" s="75"/>
      <c r="C4797" s="81"/>
      <c r="D4797" s="81"/>
      <c r="I4797" s="81"/>
      <c r="K4797" s="82"/>
      <c r="L4797" s="123"/>
      <c r="M4797" s="3"/>
      <c r="N4797" s="3"/>
      <c r="O4797" s="3"/>
      <c r="P4797" s="125"/>
      <c r="Q4797" s="125"/>
      <c r="R4797" s="127"/>
      <c r="S4797" s="123"/>
      <c r="T4797" s="3"/>
      <c r="W4797" s="86"/>
      <c r="Y4797" s="75"/>
    </row>
    <row r="4798" spans="1:25" x14ac:dyDescent="0.25">
      <c r="A4798" s="75"/>
      <c r="C4798" s="81"/>
      <c r="D4798" s="81"/>
      <c r="I4798" s="81"/>
      <c r="K4798" s="82"/>
      <c r="L4798" s="123"/>
      <c r="M4798" s="3"/>
      <c r="N4798" s="3"/>
      <c r="O4798" s="3"/>
      <c r="P4798" s="125"/>
      <c r="Q4798" s="125"/>
      <c r="R4798" s="127"/>
      <c r="S4798" s="123"/>
      <c r="T4798" s="3"/>
      <c r="W4798" s="86"/>
      <c r="Y4798" s="75"/>
    </row>
    <row r="4799" spans="1:25" x14ac:dyDescent="0.25">
      <c r="A4799" s="75"/>
      <c r="C4799" s="81"/>
      <c r="D4799" s="81"/>
      <c r="I4799" s="81"/>
      <c r="K4799" s="82"/>
      <c r="L4799" s="123"/>
      <c r="M4799" s="3"/>
      <c r="N4799" s="3"/>
      <c r="O4799" s="3"/>
      <c r="P4799" s="125"/>
      <c r="Q4799" s="125"/>
      <c r="R4799" s="127"/>
      <c r="S4799" s="123"/>
      <c r="T4799" s="3"/>
      <c r="W4799" s="86"/>
      <c r="Y4799" s="75"/>
    </row>
    <row r="4800" spans="1:25" x14ac:dyDescent="0.25">
      <c r="A4800" s="75"/>
      <c r="C4800" s="81"/>
      <c r="D4800" s="81"/>
      <c r="I4800" s="81"/>
      <c r="K4800" s="82"/>
      <c r="L4800" s="123"/>
      <c r="M4800" s="3"/>
      <c r="N4800" s="3"/>
      <c r="O4800" s="3"/>
      <c r="P4800" s="125"/>
      <c r="Q4800" s="125"/>
      <c r="R4800" s="127"/>
      <c r="S4800" s="123"/>
      <c r="T4800" s="3"/>
      <c r="W4800" s="86"/>
      <c r="Y4800" s="75"/>
    </row>
    <row r="4801" spans="1:25" x14ac:dyDescent="0.25">
      <c r="A4801" s="75"/>
      <c r="C4801" s="81"/>
      <c r="D4801" s="81"/>
      <c r="I4801" s="81"/>
      <c r="K4801" s="82"/>
      <c r="L4801" s="123"/>
      <c r="M4801" s="3"/>
      <c r="N4801" s="3"/>
      <c r="O4801" s="3"/>
      <c r="P4801" s="125"/>
      <c r="Q4801" s="125"/>
      <c r="R4801" s="127"/>
      <c r="S4801" s="123"/>
      <c r="T4801" s="3"/>
      <c r="W4801" s="86"/>
      <c r="Y4801" s="75"/>
    </row>
    <row r="4802" spans="1:25" x14ac:dyDescent="0.25">
      <c r="A4802" s="75"/>
      <c r="C4802" s="81"/>
      <c r="D4802" s="81"/>
      <c r="I4802" s="81"/>
      <c r="K4802" s="82"/>
      <c r="L4802" s="123"/>
      <c r="M4802" s="3"/>
      <c r="N4802" s="3"/>
      <c r="O4802" s="3"/>
      <c r="P4802" s="125"/>
      <c r="Q4802" s="125"/>
      <c r="R4802" s="127"/>
      <c r="S4802" s="123"/>
      <c r="T4802" s="3"/>
      <c r="W4802" s="86"/>
      <c r="Y4802" s="75"/>
    </row>
    <row r="4803" spans="1:25" x14ac:dyDescent="0.25">
      <c r="A4803" s="75"/>
      <c r="C4803" s="81"/>
      <c r="D4803" s="81"/>
      <c r="I4803" s="81"/>
      <c r="K4803" s="82"/>
      <c r="L4803" s="123"/>
      <c r="M4803" s="3"/>
      <c r="N4803" s="3"/>
      <c r="O4803" s="3"/>
      <c r="P4803" s="125"/>
      <c r="Q4803" s="125"/>
      <c r="R4803" s="127"/>
      <c r="S4803" s="123"/>
      <c r="T4803" s="3"/>
      <c r="W4803" s="86"/>
      <c r="Y4803" s="75"/>
    </row>
    <row r="4804" spans="1:25" x14ac:dyDescent="0.25">
      <c r="A4804" s="75"/>
      <c r="C4804" s="81"/>
      <c r="D4804" s="81"/>
      <c r="I4804" s="81"/>
      <c r="K4804" s="82"/>
      <c r="L4804" s="123"/>
      <c r="M4804" s="3"/>
      <c r="N4804" s="3"/>
      <c r="O4804" s="3"/>
      <c r="P4804" s="125"/>
      <c r="Q4804" s="125"/>
      <c r="R4804" s="127"/>
      <c r="S4804" s="123"/>
      <c r="T4804" s="3"/>
      <c r="W4804" s="86"/>
      <c r="Y4804" s="75"/>
    </row>
    <row r="4805" spans="1:25" x14ac:dyDescent="0.25">
      <c r="A4805" s="75"/>
      <c r="C4805" s="81"/>
      <c r="D4805" s="81"/>
      <c r="I4805" s="81"/>
      <c r="K4805" s="82"/>
      <c r="L4805" s="123"/>
      <c r="M4805" s="3"/>
      <c r="N4805" s="3"/>
      <c r="O4805" s="3"/>
      <c r="P4805" s="125"/>
      <c r="Q4805" s="125"/>
      <c r="R4805" s="127"/>
      <c r="S4805" s="123"/>
      <c r="T4805" s="3"/>
      <c r="W4805" s="86"/>
      <c r="Y4805" s="75"/>
    </row>
    <row r="4806" spans="1:25" x14ac:dyDescent="0.25">
      <c r="A4806" s="75"/>
      <c r="C4806" s="81"/>
      <c r="D4806" s="81"/>
      <c r="I4806" s="81"/>
      <c r="K4806" s="82"/>
      <c r="L4806" s="123"/>
      <c r="M4806" s="3"/>
      <c r="N4806" s="3"/>
      <c r="O4806" s="3"/>
      <c r="P4806" s="125"/>
      <c r="Q4806" s="125"/>
      <c r="R4806" s="127"/>
      <c r="S4806" s="123"/>
      <c r="T4806" s="3"/>
      <c r="W4806" s="86"/>
      <c r="Y4806" s="75"/>
    </row>
    <row r="4807" spans="1:25" x14ac:dyDescent="0.25">
      <c r="A4807" s="75"/>
      <c r="C4807" s="81"/>
      <c r="D4807" s="81"/>
      <c r="I4807" s="81"/>
      <c r="K4807" s="82"/>
      <c r="L4807" s="123"/>
      <c r="M4807" s="3"/>
      <c r="N4807" s="3"/>
      <c r="O4807" s="3"/>
      <c r="P4807" s="125"/>
      <c r="Q4807" s="125"/>
      <c r="R4807" s="127"/>
      <c r="S4807" s="123"/>
      <c r="T4807" s="3"/>
      <c r="W4807" s="86"/>
      <c r="Y4807" s="75"/>
    </row>
    <row r="4808" spans="1:25" x14ac:dyDescent="0.25">
      <c r="A4808" s="75"/>
      <c r="C4808" s="81"/>
      <c r="D4808" s="81"/>
      <c r="I4808" s="81"/>
      <c r="K4808" s="82"/>
      <c r="L4808" s="123"/>
      <c r="M4808" s="3"/>
      <c r="N4808" s="3"/>
      <c r="O4808" s="3"/>
      <c r="P4808" s="125"/>
      <c r="Q4808" s="125"/>
      <c r="R4808" s="127"/>
      <c r="S4808" s="123"/>
      <c r="T4808" s="3"/>
      <c r="W4808" s="86"/>
      <c r="Y4808" s="75"/>
    </row>
    <row r="4809" spans="1:25" x14ac:dyDescent="0.25">
      <c r="A4809" s="75"/>
      <c r="C4809" s="81"/>
      <c r="D4809" s="81"/>
      <c r="I4809" s="81"/>
      <c r="K4809" s="82"/>
      <c r="L4809" s="123"/>
      <c r="M4809" s="3"/>
      <c r="N4809" s="3"/>
      <c r="O4809" s="3"/>
      <c r="P4809" s="125"/>
      <c r="Q4809" s="125"/>
      <c r="R4809" s="127"/>
      <c r="S4809" s="123"/>
      <c r="T4809" s="3"/>
      <c r="W4809" s="86"/>
      <c r="Y4809" s="75"/>
    </row>
    <row r="4810" spans="1:25" x14ac:dyDescent="0.25">
      <c r="A4810" s="75"/>
      <c r="C4810" s="81"/>
      <c r="D4810" s="81"/>
      <c r="I4810" s="81"/>
      <c r="K4810" s="82"/>
      <c r="L4810" s="123"/>
      <c r="M4810" s="3"/>
      <c r="N4810" s="3"/>
      <c r="O4810" s="3"/>
      <c r="P4810" s="125"/>
      <c r="Q4810" s="125"/>
      <c r="R4810" s="127"/>
      <c r="S4810" s="123"/>
      <c r="T4810" s="3"/>
      <c r="W4810" s="86"/>
      <c r="Y4810" s="75"/>
    </row>
    <row r="4811" spans="1:25" x14ac:dyDescent="0.25">
      <c r="A4811" s="75"/>
      <c r="C4811" s="81"/>
      <c r="D4811" s="81"/>
      <c r="I4811" s="81"/>
      <c r="K4811" s="82"/>
      <c r="L4811" s="123"/>
      <c r="M4811" s="3"/>
      <c r="N4811" s="3"/>
      <c r="O4811" s="3"/>
      <c r="P4811" s="125"/>
      <c r="Q4811" s="125"/>
      <c r="R4811" s="127"/>
      <c r="S4811" s="123"/>
      <c r="T4811" s="3"/>
      <c r="W4811" s="86"/>
      <c r="Y4811" s="75"/>
    </row>
    <row r="4812" spans="1:25" x14ac:dyDescent="0.25">
      <c r="A4812" s="75"/>
      <c r="C4812" s="81"/>
      <c r="D4812" s="81"/>
      <c r="I4812" s="81"/>
      <c r="K4812" s="82"/>
      <c r="L4812" s="123"/>
      <c r="M4812" s="3"/>
      <c r="N4812" s="3"/>
      <c r="O4812" s="3"/>
      <c r="P4812" s="125"/>
      <c r="Q4812" s="125"/>
      <c r="R4812" s="127"/>
      <c r="S4812" s="123"/>
      <c r="T4812" s="3"/>
      <c r="W4812" s="86"/>
      <c r="Y4812" s="75"/>
    </row>
    <row r="4813" spans="1:25" x14ac:dyDescent="0.25">
      <c r="A4813" s="75"/>
      <c r="C4813" s="81"/>
      <c r="D4813" s="81"/>
      <c r="I4813" s="81"/>
      <c r="K4813" s="82"/>
      <c r="L4813" s="123"/>
      <c r="M4813" s="3"/>
      <c r="N4813" s="3"/>
      <c r="O4813" s="3"/>
      <c r="P4813" s="125"/>
      <c r="Q4813" s="125"/>
      <c r="R4813" s="127"/>
      <c r="S4813" s="123"/>
      <c r="T4813" s="3"/>
      <c r="W4813" s="86"/>
      <c r="Y4813" s="75"/>
    </row>
    <row r="4814" spans="1:25" x14ac:dyDescent="0.25">
      <c r="A4814" s="75"/>
      <c r="C4814" s="81"/>
      <c r="D4814" s="81"/>
      <c r="I4814" s="81"/>
      <c r="K4814" s="82"/>
      <c r="L4814" s="123"/>
      <c r="M4814" s="3"/>
      <c r="N4814" s="3"/>
      <c r="O4814" s="3"/>
      <c r="P4814" s="125"/>
      <c r="Q4814" s="125"/>
      <c r="R4814" s="127"/>
      <c r="S4814" s="123"/>
      <c r="T4814" s="3"/>
      <c r="W4814" s="86"/>
      <c r="Y4814" s="75"/>
    </row>
    <row r="4815" spans="1:25" x14ac:dyDescent="0.25">
      <c r="A4815" s="75"/>
      <c r="C4815" s="81"/>
      <c r="D4815" s="81"/>
      <c r="I4815" s="81"/>
      <c r="K4815" s="82"/>
      <c r="L4815" s="123"/>
      <c r="M4815" s="3"/>
      <c r="N4815" s="3"/>
      <c r="O4815" s="3"/>
      <c r="P4815" s="125"/>
      <c r="Q4815" s="125"/>
      <c r="R4815" s="127"/>
      <c r="S4815" s="123"/>
      <c r="T4815" s="3"/>
      <c r="W4815" s="86"/>
      <c r="Y4815" s="75"/>
    </row>
    <row r="4816" spans="1:25" x14ac:dyDescent="0.25">
      <c r="A4816" s="75"/>
      <c r="C4816" s="81"/>
      <c r="D4816" s="81"/>
      <c r="I4816" s="81"/>
      <c r="K4816" s="82"/>
      <c r="L4816" s="123"/>
      <c r="M4816" s="3"/>
      <c r="N4816" s="3"/>
      <c r="O4816" s="3"/>
      <c r="P4816" s="125"/>
      <c r="Q4816" s="125"/>
      <c r="R4816" s="127"/>
      <c r="S4816" s="123"/>
      <c r="T4816" s="3"/>
      <c r="W4816" s="86"/>
      <c r="Y4816" s="75"/>
    </row>
    <row r="4817" spans="1:25" x14ac:dyDescent="0.25">
      <c r="A4817" s="75"/>
      <c r="C4817" s="81"/>
      <c r="D4817" s="81"/>
      <c r="I4817" s="81"/>
      <c r="K4817" s="82"/>
      <c r="L4817" s="123"/>
      <c r="M4817" s="3"/>
      <c r="N4817" s="3"/>
      <c r="O4817" s="3"/>
      <c r="P4817" s="125"/>
      <c r="Q4817" s="125"/>
      <c r="R4817" s="127"/>
      <c r="S4817" s="123"/>
      <c r="T4817" s="3"/>
      <c r="W4817" s="86"/>
      <c r="Y4817" s="75"/>
    </row>
    <row r="4818" spans="1:25" x14ac:dyDescent="0.25">
      <c r="A4818" s="75"/>
      <c r="C4818" s="81"/>
      <c r="D4818" s="81"/>
      <c r="I4818" s="81"/>
      <c r="K4818" s="82"/>
      <c r="L4818" s="123"/>
      <c r="M4818" s="3"/>
      <c r="N4818" s="3"/>
      <c r="O4818" s="3"/>
      <c r="P4818" s="125"/>
      <c r="Q4818" s="125"/>
      <c r="R4818" s="127"/>
      <c r="S4818" s="123"/>
      <c r="T4818" s="3"/>
      <c r="W4818" s="86"/>
      <c r="Y4818" s="75"/>
    </row>
    <row r="4819" spans="1:25" x14ac:dyDescent="0.25">
      <c r="A4819" s="75"/>
      <c r="C4819" s="81"/>
      <c r="D4819" s="81"/>
      <c r="I4819" s="81"/>
      <c r="K4819" s="82"/>
      <c r="L4819" s="123"/>
      <c r="M4819" s="3"/>
      <c r="N4819" s="3"/>
      <c r="O4819" s="3"/>
      <c r="P4819" s="125"/>
      <c r="Q4819" s="125"/>
      <c r="R4819" s="127"/>
      <c r="S4819" s="123"/>
      <c r="T4819" s="3"/>
      <c r="W4819" s="86"/>
      <c r="Y4819" s="75"/>
    </row>
    <row r="4820" spans="1:25" x14ac:dyDescent="0.25">
      <c r="A4820" s="75"/>
      <c r="C4820" s="81"/>
      <c r="D4820" s="81"/>
      <c r="I4820" s="81"/>
      <c r="K4820" s="82"/>
      <c r="L4820" s="123"/>
      <c r="M4820" s="3"/>
      <c r="N4820" s="3"/>
      <c r="O4820" s="3"/>
      <c r="P4820" s="125"/>
      <c r="Q4820" s="125"/>
      <c r="R4820" s="127"/>
      <c r="S4820" s="123"/>
      <c r="T4820" s="3"/>
      <c r="W4820" s="86"/>
      <c r="Y4820" s="75"/>
    </row>
    <row r="4821" spans="1:25" x14ac:dyDescent="0.25">
      <c r="A4821" s="75"/>
      <c r="C4821" s="81"/>
      <c r="D4821" s="81"/>
      <c r="I4821" s="81"/>
      <c r="K4821" s="82"/>
      <c r="L4821" s="123"/>
      <c r="M4821" s="3"/>
      <c r="N4821" s="3"/>
      <c r="O4821" s="3"/>
      <c r="P4821" s="125"/>
      <c r="Q4821" s="125"/>
      <c r="R4821" s="127"/>
      <c r="S4821" s="123"/>
      <c r="T4821" s="3"/>
      <c r="W4821" s="86"/>
      <c r="Y4821" s="75"/>
    </row>
    <row r="4822" spans="1:25" x14ac:dyDescent="0.25">
      <c r="A4822" s="75"/>
      <c r="C4822" s="81"/>
      <c r="D4822" s="81"/>
      <c r="I4822" s="81"/>
      <c r="K4822" s="82"/>
      <c r="L4822" s="123"/>
      <c r="M4822" s="3"/>
      <c r="N4822" s="3"/>
      <c r="O4822" s="3"/>
      <c r="P4822" s="125"/>
      <c r="Q4822" s="125"/>
      <c r="R4822" s="127"/>
      <c r="S4822" s="123"/>
      <c r="T4822" s="3"/>
      <c r="W4822" s="86"/>
      <c r="Y4822" s="75"/>
    </row>
    <row r="4823" spans="1:25" x14ac:dyDescent="0.25">
      <c r="A4823" s="75"/>
      <c r="C4823" s="81"/>
      <c r="D4823" s="81"/>
      <c r="I4823" s="81"/>
      <c r="K4823" s="82"/>
      <c r="L4823" s="123"/>
      <c r="M4823" s="3"/>
      <c r="N4823" s="3"/>
      <c r="O4823" s="3"/>
      <c r="P4823" s="125"/>
      <c r="Q4823" s="125"/>
      <c r="R4823" s="127"/>
      <c r="S4823" s="123"/>
      <c r="T4823" s="3"/>
      <c r="W4823" s="86"/>
      <c r="Y4823" s="75"/>
    </row>
    <row r="4824" spans="1:25" x14ac:dyDescent="0.25">
      <c r="A4824" s="75"/>
      <c r="C4824" s="81"/>
      <c r="D4824" s="81"/>
      <c r="I4824" s="81"/>
      <c r="K4824" s="82"/>
      <c r="L4824" s="123"/>
      <c r="M4824" s="3"/>
      <c r="N4824" s="3"/>
      <c r="O4824" s="3"/>
      <c r="P4824" s="125"/>
      <c r="Q4824" s="125"/>
      <c r="R4824" s="127"/>
      <c r="S4824" s="123"/>
      <c r="T4824" s="3"/>
      <c r="W4824" s="86"/>
      <c r="Y4824" s="75"/>
    </row>
    <row r="4825" spans="1:25" x14ac:dyDescent="0.25">
      <c r="A4825" s="75"/>
      <c r="C4825" s="81"/>
      <c r="D4825" s="81"/>
      <c r="I4825" s="81"/>
      <c r="K4825" s="82"/>
      <c r="L4825" s="123"/>
      <c r="M4825" s="3"/>
      <c r="N4825" s="3"/>
      <c r="O4825" s="3"/>
      <c r="P4825" s="125"/>
      <c r="Q4825" s="125"/>
      <c r="R4825" s="127"/>
      <c r="S4825" s="123"/>
      <c r="T4825" s="3"/>
      <c r="W4825" s="86"/>
      <c r="Y4825" s="75"/>
    </row>
    <row r="4826" spans="1:25" x14ac:dyDescent="0.25">
      <c r="A4826" s="75"/>
      <c r="C4826" s="81"/>
      <c r="D4826" s="81"/>
      <c r="I4826" s="81"/>
      <c r="K4826" s="82"/>
      <c r="L4826" s="123"/>
      <c r="M4826" s="3"/>
      <c r="N4826" s="3"/>
      <c r="O4826" s="3"/>
      <c r="P4826" s="125"/>
      <c r="Q4826" s="125"/>
      <c r="R4826" s="127"/>
      <c r="S4826" s="123"/>
      <c r="T4826" s="3"/>
      <c r="W4826" s="86"/>
      <c r="Y4826" s="75"/>
    </row>
    <row r="4827" spans="1:25" x14ac:dyDescent="0.25">
      <c r="A4827" s="75"/>
      <c r="C4827" s="81"/>
      <c r="D4827" s="81"/>
      <c r="I4827" s="81"/>
      <c r="K4827" s="82"/>
      <c r="L4827" s="123"/>
      <c r="M4827" s="3"/>
      <c r="N4827" s="3"/>
      <c r="O4827" s="3"/>
      <c r="P4827" s="125"/>
      <c r="Q4827" s="125"/>
      <c r="R4827" s="127"/>
      <c r="S4827" s="123"/>
      <c r="T4827" s="3"/>
      <c r="W4827" s="86"/>
      <c r="Y4827" s="75"/>
    </row>
    <row r="4828" spans="1:25" x14ac:dyDescent="0.25">
      <c r="A4828" s="75"/>
      <c r="C4828" s="81"/>
      <c r="D4828" s="81"/>
      <c r="I4828" s="81"/>
      <c r="K4828" s="82"/>
      <c r="L4828" s="123"/>
      <c r="M4828" s="3"/>
      <c r="N4828" s="3"/>
      <c r="O4828" s="3"/>
      <c r="P4828" s="125"/>
      <c r="Q4828" s="125"/>
      <c r="R4828" s="127"/>
      <c r="S4828" s="123"/>
      <c r="T4828" s="3"/>
      <c r="W4828" s="86"/>
      <c r="Y4828" s="75"/>
    </row>
    <row r="4829" spans="1:25" x14ac:dyDescent="0.25">
      <c r="A4829" s="75"/>
      <c r="C4829" s="81"/>
      <c r="D4829" s="81"/>
      <c r="I4829" s="81"/>
      <c r="K4829" s="82"/>
      <c r="L4829" s="123"/>
      <c r="M4829" s="3"/>
      <c r="N4829" s="3"/>
      <c r="O4829" s="3"/>
      <c r="P4829" s="125"/>
      <c r="Q4829" s="125"/>
      <c r="R4829" s="127"/>
      <c r="S4829" s="123"/>
      <c r="T4829" s="3"/>
      <c r="W4829" s="86"/>
      <c r="Y4829" s="75"/>
    </row>
    <row r="4830" spans="1:25" x14ac:dyDescent="0.25">
      <c r="A4830" s="75"/>
      <c r="C4830" s="81"/>
      <c r="D4830" s="81"/>
      <c r="I4830" s="81"/>
      <c r="K4830" s="82"/>
      <c r="L4830" s="123"/>
      <c r="M4830" s="3"/>
      <c r="N4830" s="3"/>
      <c r="O4830" s="3"/>
      <c r="P4830" s="125"/>
      <c r="Q4830" s="125"/>
      <c r="R4830" s="127"/>
      <c r="S4830" s="123"/>
      <c r="T4830" s="3"/>
      <c r="W4830" s="86"/>
      <c r="Y4830" s="75"/>
    </row>
    <row r="4831" spans="1:25" x14ac:dyDescent="0.25">
      <c r="A4831" s="75"/>
      <c r="C4831" s="81"/>
      <c r="D4831" s="81"/>
      <c r="I4831" s="81"/>
      <c r="K4831" s="82"/>
      <c r="L4831" s="123"/>
      <c r="M4831" s="3"/>
      <c r="N4831" s="3"/>
      <c r="O4831" s="3"/>
      <c r="P4831" s="125"/>
      <c r="Q4831" s="125"/>
      <c r="R4831" s="127"/>
      <c r="S4831" s="123"/>
      <c r="T4831" s="3"/>
      <c r="W4831" s="86"/>
      <c r="Y4831" s="75"/>
    </row>
    <row r="4832" spans="1:25" x14ac:dyDescent="0.25">
      <c r="A4832" s="75"/>
      <c r="C4832" s="81"/>
      <c r="D4832" s="81"/>
      <c r="I4832" s="81"/>
      <c r="K4832" s="82"/>
      <c r="L4832" s="123"/>
      <c r="M4832" s="3"/>
      <c r="N4832" s="3"/>
      <c r="O4832" s="3"/>
      <c r="P4832" s="125"/>
      <c r="Q4832" s="125"/>
      <c r="R4832" s="127"/>
      <c r="S4832" s="123"/>
      <c r="T4832" s="3"/>
      <c r="W4832" s="86"/>
      <c r="Y4832" s="75"/>
    </row>
    <row r="4833" spans="1:25" x14ac:dyDescent="0.25">
      <c r="A4833" s="75"/>
      <c r="C4833" s="81"/>
      <c r="D4833" s="81"/>
      <c r="I4833" s="81"/>
      <c r="K4833" s="82"/>
      <c r="L4833" s="123"/>
      <c r="M4833" s="3"/>
      <c r="N4833" s="3"/>
      <c r="O4833" s="3"/>
      <c r="P4833" s="125"/>
      <c r="Q4833" s="125"/>
      <c r="R4833" s="127"/>
      <c r="S4833" s="123"/>
      <c r="T4833" s="3"/>
      <c r="W4833" s="86"/>
      <c r="Y4833" s="75"/>
    </row>
    <row r="4834" spans="1:25" x14ac:dyDescent="0.25">
      <c r="A4834" s="75"/>
      <c r="C4834" s="81"/>
      <c r="D4834" s="81"/>
      <c r="I4834" s="81"/>
      <c r="K4834" s="82"/>
      <c r="L4834" s="123"/>
      <c r="M4834" s="3"/>
      <c r="N4834" s="3"/>
      <c r="O4834" s="3"/>
      <c r="P4834" s="125"/>
      <c r="Q4834" s="125"/>
      <c r="R4834" s="127"/>
      <c r="S4834" s="123"/>
      <c r="T4834" s="3"/>
      <c r="W4834" s="86"/>
      <c r="Y4834" s="75"/>
    </row>
    <row r="4835" spans="1:25" x14ac:dyDescent="0.25">
      <c r="A4835" s="75"/>
      <c r="C4835" s="81"/>
      <c r="D4835" s="81"/>
      <c r="I4835" s="81"/>
      <c r="K4835" s="82"/>
      <c r="L4835" s="123"/>
      <c r="M4835" s="3"/>
      <c r="N4835" s="3"/>
      <c r="O4835" s="3"/>
      <c r="P4835" s="125"/>
      <c r="Q4835" s="125"/>
      <c r="R4835" s="127"/>
      <c r="S4835" s="123"/>
      <c r="T4835" s="3"/>
      <c r="W4835" s="86"/>
      <c r="Y4835" s="75"/>
    </row>
    <row r="4836" spans="1:25" x14ac:dyDescent="0.25">
      <c r="A4836" s="75"/>
      <c r="C4836" s="81"/>
      <c r="D4836" s="81"/>
      <c r="I4836" s="81"/>
      <c r="K4836" s="82"/>
      <c r="L4836" s="123"/>
      <c r="M4836" s="3"/>
      <c r="N4836" s="3"/>
      <c r="O4836" s="3"/>
      <c r="P4836" s="125"/>
      <c r="Q4836" s="125"/>
      <c r="R4836" s="127"/>
      <c r="S4836" s="123"/>
      <c r="T4836" s="3"/>
      <c r="W4836" s="86"/>
      <c r="Y4836" s="75"/>
    </row>
    <row r="4837" spans="1:25" x14ac:dyDescent="0.25">
      <c r="A4837" s="75"/>
      <c r="C4837" s="81"/>
      <c r="D4837" s="81"/>
      <c r="I4837" s="81"/>
      <c r="K4837" s="82"/>
      <c r="L4837" s="123"/>
      <c r="M4837" s="3"/>
      <c r="N4837" s="3"/>
      <c r="O4837" s="3"/>
      <c r="P4837" s="125"/>
      <c r="Q4837" s="125"/>
      <c r="R4837" s="127"/>
      <c r="S4837" s="123"/>
      <c r="T4837" s="3"/>
      <c r="W4837" s="86"/>
      <c r="Y4837" s="75"/>
    </row>
    <row r="4838" spans="1:25" x14ac:dyDescent="0.25">
      <c r="A4838" s="75"/>
      <c r="C4838" s="81"/>
      <c r="D4838" s="81"/>
      <c r="I4838" s="81"/>
      <c r="K4838" s="82"/>
      <c r="L4838" s="123"/>
      <c r="M4838" s="3"/>
      <c r="N4838" s="3"/>
      <c r="O4838" s="3"/>
      <c r="P4838" s="125"/>
      <c r="Q4838" s="125"/>
      <c r="R4838" s="127"/>
      <c r="S4838" s="123"/>
      <c r="T4838" s="3"/>
      <c r="W4838" s="86"/>
      <c r="Y4838" s="75"/>
    </row>
    <row r="4839" spans="1:25" x14ac:dyDescent="0.25">
      <c r="A4839" s="75"/>
      <c r="C4839" s="81"/>
      <c r="D4839" s="81"/>
      <c r="I4839" s="81"/>
      <c r="K4839" s="82"/>
      <c r="L4839" s="123"/>
      <c r="M4839" s="3"/>
      <c r="N4839" s="3"/>
      <c r="O4839" s="3"/>
      <c r="P4839" s="125"/>
      <c r="Q4839" s="125"/>
      <c r="R4839" s="127"/>
      <c r="S4839" s="123"/>
      <c r="T4839" s="3"/>
      <c r="W4839" s="86"/>
      <c r="Y4839" s="75"/>
    </row>
    <row r="4840" spans="1:25" x14ac:dyDescent="0.25">
      <c r="A4840" s="75"/>
      <c r="C4840" s="81"/>
      <c r="D4840" s="81"/>
      <c r="I4840" s="81"/>
      <c r="K4840" s="82"/>
      <c r="L4840" s="123"/>
      <c r="M4840" s="3"/>
      <c r="N4840" s="3"/>
      <c r="O4840" s="3"/>
      <c r="P4840" s="125"/>
      <c r="Q4840" s="125"/>
      <c r="R4840" s="127"/>
      <c r="S4840" s="123"/>
      <c r="T4840" s="3"/>
      <c r="W4840" s="86"/>
      <c r="Y4840" s="75"/>
    </row>
    <row r="4841" spans="1:25" x14ac:dyDescent="0.25">
      <c r="A4841" s="75"/>
      <c r="C4841" s="81"/>
      <c r="D4841" s="81"/>
      <c r="I4841" s="81"/>
      <c r="K4841" s="82"/>
      <c r="L4841" s="123"/>
      <c r="M4841" s="3"/>
      <c r="N4841" s="3"/>
      <c r="O4841" s="3"/>
      <c r="P4841" s="125"/>
      <c r="Q4841" s="125"/>
      <c r="R4841" s="127"/>
      <c r="S4841" s="123"/>
      <c r="T4841" s="3"/>
      <c r="W4841" s="86"/>
      <c r="Y4841" s="75"/>
    </row>
    <row r="4842" spans="1:25" x14ac:dyDescent="0.25">
      <c r="A4842" s="75"/>
      <c r="C4842" s="81"/>
      <c r="D4842" s="81"/>
      <c r="I4842" s="81"/>
      <c r="K4842" s="82"/>
      <c r="L4842" s="123"/>
      <c r="M4842" s="3"/>
      <c r="N4842" s="3"/>
      <c r="O4842" s="3"/>
      <c r="P4842" s="125"/>
      <c r="Q4842" s="125"/>
      <c r="R4842" s="127"/>
      <c r="S4842" s="123"/>
      <c r="T4842" s="3"/>
      <c r="W4842" s="86"/>
      <c r="Y4842" s="75"/>
    </row>
    <row r="4843" spans="1:25" x14ac:dyDescent="0.25">
      <c r="A4843" s="75"/>
      <c r="C4843" s="81"/>
      <c r="D4843" s="81"/>
      <c r="I4843" s="81"/>
      <c r="K4843" s="82"/>
      <c r="L4843" s="123"/>
      <c r="M4843" s="3"/>
      <c r="N4843" s="3"/>
      <c r="O4843" s="3"/>
      <c r="P4843" s="125"/>
      <c r="Q4843" s="125"/>
      <c r="R4843" s="127"/>
      <c r="S4843" s="123"/>
      <c r="T4843" s="3"/>
      <c r="W4843" s="86"/>
      <c r="Y4843" s="75"/>
    </row>
    <row r="4844" spans="1:25" x14ac:dyDescent="0.25">
      <c r="A4844" s="75"/>
      <c r="C4844" s="81"/>
      <c r="D4844" s="81"/>
      <c r="I4844" s="81"/>
      <c r="K4844" s="82"/>
      <c r="L4844" s="123"/>
      <c r="M4844" s="3"/>
      <c r="N4844" s="3"/>
      <c r="O4844" s="3"/>
      <c r="P4844" s="125"/>
      <c r="Q4844" s="125"/>
      <c r="R4844" s="127"/>
      <c r="S4844" s="123"/>
      <c r="T4844" s="3"/>
      <c r="W4844" s="86"/>
      <c r="Y4844" s="75"/>
    </row>
    <row r="4845" spans="1:25" x14ac:dyDescent="0.25">
      <c r="A4845" s="75"/>
      <c r="C4845" s="81"/>
      <c r="D4845" s="81"/>
      <c r="I4845" s="81"/>
      <c r="K4845" s="82"/>
      <c r="L4845" s="123"/>
      <c r="M4845" s="3"/>
      <c r="N4845" s="3"/>
      <c r="O4845" s="3"/>
      <c r="P4845" s="125"/>
      <c r="Q4845" s="125"/>
      <c r="R4845" s="127"/>
      <c r="S4845" s="123"/>
      <c r="T4845" s="3"/>
      <c r="W4845" s="86"/>
      <c r="Y4845" s="75"/>
    </row>
    <row r="4846" spans="1:25" x14ac:dyDescent="0.25">
      <c r="A4846" s="75"/>
      <c r="C4846" s="81"/>
      <c r="D4846" s="81"/>
      <c r="I4846" s="81"/>
      <c r="K4846" s="82"/>
      <c r="L4846" s="123"/>
      <c r="M4846" s="3"/>
      <c r="N4846" s="3"/>
      <c r="O4846" s="3"/>
      <c r="P4846" s="125"/>
      <c r="Q4846" s="125"/>
      <c r="R4846" s="127"/>
      <c r="S4846" s="123"/>
      <c r="T4846" s="3"/>
      <c r="W4846" s="86"/>
      <c r="Y4846" s="75"/>
    </row>
    <row r="4847" spans="1:25" x14ac:dyDescent="0.25">
      <c r="A4847" s="75"/>
      <c r="C4847" s="81"/>
      <c r="D4847" s="81"/>
      <c r="I4847" s="81"/>
      <c r="K4847" s="82"/>
      <c r="L4847" s="123"/>
      <c r="M4847" s="3"/>
      <c r="N4847" s="3"/>
      <c r="O4847" s="3"/>
      <c r="P4847" s="125"/>
      <c r="Q4847" s="125"/>
      <c r="R4847" s="127"/>
      <c r="S4847" s="123"/>
      <c r="T4847" s="3"/>
      <c r="W4847" s="86"/>
      <c r="Y4847" s="75"/>
    </row>
    <row r="4848" spans="1:25" x14ac:dyDescent="0.25">
      <c r="A4848" s="75"/>
      <c r="C4848" s="81"/>
      <c r="D4848" s="81"/>
      <c r="I4848" s="81"/>
      <c r="K4848" s="82"/>
      <c r="L4848" s="123"/>
      <c r="M4848" s="3"/>
      <c r="N4848" s="3"/>
      <c r="O4848" s="3"/>
      <c r="P4848" s="125"/>
      <c r="Q4848" s="125"/>
      <c r="R4848" s="127"/>
      <c r="S4848" s="123"/>
      <c r="T4848" s="3"/>
      <c r="W4848" s="86"/>
      <c r="Y4848" s="75"/>
    </row>
    <row r="4849" spans="1:25" x14ac:dyDescent="0.25">
      <c r="A4849" s="75"/>
      <c r="C4849" s="81"/>
      <c r="D4849" s="81"/>
      <c r="I4849" s="81"/>
      <c r="K4849" s="82"/>
      <c r="L4849" s="123"/>
      <c r="M4849" s="3"/>
      <c r="N4849" s="3"/>
      <c r="O4849" s="3"/>
      <c r="P4849" s="125"/>
      <c r="Q4849" s="125"/>
      <c r="R4849" s="127"/>
      <c r="S4849" s="123"/>
      <c r="T4849" s="3"/>
      <c r="W4849" s="86"/>
      <c r="Y4849" s="75"/>
    </row>
    <row r="4850" spans="1:25" x14ac:dyDescent="0.25">
      <c r="A4850" s="75"/>
      <c r="C4850" s="81"/>
      <c r="D4850" s="81"/>
      <c r="I4850" s="81"/>
      <c r="K4850" s="82"/>
      <c r="L4850" s="123"/>
      <c r="M4850" s="3"/>
      <c r="N4850" s="3"/>
      <c r="O4850" s="3"/>
      <c r="P4850" s="125"/>
      <c r="Q4850" s="125"/>
      <c r="R4850" s="127"/>
      <c r="S4850" s="123"/>
      <c r="T4850" s="3"/>
      <c r="W4850" s="86"/>
      <c r="Y4850" s="75"/>
    </row>
    <row r="4851" spans="1:25" x14ac:dyDescent="0.25">
      <c r="A4851" s="75"/>
      <c r="C4851" s="81"/>
      <c r="D4851" s="81"/>
      <c r="I4851" s="81"/>
      <c r="K4851" s="82"/>
      <c r="L4851" s="123"/>
      <c r="M4851" s="3"/>
      <c r="N4851" s="3"/>
      <c r="O4851" s="3"/>
      <c r="P4851" s="125"/>
      <c r="Q4851" s="125"/>
      <c r="R4851" s="127"/>
      <c r="S4851" s="123"/>
      <c r="T4851" s="3"/>
      <c r="W4851" s="86"/>
      <c r="Y4851" s="75"/>
    </row>
    <row r="4852" spans="1:25" x14ac:dyDescent="0.25">
      <c r="A4852" s="75"/>
      <c r="C4852" s="81"/>
      <c r="D4852" s="81"/>
      <c r="I4852" s="81"/>
      <c r="K4852" s="82"/>
      <c r="L4852" s="123"/>
      <c r="M4852" s="3"/>
      <c r="N4852" s="3"/>
      <c r="O4852" s="3"/>
      <c r="P4852" s="125"/>
      <c r="Q4852" s="125"/>
      <c r="R4852" s="127"/>
      <c r="S4852" s="123"/>
      <c r="T4852" s="3"/>
      <c r="W4852" s="86"/>
      <c r="Y4852" s="75"/>
    </row>
    <row r="4853" spans="1:25" x14ac:dyDescent="0.25">
      <c r="A4853" s="75"/>
      <c r="C4853" s="81"/>
      <c r="D4853" s="81"/>
      <c r="I4853" s="81"/>
      <c r="K4853" s="82"/>
      <c r="L4853" s="123"/>
      <c r="M4853" s="3"/>
      <c r="N4853" s="3"/>
      <c r="O4853" s="3"/>
      <c r="P4853" s="125"/>
      <c r="Q4853" s="125"/>
      <c r="R4853" s="127"/>
      <c r="S4853" s="123"/>
      <c r="T4853" s="3"/>
      <c r="W4853" s="86"/>
      <c r="Y4853" s="75"/>
    </row>
    <row r="4854" spans="1:25" x14ac:dyDescent="0.25">
      <c r="A4854" s="75"/>
      <c r="C4854" s="81"/>
      <c r="D4854" s="81"/>
      <c r="I4854" s="81"/>
      <c r="K4854" s="82"/>
      <c r="L4854" s="123"/>
      <c r="M4854" s="3"/>
      <c r="N4854" s="3"/>
      <c r="O4854" s="3"/>
      <c r="P4854" s="125"/>
      <c r="Q4854" s="125"/>
      <c r="R4854" s="127"/>
      <c r="S4854" s="123"/>
      <c r="T4854" s="3"/>
      <c r="W4854" s="86"/>
      <c r="Y4854" s="75"/>
    </row>
    <row r="4855" spans="1:25" x14ac:dyDescent="0.25">
      <c r="A4855" s="75"/>
      <c r="C4855" s="81"/>
      <c r="D4855" s="81"/>
      <c r="I4855" s="81"/>
      <c r="K4855" s="82"/>
      <c r="L4855" s="123"/>
      <c r="M4855" s="3"/>
      <c r="N4855" s="3"/>
      <c r="O4855" s="3"/>
      <c r="P4855" s="125"/>
      <c r="Q4855" s="125"/>
      <c r="R4855" s="127"/>
      <c r="S4855" s="123"/>
      <c r="T4855" s="3"/>
      <c r="W4855" s="86"/>
      <c r="Y4855" s="75"/>
    </row>
    <row r="4856" spans="1:25" x14ac:dyDescent="0.25">
      <c r="A4856" s="75"/>
      <c r="C4856" s="81"/>
      <c r="D4856" s="81"/>
      <c r="I4856" s="81"/>
      <c r="K4856" s="82"/>
      <c r="L4856" s="123"/>
      <c r="M4856" s="3"/>
      <c r="N4856" s="3"/>
      <c r="O4856" s="3"/>
      <c r="P4856" s="125"/>
      <c r="Q4856" s="125"/>
      <c r="R4856" s="127"/>
      <c r="S4856" s="123"/>
      <c r="T4856" s="3"/>
      <c r="W4856" s="86"/>
      <c r="Y4856" s="75"/>
    </row>
    <row r="4857" spans="1:25" x14ac:dyDescent="0.25">
      <c r="A4857" s="75"/>
      <c r="C4857" s="81"/>
      <c r="D4857" s="81"/>
      <c r="I4857" s="81"/>
      <c r="K4857" s="82"/>
      <c r="L4857" s="123"/>
      <c r="M4857" s="3"/>
      <c r="N4857" s="3"/>
      <c r="O4857" s="3"/>
      <c r="P4857" s="125"/>
      <c r="Q4857" s="125"/>
      <c r="R4857" s="127"/>
      <c r="S4857" s="123"/>
      <c r="T4857" s="3"/>
      <c r="W4857" s="86"/>
      <c r="Y4857" s="75"/>
    </row>
    <row r="4858" spans="1:25" x14ac:dyDescent="0.25">
      <c r="A4858" s="75"/>
      <c r="C4858" s="81"/>
      <c r="D4858" s="81"/>
      <c r="I4858" s="81"/>
      <c r="K4858" s="82"/>
      <c r="L4858" s="123"/>
      <c r="M4858" s="3"/>
      <c r="N4858" s="3"/>
      <c r="O4858" s="3"/>
      <c r="P4858" s="125"/>
      <c r="Q4858" s="125"/>
      <c r="R4858" s="127"/>
      <c r="S4858" s="123"/>
      <c r="T4858" s="3"/>
      <c r="W4858" s="86"/>
      <c r="Y4858" s="75"/>
    </row>
    <row r="4859" spans="1:25" x14ac:dyDescent="0.25">
      <c r="A4859" s="75"/>
      <c r="C4859" s="81"/>
      <c r="D4859" s="81"/>
      <c r="I4859" s="81"/>
      <c r="K4859" s="82"/>
      <c r="L4859" s="123"/>
      <c r="M4859" s="3"/>
      <c r="N4859" s="3"/>
      <c r="O4859" s="3"/>
      <c r="P4859" s="125"/>
      <c r="Q4859" s="125"/>
      <c r="R4859" s="127"/>
      <c r="S4859" s="123"/>
      <c r="T4859" s="3"/>
      <c r="W4859" s="86"/>
      <c r="Y4859" s="75"/>
    </row>
    <row r="4860" spans="1:25" x14ac:dyDescent="0.25">
      <c r="A4860" s="75"/>
      <c r="C4860" s="81"/>
      <c r="D4860" s="81"/>
      <c r="I4860" s="81"/>
      <c r="K4860" s="82"/>
      <c r="L4860" s="123"/>
      <c r="M4860" s="3"/>
      <c r="N4860" s="3"/>
      <c r="O4860" s="3"/>
      <c r="P4860" s="125"/>
      <c r="Q4860" s="125"/>
      <c r="R4860" s="127"/>
      <c r="S4860" s="123"/>
      <c r="T4860" s="3"/>
      <c r="W4860" s="86"/>
      <c r="Y4860" s="75"/>
    </row>
    <row r="4861" spans="1:25" x14ac:dyDescent="0.25">
      <c r="A4861" s="75"/>
      <c r="C4861" s="81"/>
      <c r="D4861" s="81"/>
      <c r="I4861" s="81"/>
      <c r="K4861" s="82"/>
      <c r="L4861" s="123"/>
      <c r="M4861" s="3"/>
      <c r="N4861" s="3"/>
      <c r="O4861" s="3"/>
      <c r="P4861" s="125"/>
      <c r="Q4861" s="125"/>
      <c r="R4861" s="127"/>
      <c r="S4861" s="123"/>
      <c r="T4861" s="3"/>
      <c r="W4861" s="86"/>
      <c r="Y4861" s="75"/>
    </row>
    <row r="4862" spans="1:25" x14ac:dyDescent="0.25">
      <c r="A4862" s="75"/>
      <c r="C4862" s="81"/>
      <c r="D4862" s="81"/>
      <c r="I4862" s="81"/>
      <c r="K4862" s="82"/>
      <c r="L4862" s="123"/>
      <c r="M4862" s="3"/>
      <c r="N4862" s="3"/>
      <c r="O4862" s="3"/>
      <c r="P4862" s="125"/>
      <c r="Q4862" s="125"/>
      <c r="R4862" s="127"/>
      <c r="S4862" s="123"/>
      <c r="T4862" s="3"/>
      <c r="W4862" s="86"/>
      <c r="Y4862" s="75"/>
    </row>
    <row r="4863" spans="1:25" x14ac:dyDescent="0.25">
      <c r="A4863" s="75"/>
      <c r="C4863" s="81"/>
      <c r="D4863" s="81"/>
      <c r="I4863" s="81"/>
      <c r="K4863" s="82"/>
      <c r="L4863" s="123"/>
      <c r="M4863" s="3"/>
      <c r="N4863" s="3"/>
      <c r="O4863" s="3"/>
      <c r="P4863" s="125"/>
      <c r="Q4863" s="125"/>
      <c r="R4863" s="127"/>
      <c r="S4863" s="123"/>
      <c r="T4863" s="3"/>
      <c r="W4863" s="86"/>
      <c r="Y4863" s="75"/>
    </row>
    <row r="4864" spans="1:25" x14ac:dyDescent="0.25">
      <c r="A4864" s="75"/>
      <c r="C4864" s="81"/>
      <c r="D4864" s="81"/>
      <c r="I4864" s="81"/>
      <c r="K4864" s="82"/>
      <c r="L4864" s="123"/>
      <c r="M4864" s="3"/>
      <c r="N4864" s="3"/>
      <c r="O4864" s="3"/>
      <c r="P4864" s="125"/>
      <c r="Q4864" s="125"/>
      <c r="R4864" s="127"/>
      <c r="S4864" s="123"/>
      <c r="T4864" s="3"/>
      <c r="W4864" s="86"/>
      <c r="Y4864" s="75"/>
    </row>
    <row r="4865" spans="1:25" x14ac:dyDescent="0.25">
      <c r="A4865" s="75"/>
      <c r="C4865" s="81"/>
      <c r="D4865" s="81"/>
      <c r="I4865" s="81"/>
      <c r="K4865" s="82"/>
      <c r="L4865" s="123"/>
      <c r="M4865" s="3"/>
      <c r="N4865" s="3"/>
      <c r="O4865" s="3"/>
      <c r="P4865" s="125"/>
      <c r="Q4865" s="125"/>
      <c r="R4865" s="127"/>
      <c r="S4865" s="123"/>
      <c r="T4865" s="3"/>
      <c r="W4865" s="86"/>
      <c r="Y4865" s="75"/>
    </row>
    <row r="4866" spans="1:25" x14ac:dyDescent="0.25">
      <c r="A4866" s="75"/>
      <c r="C4866" s="81"/>
      <c r="D4866" s="81"/>
      <c r="I4866" s="81"/>
      <c r="K4866" s="82"/>
      <c r="L4866" s="123"/>
      <c r="M4866" s="3"/>
      <c r="N4866" s="3"/>
      <c r="O4866" s="3"/>
      <c r="P4866" s="125"/>
      <c r="Q4866" s="125"/>
      <c r="R4866" s="127"/>
      <c r="S4866" s="123"/>
      <c r="T4866" s="3"/>
      <c r="W4866" s="86"/>
      <c r="Y4866" s="75"/>
    </row>
    <row r="4867" spans="1:25" x14ac:dyDescent="0.25">
      <c r="A4867" s="75"/>
      <c r="C4867" s="81"/>
      <c r="D4867" s="81"/>
      <c r="I4867" s="81"/>
      <c r="K4867" s="82"/>
      <c r="L4867" s="123"/>
      <c r="M4867" s="3"/>
      <c r="N4867" s="3"/>
      <c r="O4867" s="3"/>
      <c r="P4867" s="125"/>
      <c r="Q4867" s="125"/>
      <c r="R4867" s="127"/>
      <c r="S4867" s="123"/>
      <c r="T4867" s="3"/>
      <c r="W4867" s="86"/>
      <c r="Y4867" s="75"/>
    </row>
    <row r="4868" spans="1:25" x14ac:dyDescent="0.25">
      <c r="A4868" s="75"/>
      <c r="C4868" s="81"/>
      <c r="D4868" s="81"/>
      <c r="I4868" s="81"/>
      <c r="K4868" s="82"/>
      <c r="L4868" s="123"/>
      <c r="M4868" s="3"/>
      <c r="N4868" s="3"/>
      <c r="O4868" s="3"/>
      <c r="P4868" s="125"/>
      <c r="Q4868" s="125"/>
      <c r="R4868" s="127"/>
      <c r="S4868" s="123"/>
      <c r="T4868" s="3"/>
      <c r="W4868" s="86"/>
      <c r="Y4868" s="75"/>
    </row>
    <row r="4869" spans="1:25" x14ac:dyDescent="0.25">
      <c r="A4869" s="75"/>
      <c r="C4869" s="81"/>
      <c r="D4869" s="81"/>
      <c r="I4869" s="81"/>
      <c r="K4869" s="82"/>
      <c r="L4869" s="123"/>
      <c r="M4869" s="3"/>
      <c r="N4869" s="3"/>
      <c r="O4869" s="3"/>
      <c r="P4869" s="125"/>
      <c r="Q4869" s="125"/>
      <c r="R4869" s="127"/>
      <c r="S4869" s="123"/>
      <c r="T4869" s="3"/>
      <c r="W4869" s="86"/>
      <c r="Y4869" s="75"/>
    </row>
    <row r="4870" spans="1:25" x14ac:dyDescent="0.25">
      <c r="A4870" s="75"/>
      <c r="C4870" s="81"/>
      <c r="D4870" s="81"/>
      <c r="I4870" s="81"/>
      <c r="K4870" s="82"/>
      <c r="L4870" s="123"/>
      <c r="M4870" s="3"/>
      <c r="N4870" s="3"/>
      <c r="O4870" s="3"/>
      <c r="P4870" s="125"/>
      <c r="Q4870" s="125"/>
      <c r="R4870" s="127"/>
      <c r="S4870" s="123"/>
      <c r="T4870" s="3"/>
      <c r="W4870" s="86"/>
      <c r="Y4870" s="75"/>
    </row>
    <row r="4871" spans="1:25" x14ac:dyDescent="0.25">
      <c r="A4871" s="75"/>
      <c r="C4871" s="81"/>
      <c r="D4871" s="81"/>
      <c r="I4871" s="81"/>
      <c r="K4871" s="82"/>
      <c r="L4871" s="123"/>
      <c r="M4871" s="3"/>
      <c r="N4871" s="3"/>
      <c r="O4871" s="3"/>
      <c r="P4871" s="125"/>
      <c r="Q4871" s="125"/>
      <c r="R4871" s="127"/>
      <c r="S4871" s="123"/>
      <c r="T4871" s="3"/>
      <c r="W4871" s="86"/>
      <c r="Y4871" s="75"/>
    </row>
    <row r="4872" spans="1:25" x14ac:dyDescent="0.25">
      <c r="A4872" s="75"/>
      <c r="C4872" s="81"/>
      <c r="D4872" s="81"/>
      <c r="I4872" s="81"/>
      <c r="K4872" s="82"/>
      <c r="L4872" s="123"/>
      <c r="M4872" s="3"/>
      <c r="N4872" s="3"/>
      <c r="O4872" s="3"/>
      <c r="P4872" s="125"/>
      <c r="Q4872" s="125"/>
      <c r="R4872" s="127"/>
      <c r="S4872" s="123"/>
      <c r="T4872" s="3"/>
      <c r="W4872" s="86"/>
      <c r="Y4872" s="75"/>
    </row>
    <row r="4873" spans="1:25" x14ac:dyDescent="0.25">
      <c r="A4873" s="75"/>
      <c r="C4873" s="81"/>
      <c r="D4873" s="81"/>
      <c r="I4873" s="81"/>
      <c r="K4873" s="82"/>
      <c r="L4873" s="123"/>
      <c r="M4873" s="3"/>
      <c r="N4873" s="3"/>
      <c r="O4873" s="3"/>
      <c r="P4873" s="125"/>
      <c r="Q4873" s="125"/>
      <c r="R4873" s="127"/>
      <c r="S4873" s="123"/>
      <c r="T4873" s="3"/>
      <c r="W4873" s="86"/>
      <c r="Y4873" s="75"/>
    </row>
    <row r="4874" spans="1:25" x14ac:dyDescent="0.25">
      <c r="A4874" s="75"/>
      <c r="C4874" s="81"/>
      <c r="D4874" s="81"/>
      <c r="I4874" s="81"/>
      <c r="K4874" s="82"/>
      <c r="L4874" s="123"/>
      <c r="M4874" s="3"/>
      <c r="N4874" s="3"/>
      <c r="O4874" s="3"/>
      <c r="P4874" s="125"/>
      <c r="Q4874" s="125"/>
      <c r="R4874" s="127"/>
      <c r="S4874" s="123"/>
      <c r="T4874" s="3"/>
      <c r="W4874" s="86"/>
      <c r="Y4874" s="75"/>
    </row>
    <row r="4875" spans="1:25" x14ac:dyDescent="0.25">
      <c r="A4875" s="75"/>
      <c r="C4875" s="81"/>
      <c r="D4875" s="81"/>
      <c r="I4875" s="81"/>
      <c r="K4875" s="82"/>
      <c r="L4875" s="123"/>
      <c r="M4875" s="3"/>
      <c r="N4875" s="3"/>
      <c r="O4875" s="3"/>
      <c r="P4875" s="125"/>
      <c r="Q4875" s="125"/>
      <c r="R4875" s="127"/>
      <c r="S4875" s="123"/>
      <c r="T4875" s="3"/>
      <c r="W4875" s="86"/>
      <c r="Y4875" s="75"/>
    </row>
    <row r="4876" spans="1:25" x14ac:dyDescent="0.25">
      <c r="A4876" s="75"/>
      <c r="C4876" s="81"/>
      <c r="D4876" s="81"/>
      <c r="I4876" s="81"/>
      <c r="K4876" s="82"/>
      <c r="L4876" s="123"/>
      <c r="M4876" s="3"/>
      <c r="N4876" s="3"/>
      <c r="O4876" s="3"/>
      <c r="P4876" s="125"/>
      <c r="Q4876" s="125"/>
      <c r="R4876" s="127"/>
      <c r="S4876" s="123"/>
      <c r="T4876" s="3"/>
      <c r="W4876" s="86"/>
      <c r="Y4876" s="75"/>
    </row>
    <row r="4877" spans="1:25" x14ac:dyDescent="0.25">
      <c r="A4877" s="75"/>
      <c r="C4877" s="81"/>
      <c r="D4877" s="81"/>
      <c r="I4877" s="81"/>
      <c r="K4877" s="82"/>
      <c r="L4877" s="123"/>
      <c r="M4877" s="3"/>
      <c r="N4877" s="3"/>
      <c r="O4877" s="3"/>
      <c r="P4877" s="125"/>
      <c r="Q4877" s="125"/>
      <c r="R4877" s="127"/>
      <c r="S4877" s="123"/>
      <c r="T4877" s="3"/>
      <c r="W4877" s="86"/>
      <c r="Y4877" s="75"/>
    </row>
    <row r="4878" spans="1:25" x14ac:dyDescent="0.25">
      <c r="A4878" s="75"/>
      <c r="C4878" s="81"/>
      <c r="D4878" s="81"/>
      <c r="I4878" s="81"/>
      <c r="K4878" s="82"/>
      <c r="L4878" s="123"/>
      <c r="M4878" s="3"/>
      <c r="N4878" s="3"/>
      <c r="O4878" s="3"/>
      <c r="P4878" s="125"/>
      <c r="Q4878" s="125"/>
      <c r="R4878" s="127"/>
      <c r="S4878" s="123"/>
      <c r="T4878" s="3"/>
      <c r="W4878" s="86"/>
      <c r="Y4878" s="75"/>
    </row>
    <row r="4879" spans="1:25" x14ac:dyDescent="0.25">
      <c r="A4879" s="75"/>
      <c r="C4879" s="81"/>
      <c r="D4879" s="81"/>
      <c r="I4879" s="81"/>
      <c r="K4879" s="82"/>
      <c r="L4879" s="123"/>
      <c r="M4879" s="3"/>
      <c r="N4879" s="3"/>
      <c r="O4879" s="3"/>
      <c r="P4879" s="125"/>
      <c r="Q4879" s="125"/>
      <c r="R4879" s="127"/>
      <c r="S4879" s="123"/>
      <c r="T4879" s="3"/>
      <c r="W4879" s="86"/>
      <c r="Y4879" s="75"/>
    </row>
    <row r="4880" spans="1:25" x14ac:dyDescent="0.25">
      <c r="A4880" s="75"/>
      <c r="C4880" s="81"/>
      <c r="D4880" s="81"/>
      <c r="I4880" s="81"/>
      <c r="K4880" s="82"/>
      <c r="L4880" s="123"/>
      <c r="M4880" s="3"/>
      <c r="N4880" s="3"/>
      <c r="O4880" s="3"/>
      <c r="P4880" s="125"/>
      <c r="Q4880" s="125"/>
      <c r="R4880" s="127"/>
      <c r="S4880" s="123"/>
      <c r="T4880" s="3"/>
      <c r="W4880" s="86"/>
      <c r="Y4880" s="75"/>
    </row>
    <row r="4881" spans="1:25" x14ac:dyDescent="0.25">
      <c r="A4881" s="75"/>
      <c r="C4881" s="81"/>
      <c r="D4881" s="81"/>
      <c r="I4881" s="81"/>
      <c r="K4881" s="82"/>
      <c r="L4881" s="123"/>
      <c r="M4881" s="3"/>
      <c r="N4881" s="3"/>
      <c r="O4881" s="3"/>
      <c r="P4881" s="125"/>
      <c r="Q4881" s="125"/>
      <c r="R4881" s="127"/>
      <c r="S4881" s="123"/>
      <c r="T4881" s="3"/>
      <c r="W4881" s="86"/>
      <c r="Y4881" s="75"/>
    </row>
    <row r="4882" spans="1:25" x14ac:dyDescent="0.25">
      <c r="A4882" s="75"/>
      <c r="C4882" s="81"/>
      <c r="D4882" s="81"/>
      <c r="I4882" s="81"/>
      <c r="K4882" s="82"/>
      <c r="L4882" s="123"/>
      <c r="M4882" s="3"/>
      <c r="N4882" s="3"/>
      <c r="O4882" s="3"/>
      <c r="P4882" s="125"/>
      <c r="Q4882" s="125"/>
      <c r="R4882" s="127"/>
      <c r="S4882" s="123"/>
      <c r="T4882" s="3"/>
      <c r="W4882" s="86"/>
      <c r="Y4882" s="75"/>
    </row>
    <row r="4883" spans="1:25" x14ac:dyDescent="0.25">
      <c r="A4883" s="75"/>
      <c r="C4883" s="81"/>
      <c r="D4883" s="81"/>
      <c r="I4883" s="81"/>
      <c r="K4883" s="82"/>
      <c r="L4883" s="123"/>
      <c r="M4883" s="3"/>
      <c r="N4883" s="3"/>
      <c r="O4883" s="3"/>
      <c r="P4883" s="125"/>
      <c r="Q4883" s="125"/>
      <c r="R4883" s="127"/>
      <c r="S4883" s="123"/>
      <c r="T4883" s="3"/>
      <c r="W4883" s="86"/>
      <c r="Y4883" s="75"/>
    </row>
    <row r="4884" spans="1:25" x14ac:dyDescent="0.25">
      <c r="A4884" s="75"/>
      <c r="C4884" s="81"/>
      <c r="D4884" s="81"/>
      <c r="I4884" s="81"/>
      <c r="K4884" s="82"/>
      <c r="L4884" s="123"/>
      <c r="M4884" s="3"/>
      <c r="N4884" s="3"/>
      <c r="O4884" s="3"/>
      <c r="P4884" s="125"/>
      <c r="Q4884" s="125"/>
      <c r="R4884" s="127"/>
      <c r="S4884" s="123"/>
      <c r="T4884" s="3"/>
      <c r="W4884" s="86"/>
      <c r="Y4884" s="75"/>
    </row>
    <row r="4885" spans="1:25" x14ac:dyDescent="0.25">
      <c r="A4885" s="75"/>
      <c r="C4885" s="81"/>
      <c r="D4885" s="81"/>
      <c r="I4885" s="81"/>
      <c r="K4885" s="82"/>
      <c r="L4885" s="123"/>
      <c r="M4885" s="3"/>
      <c r="N4885" s="3"/>
      <c r="O4885" s="3"/>
      <c r="P4885" s="125"/>
      <c r="Q4885" s="125"/>
      <c r="R4885" s="127"/>
      <c r="S4885" s="123"/>
      <c r="T4885" s="3"/>
      <c r="W4885" s="86"/>
      <c r="Y4885" s="75"/>
    </row>
    <row r="4886" spans="1:25" x14ac:dyDescent="0.25">
      <c r="A4886" s="75"/>
      <c r="C4886" s="81"/>
      <c r="D4886" s="81"/>
      <c r="I4886" s="81"/>
      <c r="K4886" s="82"/>
      <c r="L4886" s="123"/>
      <c r="M4886" s="3"/>
      <c r="N4886" s="3"/>
      <c r="O4886" s="3"/>
      <c r="P4886" s="125"/>
      <c r="Q4886" s="125"/>
      <c r="R4886" s="127"/>
      <c r="S4886" s="123"/>
      <c r="T4886" s="3"/>
      <c r="W4886" s="86"/>
      <c r="Y4886" s="75"/>
    </row>
    <row r="4887" spans="1:25" x14ac:dyDescent="0.25">
      <c r="A4887" s="75"/>
      <c r="C4887" s="81"/>
      <c r="D4887" s="81"/>
      <c r="I4887" s="81"/>
      <c r="K4887" s="82"/>
      <c r="L4887" s="123"/>
      <c r="M4887" s="3"/>
      <c r="N4887" s="3"/>
      <c r="O4887" s="3"/>
      <c r="P4887" s="125"/>
      <c r="Q4887" s="125"/>
      <c r="R4887" s="127"/>
      <c r="S4887" s="123"/>
      <c r="T4887" s="3"/>
      <c r="W4887" s="86"/>
      <c r="Y4887" s="75"/>
    </row>
    <row r="4888" spans="1:25" x14ac:dyDescent="0.25">
      <c r="A4888" s="75"/>
      <c r="C4888" s="81"/>
      <c r="D4888" s="81"/>
      <c r="I4888" s="81"/>
      <c r="K4888" s="82"/>
      <c r="L4888" s="123"/>
      <c r="M4888" s="3"/>
      <c r="N4888" s="3"/>
      <c r="O4888" s="3"/>
      <c r="P4888" s="125"/>
      <c r="Q4888" s="125"/>
      <c r="R4888" s="127"/>
      <c r="S4888" s="123"/>
      <c r="T4888" s="3"/>
      <c r="W4888" s="86"/>
      <c r="Y4888" s="75"/>
    </row>
    <row r="4889" spans="1:25" x14ac:dyDescent="0.25">
      <c r="A4889" s="75"/>
      <c r="C4889" s="81"/>
      <c r="D4889" s="81"/>
      <c r="I4889" s="81"/>
      <c r="K4889" s="82"/>
      <c r="L4889" s="123"/>
      <c r="M4889" s="3"/>
      <c r="N4889" s="3"/>
      <c r="O4889" s="3"/>
      <c r="P4889" s="125"/>
      <c r="Q4889" s="125"/>
      <c r="R4889" s="127"/>
      <c r="S4889" s="123"/>
      <c r="T4889" s="3"/>
      <c r="W4889" s="86"/>
      <c r="Y4889" s="75"/>
    </row>
    <row r="4890" spans="1:25" x14ac:dyDescent="0.25">
      <c r="A4890" s="75"/>
      <c r="C4890" s="81"/>
      <c r="D4890" s="81"/>
      <c r="I4890" s="81"/>
      <c r="K4890" s="82"/>
      <c r="L4890" s="123"/>
      <c r="M4890" s="3"/>
      <c r="N4890" s="3"/>
      <c r="O4890" s="3"/>
      <c r="P4890" s="125"/>
      <c r="Q4890" s="125"/>
      <c r="R4890" s="127"/>
      <c r="S4890" s="123"/>
      <c r="T4890" s="3"/>
      <c r="W4890" s="86"/>
      <c r="Y4890" s="75"/>
    </row>
    <row r="4891" spans="1:25" x14ac:dyDescent="0.25">
      <c r="A4891" s="75"/>
      <c r="C4891" s="81"/>
      <c r="D4891" s="81"/>
      <c r="I4891" s="81"/>
      <c r="K4891" s="82"/>
      <c r="L4891" s="123"/>
      <c r="M4891" s="3"/>
      <c r="N4891" s="3"/>
      <c r="O4891" s="3"/>
      <c r="P4891" s="125"/>
      <c r="Q4891" s="125"/>
      <c r="R4891" s="127"/>
      <c r="S4891" s="123"/>
      <c r="T4891" s="3"/>
      <c r="W4891" s="86"/>
      <c r="Y4891" s="75"/>
    </row>
    <row r="4892" spans="1:25" x14ac:dyDescent="0.25">
      <c r="A4892" s="75"/>
      <c r="C4892" s="81"/>
      <c r="D4892" s="81"/>
      <c r="I4892" s="81"/>
      <c r="K4892" s="82"/>
      <c r="L4892" s="123"/>
      <c r="M4892" s="3"/>
      <c r="N4892" s="3"/>
      <c r="O4892" s="3"/>
      <c r="P4892" s="125"/>
      <c r="Q4892" s="125"/>
      <c r="R4892" s="127"/>
      <c r="S4892" s="123"/>
      <c r="T4892" s="3"/>
      <c r="W4892" s="86"/>
      <c r="Y4892" s="75"/>
    </row>
    <row r="4893" spans="1:25" x14ac:dyDescent="0.25">
      <c r="A4893" s="75"/>
      <c r="C4893" s="81"/>
      <c r="D4893" s="81"/>
      <c r="I4893" s="81"/>
      <c r="K4893" s="82"/>
      <c r="L4893" s="123"/>
      <c r="M4893" s="3"/>
      <c r="N4893" s="3"/>
      <c r="O4893" s="3"/>
      <c r="P4893" s="125"/>
      <c r="Q4893" s="125"/>
      <c r="R4893" s="127"/>
      <c r="S4893" s="123"/>
      <c r="T4893" s="3"/>
      <c r="W4893" s="86"/>
      <c r="Y4893" s="75"/>
    </row>
    <row r="4894" spans="1:25" x14ac:dyDescent="0.25">
      <c r="A4894" s="75"/>
      <c r="C4894" s="81"/>
      <c r="D4894" s="81"/>
      <c r="I4894" s="81"/>
      <c r="K4894" s="82"/>
      <c r="L4894" s="123"/>
      <c r="M4894" s="3"/>
      <c r="N4894" s="3"/>
      <c r="O4894" s="3"/>
      <c r="P4894" s="125"/>
      <c r="Q4894" s="125"/>
      <c r="R4894" s="127"/>
      <c r="S4894" s="123"/>
      <c r="T4894" s="3"/>
      <c r="W4894" s="86"/>
      <c r="Y4894" s="75"/>
    </row>
    <row r="4895" spans="1:25" x14ac:dyDescent="0.25">
      <c r="A4895" s="75"/>
      <c r="C4895" s="81"/>
      <c r="D4895" s="81"/>
      <c r="I4895" s="81"/>
      <c r="K4895" s="82"/>
      <c r="L4895" s="123"/>
      <c r="M4895" s="3"/>
      <c r="N4895" s="3"/>
      <c r="O4895" s="3"/>
      <c r="P4895" s="125"/>
      <c r="Q4895" s="125"/>
      <c r="R4895" s="127"/>
      <c r="S4895" s="123"/>
      <c r="T4895" s="3"/>
      <c r="W4895" s="86"/>
      <c r="Y4895" s="75"/>
    </row>
    <row r="4896" spans="1:25" x14ac:dyDescent="0.25">
      <c r="A4896" s="75"/>
      <c r="C4896" s="81"/>
      <c r="D4896" s="81"/>
      <c r="I4896" s="81"/>
      <c r="K4896" s="82"/>
      <c r="L4896" s="123"/>
      <c r="M4896" s="3"/>
      <c r="N4896" s="3"/>
      <c r="O4896" s="3"/>
      <c r="P4896" s="125"/>
      <c r="Q4896" s="125"/>
      <c r="R4896" s="127"/>
      <c r="S4896" s="123"/>
      <c r="T4896" s="3"/>
      <c r="W4896" s="86"/>
      <c r="Y4896" s="75"/>
    </row>
    <row r="4897" spans="1:25" x14ac:dyDescent="0.25">
      <c r="A4897" s="75"/>
      <c r="C4897" s="81"/>
      <c r="D4897" s="81"/>
      <c r="I4897" s="81"/>
      <c r="K4897" s="82"/>
      <c r="L4897" s="123"/>
      <c r="M4897" s="3"/>
      <c r="N4897" s="3"/>
      <c r="O4897" s="3"/>
      <c r="P4897" s="125"/>
      <c r="Q4897" s="125"/>
      <c r="R4897" s="127"/>
      <c r="S4897" s="123"/>
      <c r="T4897" s="3"/>
      <c r="W4897" s="86"/>
      <c r="Y4897" s="75"/>
    </row>
    <row r="4898" spans="1:25" x14ac:dyDescent="0.25">
      <c r="A4898" s="75"/>
      <c r="C4898" s="81"/>
      <c r="D4898" s="81"/>
      <c r="I4898" s="81"/>
      <c r="K4898" s="82"/>
      <c r="L4898" s="123"/>
      <c r="M4898" s="3"/>
      <c r="N4898" s="3"/>
      <c r="O4898" s="3"/>
      <c r="P4898" s="125"/>
      <c r="Q4898" s="125"/>
      <c r="R4898" s="127"/>
      <c r="S4898" s="123"/>
      <c r="T4898" s="3"/>
      <c r="W4898" s="86"/>
      <c r="Y4898" s="75"/>
    </row>
    <row r="4899" spans="1:25" x14ac:dyDescent="0.25">
      <c r="A4899" s="75"/>
      <c r="C4899" s="81"/>
      <c r="D4899" s="81"/>
      <c r="I4899" s="81"/>
      <c r="K4899" s="82"/>
      <c r="L4899" s="123"/>
      <c r="M4899" s="3"/>
      <c r="N4899" s="3"/>
      <c r="O4899" s="3"/>
      <c r="P4899" s="125"/>
      <c r="Q4899" s="125"/>
      <c r="R4899" s="127"/>
      <c r="S4899" s="123"/>
      <c r="T4899" s="3"/>
      <c r="W4899" s="86"/>
      <c r="Y4899" s="75"/>
    </row>
    <row r="4900" spans="1:25" x14ac:dyDescent="0.25">
      <c r="A4900" s="75"/>
      <c r="C4900" s="81"/>
      <c r="D4900" s="81"/>
      <c r="I4900" s="81"/>
      <c r="K4900" s="82"/>
      <c r="L4900" s="123"/>
      <c r="M4900" s="3"/>
      <c r="N4900" s="3"/>
      <c r="O4900" s="3"/>
      <c r="P4900" s="125"/>
      <c r="Q4900" s="125"/>
      <c r="R4900" s="127"/>
      <c r="S4900" s="123"/>
      <c r="T4900" s="3"/>
      <c r="W4900" s="86"/>
      <c r="Y4900" s="75"/>
    </row>
    <row r="4901" spans="1:25" x14ac:dyDescent="0.25">
      <c r="A4901" s="75"/>
      <c r="C4901" s="81"/>
      <c r="D4901" s="81"/>
      <c r="I4901" s="81"/>
      <c r="K4901" s="82"/>
      <c r="L4901" s="123"/>
      <c r="M4901" s="3"/>
      <c r="N4901" s="3"/>
      <c r="O4901" s="3"/>
      <c r="P4901" s="125"/>
      <c r="Q4901" s="125"/>
      <c r="R4901" s="127"/>
      <c r="S4901" s="123"/>
      <c r="T4901" s="3"/>
      <c r="W4901" s="86"/>
      <c r="Y4901" s="75"/>
    </row>
    <row r="4902" spans="1:25" x14ac:dyDescent="0.25">
      <c r="A4902" s="75"/>
      <c r="C4902" s="81"/>
      <c r="D4902" s="81"/>
      <c r="I4902" s="81"/>
      <c r="K4902" s="82"/>
      <c r="L4902" s="123"/>
      <c r="M4902" s="3"/>
      <c r="N4902" s="3"/>
      <c r="O4902" s="3"/>
      <c r="P4902" s="125"/>
      <c r="Q4902" s="125"/>
      <c r="R4902" s="127"/>
      <c r="S4902" s="123"/>
      <c r="T4902" s="3"/>
      <c r="W4902" s="86"/>
      <c r="Y4902" s="75"/>
    </row>
    <row r="4903" spans="1:25" x14ac:dyDescent="0.25">
      <c r="A4903" s="75"/>
      <c r="C4903" s="81"/>
      <c r="D4903" s="81"/>
      <c r="I4903" s="81"/>
      <c r="K4903" s="82"/>
      <c r="L4903" s="123"/>
      <c r="M4903" s="3"/>
      <c r="N4903" s="3"/>
      <c r="O4903" s="3"/>
      <c r="P4903" s="125"/>
      <c r="Q4903" s="125"/>
      <c r="R4903" s="127"/>
      <c r="S4903" s="123"/>
      <c r="T4903" s="3"/>
      <c r="W4903" s="86"/>
      <c r="Y4903" s="75"/>
    </row>
    <row r="4904" spans="1:25" x14ac:dyDescent="0.25">
      <c r="A4904" s="75"/>
      <c r="C4904" s="81"/>
      <c r="D4904" s="81"/>
      <c r="I4904" s="81"/>
      <c r="K4904" s="82"/>
      <c r="L4904" s="123"/>
      <c r="M4904" s="3"/>
      <c r="N4904" s="3"/>
      <c r="O4904" s="3"/>
      <c r="P4904" s="125"/>
      <c r="Q4904" s="125"/>
      <c r="R4904" s="127"/>
      <c r="S4904" s="123"/>
      <c r="T4904" s="3"/>
      <c r="W4904" s="86"/>
      <c r="Y4904" s="75"/>
    </row>
    <row r="4905" spans="1:25" x14ac:dyDescent="0.25">
      <c r="A4905" s="75"/>
      <c r="C4905" s="81"/>
      <c r="D4905" s="81"/>
      <c r="I4905" s="81"/>
      <c r="K4905" s="82"/>
      <c r="L4905" s="123"/>
      <c r="M4905" s="3"/>
      <c r="N4905" s="3"/>
      <c r="O4905" s="3"/>
      <c r="P4905" s="125"/>
      <c r="Q4905" s="125"/>
      <c r="R4905" s="127"/>
      <c r="S4905" s="123"/>
      <c r="T4905" s="3"/>
      <c r="W4905" s="86"/>
      <c r="Y4905" s="75"/>
    </row>
    <row r="4906" spans="1:25" x14ac:dyDescent="0.25">
      <c r="A4906" s="75"/>
      <c r="C4906" s="81"/>
      <c r="D4906" s="81"/>
      <c r="I4906" s="81"/>
      <c r="K4906" s="82"/>
      <c r="L4906" s="123"/>
      <c r="M4906" s="3"/>
      <c r="N4906" s="3"/>
      <c r="O4906" s="3"/>
      <c r="P4906" s="125"/>
      <c r="Q4906" s="125"/>
      <c r="R4906" s="127"/>
      <c r="S4906" s="123"/>
      <c r="T4906" s="3"/>
      <c r="W4906" s="86"/>
      <c r="Y4906" s="75"/>
    </row>
    <row r="4907" spans="1:25" x14ac:dyDescent="0.25">
      <c r="A4907" s="75"/>
      <c r="C4907" s="81"/>
      <c r="D4907" s="81"/>
      <c r="I4907" s="81"/>
      <c r="K4907" s="82"/>
      <c r="L4907" s="123"/>
      <c r="M4907" s="3"/>
      <c r="N4907" s="3"/>
      <c r="O4907" s="3"/>
      <c r="P4907" s="125"/>
      <c r="Q4907" s="125"/>
      <c r="R4907" s="127"/>
      <c r="S4907" s="123"/>
      <c r="T4907" s="3"/>
      <c r="W4907" s="86"/>
      <c r="Y4907" s="75"/>
    </row>
    <row r="4908" spans="1:25" x14ac:dyDescent="0.25">
      <c r="A4908" s="75"/>
      <c r="C4908" s="81"/>
      <c r="D4908" s="81"/>
      <c r="I4908" s="81"/>
      <c r="K4908" s="82"/>
      <c r="L4908" s="123"/>
      <c r="M4908" s="3"/>
      <c r="N4908" s="3"/>
      <c r="O4908" s="3"/>
      <c r="P4908" s="125"/>
      <c r="Q4908" s="125"/>
      <c r="R4908" s="127"/>
      <c r="S4908" s="123"/>
      <c r="T4908" s="3"/>
      <c r="W4908" s="86"/>
      <c r="Y4908" s="75"/>
    </row>
    <row r="4909" spans="1:25" x14ac:dyDescent="0.25">
      <c r="A4909" s="75"/>
      <c r="C4909" s="81"/>
      <c r="D4909" s="81"/>
      <c r="I4909" s="81"/>
      <c r="K4909" s="82"/>
      <c r="L4909" s="123"/>
      <c r="M4909" s="3"/>
      <c r="N4909" s="3"/>
      <c r="O4909" s="3"/>
      <c r="P4909" s="125"/>
      <c r="Q4909" s="125"/>
      <c r="R4909" s="127"/>
      <c r="S4909" s="123"/>
      <c r="T4909" s="3"/>
      <c r="W4909" s="86"/>
      <c r="Y4909" s="75"/>
    </row>
    <row r="4910" spans="1:25" x14ac:dyDescent="0.25">
      <c r="A4910" s="75"/>
      <c r="C4910" s="81"/>
      <c r="D4910" s="81"/>
      <c r="I4910" s="81"/>
      <c r="K4910" s="82"/>
      <c r="L4910" s="123"/>
      <c r="M4910" s="3"/>
      <c r="N4910" s="3"/>
      <c r="O4910" s="3"/>
      <c r="P4910" s="125"/>
      <c r="Q4910" s="125"/>
      <c r="R4910" s="127"/>
      <c r="S4910" s="123"/>
      <c r="T4910" s="3"/>
      <c r="W4910" s="86"/>
      <c r="Y4910" s="75"/>
    </row>
    <row r="4911" spans="1:25" x14ac:dyDescent="0.25">
      <c r="A4911" s="75"/>
      <c r="C4911" s="81"/>
      <c r="D4911" s="81"/>
      <c r="I4911" s="81"/>
      <c r="K4911" s="82"/>
      <c r="L4911" s="123"/>
      <c r="M4911" s="3"/>
      <c r="N4911" s="3"/>
      <c r="O4911" s="3"/>
      <c r="P4911" s="125"/>
      <c r="Q4911" s="125"/>
      <c r="R4911" s="127"/>
      <c r="S4911" s="123"/>
      <c r="T4911" s="3"/>
      <c r="W4911" s="86"/>
      <c r="Y4911" s="75"/>
    </row>
    <row r="4912" spans="1:25" x14ac:dyDescent="0.25">
      <c r="A4912" s="75"/>
      <c r="C4912" s="81"/>
      <c r="D4912" s="81"/>
      <c r="I4912" s="81"/>
      <c r="K4912" s="82"/>
      <c r="L4912" s="123"/>
      <c r="M4912" s="3"/>
      <c r="N4912" s="3"/>
      <c r="O4912" s="3"/>
      <c r="P4912" s="125"/>
      <c r="Q4912" s="125"/>
      <c r="R4912" s="127"/>
      <c r="S4912" s="123"/>
      <c r="T4912" s="3"/>
      <c r="W4912" s="86"/>
      <c r="Y4912" s="75"/>
    </row>
    <row r="4913" spans="1:25" x14ac:dyDescent="0.25">
      <c r="A4913" s="75"/>
      <c r="C4913" s="81"/>
      <c r="D4913" s="81"/>
      <c r="I4913" s="81"/>
      <c r="K4913" s="82"/>
      <c r="L4913" s="123"/>
      <c r="M4913" s="3"/>
      <c r="N4913" s="3"/>
      <c r="O4913" s="3"/>
      <c r="P4913" s="125"/>
      <c r="Q4913" s="125"/>
      <c r="R4913" s="127"/>
      <c r="S4913" s="123"/>
      <c r="T4913" s="3"/>
      <c r="W4913" s="86"/>
      <c r="Y4913" s="75"/>
    </row>
    <row r="4914" spans="1:25" x14ac:dyDescent="0.25">
      <c r="A4914" s="75"/>
      <c r="C4914" s="81"/>
      <c r="D4914" s="81"/>
      <c r="I4914" s="81"/>
      <c r="K4914" s="82"/>
      <c r="L4914" s="123"/>
      <c r="M4914" s="3"/>
      <c r="N4914" s="3"/>
      <c r="O4914" s="3"/>
      <c r="P4914" s="125"/>
      <c r="Q4914" s="125"/>
      <c r="R4914" s="127"/>
      <c r="S4914" s="123"/>
      <c r="T4914" s="3"/>
      <c r="W4914" s="86"/>
      <c r="Y4914" s="75"/>
    </row>
    <row r="4915" spans="1:25" x14ac:dyDescent="0.25">
      <c r="A4915" s="75"/>
      <c r="C4915" s="81"/>
      <c r="D4915" s="81"/>
      <c r="I4915" s="81"/>
      <c r="K4915" s="82"/>
      <c r="L4915" s="123"/>
      <c r="M4915" s="3"/>
      <c r="N4915" s="3"/>
      <c r="O4915" s="3"/>
      <c r="P4915" s="125"/>
      <c r="Q4915" s="125"/>
      <c r="R4915" s="127"/>
      <c r="S4915" s="123"/>
      <c r="T4915" s="3"/>
      <c r="W4915" s="86"/>
      <c r="Y4915" s="75"/>
    </row>
    <row r="4916" spans="1:25" x14ac:dyDescent="0.25">
      <c r="A4916" s="75"/>
      <c r="C4916" s="81"/>
      <c r="D4916" s="81"/>
      <c r="I4916" s="81"/>
      <c r="K4916" s="82"/>
      <c r="L4916" s="123"/>
      <c r="M4916" s="3"/>
      <c r="N4916" s="3"/>
      <c r="O4916" s="3"/>
      <c r="P4916" s="125"/>
      <c r="Q4916" s="125"/>
      <c r="R4916" s="127"/>
      <c r="S4916" s="123"/>
      <c r="T4916" s="3"/>
      <c r="W4916" s="86"/>
      <c r="Y4916" s="75"/>
    </row>
    <row r="4917" spans="1:25" x14ac:dyDescent="0.25">
      <c r="A4917" s="75"/>
      <c r="C4917" s="81"/>
      <c r="D4917" s="81"/>
      <c r="I4917" s="81"/>
      <c r="K4917" s="82"/>
      <c r="L4917" s="123"/>
      <c r="M4917" s="3"/>
      <c r="N4917" s="3"/>
      <c r="O4917" s="3"/>
      <c r="P4917" s="125"/>
      <c r="Q4917" s="125"/>
      <c r="R4917" s="127"/>
      <c r="S4917" s="123"/>
      <c r="T4917" s="3"/>
      <c r="W4917" s="86"/>
      <c r="Y4917" s="75"/>
    </row>
    <row r="4918" spans="1:25" x14ac:dyDescent="0.25">
      <c r="A4918" s="75"/>
      <c r="C4918" s="81"/>
      <c r="D4918" s="81"/>
      <c r="I4918" s="81"/>
      <c r="K4918" s="82"/>
      <c r="L4918" s="123"/>
      <c r="M4918" s="3"/>
      <c r="N4918" s="3"/>
      <c r="O4918" s="3"/>
      <c r="P4918" s="125"/>
      <c r="Q4918" s="125"/>
      <c r="R4918" s="127"/>
      <c r="S4918" s="123"/>
      <c r="T4918" s="3"/>
      <c r="W4918" s="86"/>
      <c r="Y4918" s="75"/>
    </row>
    <row r="4919" spans="1:25" x14ac:dyDescent="0.25">
      <c r="A4919" s="75"/>
      <c r="C4919" s="81"/>
      <c r="D4919" s="81"/>
      <c r="I4919" s="81"/>
      <c r="K4919" s="82"/>
      <c r="L4919" s="123"/>
      <c r="M4919" s="3"/>
      <c r="N4919" s="3"/>
      <c r="O4919" s="3"/>
      <c r="P4919" s="125"/>
      <c r="Q4919" s="125"/>
      <c r="R4919" s="127"/>
      <c r="S4919" s="123"/>
      <c r="T4919" s="3"/>
      <c r="W4919" s="86"/>
      <c r="Y4919" s="75"/>
    </row>
    <row r="4920" spans="1:25" x14ac:dyDescent="0.25">
      <c r="A4920" s="75"/>
      <c r="C4920" s="81"/>
      <c r="D4920" s="81"/>
      <c r="I4920" s="81"/>
      <c r="K4920" s="82"/>
      <c r="L4920" s="123"/>
      <c r="M4920" s="3"/>
      <c r="N4920" s="3"/>
      <c r="O4920" s="3"/>
      <c r="P4920" s="125"/>
      <c r="Q4920" s="125"/>
      <c r="R4920" s="127"/>
      <c r="S4920" s="123"/>
      <c r="T4920" s="3"/>
      <c r="W4920" s="86"/>
      <c r="Y4920" s="75"/>
    </row>
    <row r="4921" spans="1:25" x14ac:dyDescent="0.25">
      <c r="A4921" s="75"/>
      <c r="C4921" s="81"/>
      <c r="D4921" s="81"/>
      <c r="I4921" s="81"/>
      <c r="K4921" s="82"/>
      <c r="L4921" s="123"/>
      <c r="M4921" s="3"/>
      <c r="N4921" s="3"/>
      <c r="O4921" s="3"/>
      <c r="P4921" s="125"/>
      <c r="Q4921" s="125"/>
      <c r="R4921" s="127"/>
      <c r="S4921" s="123"/>
      <c r="T4921" s="3"/>
      <c r="W4921" s="86"/>
      <c r="Y4921" s="75"/>
    </row>
    <row r="4922" spans="1:25" x14ac:dyDescent="0.25">
      <c r="A4922" s="75"/>
      <c r="C4922" s="81"/>
      <c r="D4922" s="81"/>
      <c r="I4922" s="81"/>
      <c r="K4922" s="82"/>
      <c r="L4922" s="123"/>
      <c r="M4922" s="3"/>
      <c r="N4922" s="3"/>
      <c r="O4922" s="3"/>
      <c r="P4922" s="125"/>
      <c r="Q4922" s="125"/>
      <c r="R4922" s="127"/>
      <c r="S4922" s="123"/>
      <c r="T4922" s="3"/>
      <c r="W4922" s="86"/>
      <c r="Y4922" s="75"/>
    </row>
    <row r="4923" spans="1:25" x14ac:dyDescent="0.25">
      <c r="A4923" s="75"/>
      <c r="C4923" s="81"/>
      <c r="D4923" s="81"/>
      <c r="I4923" s="81"/>
      <c r="K4923" s="82"/>
      <c r="L4923" s="123"/>
      <c r="M4923" s="3"/>
      <c r="N4923" s="3"/>
      <c r="O4923" s="3"/>
      <c r="P4923" s="125"/>
      <c r="Q4923" s="125"/>
      <c r="R4923" s="127"/>
      <c r="S4923" s="123"/>
      <c r="T4923" s="3"/>
      <c r="W4923" s="86"/>
      <c r="Y4923" s="75"/>
    </row>
    <row r="4924" spans="1:25" x14ac:dyDescent="0.25">
      <c r="A4924" s="75"/>
      <c r="C4924" s="81"/>
      <c r="D4924" s="81"/>
      <c r="I4924" s="81"/>
      <c r="K4924" s="82"/>
      <c r="L4924" s="123"/>
      <c r="M4924" s="3"/>
      <c r="N4924" s="3"/>
      <c r="O4924" s="3"/>
      <c r="P4924" s="125"/>
      <c r="Q4924" s="125"/>
      <c r="R4924" s="127"/>
      <c r="S4924" s="123"/>
      <c r="T4924" s="3"/>
      <c r="W4924" s="86"/>
      <c r="Y4924" s="75"/>
    </row>
    <row r="4925" spans="1:25" x14ac:dyDescent="0.25">
      <c r="A4925" s="75"/>
      <c r="C4925" s="81"/>
      <c r="D4925" s="81"/>
      <c r="I4925" s="81"/>
      <c r="K4925" s="82"/>
      <c r="L4925" s="123"/>
      <c r="M4925" s="3"/>
      <c r="N4925" s="3"/>
      <c r="O4925" s="3"/>
      <c r="P4925" s="125"/>
      <c r="Q4925" s="125"/>
      <c r="R4925" s="127"/>
      <c r="S4925" s="123"/>
      <c r="T4925" s="3"/>
      <c r="W4925" s="86"/>
      <c r="Y4925" s="75"/>
    </row>
    <row r="4926" spans="1:25" x14ac:dyDescent="0.25">
      <c r="A4926" s="75"/>
      <c r="C4926" s="81"/>
      <c r="D4926" s="81"/>
      <c r="I4926" s="81"/>
      <c r="K4926" s="82"/>
      <c r="L4926" s="123"/>
      <c r="M4926" s="3"/>
      <c r="N4926" s="3"/>
      <c r="O4926" s="3"/>
      <c r="P4926" s="125"/>
      <c r="Q4926" s="125"/>
      <c r="R4926" s="127"/>
      <c r="S4926" s="123"/>
      <c r="T4926" s="3"/>
      <c r="W4926" s="86"/>
      <c r="Y4926" s="75"/>
    </row>
    <row r="4927" spans="1:25" x14ac:dyDescent="0.25">
      <c r="A4927" s="75"/>
      <c r="C4927" s="81"/>
      <c r="D4927" s="81"/>
      <c r="I4927" s="81"/>
      <c r="K4927" s="82"/>
      <c r="L4927" s="123"/>
      <c r="M4927" s="3"/>
      <c r="N4927" s="3"/>
      <c r="O4927" s="3"/>
      <c r="P4927" s="125"/>
      <c r="Q4927" s="125"/>
      <c r="R4927" s="127"/>
      <c r="S4927" s="123"/>
      <c r="T4927" s="3"/>
      <c r="W4927" s="86"/>
      <c r="Y4927" s="75"/>
    </row>
    <row r="4928" spans="1:25" x14ac:dyDescent="0.25">
      <c r="A4928" s="75"/>
      <c r="C4928" s="81"/>
      <c r="D4928" s="81"/>
      <c r="I4928" s="81"/>
      <c r="K4928" s="82"/>
      <c r="L4928" s="123"/>
      <c r="M4928" s="3"/>
      <c r="N4928" s="3"/>
      <c r="O4928" s="3"/>
      <c r="P4928" s="125"/>
      <c r="Q4928" s="125"/>
      <c r="R4928" s="127"/>
      <c r="S4928" s="123"/>
      <c r="T4928" s="3"/>
      <c r="W4928" s="86"/>
      <c r="Y4928" s="75"/>
    </row>
    <row r="4929" spans="1:25" x14ac:dyDescent="0.25">
      <c r="A4929" s="75"/>
      <c r="C4929" s="81"/>
      <c r="D4929" s="81"/>
      <c r="I4929" s="81"/>
      <c r="K4929" s="82"/>
      <c r="L4929" s="123"/>
      <c r="M4929" s="3"/>
      <c r="N4929" s="3"/>
      <c r="O4929" s="3"/>
      <c r="P4929" s="125"/>
      <c r="Q4929" s="125"/>
      <c r="R4929" s="127"/>
      <c r="S4929" s="123"/>
      <c r="T4929" s="3"/>
      <c r="W4929" s="86"/>
      <c r="Y4929" s="75"/>
    </row>
    <row r="4930" spans="1:25" x14ac:dyDescent="0.25">
      <c r="A4930" s="75"/>
      <c r="C4930" s="81"/>
      <c r="D4930" s="81"/>
      <c r="I4930" s="81"/>
      <c r="K4930" s="82"/>
      <c r="L4930" s="123"/>
      <c r="M4930" s="3"/>
      <c r="N4930" s="3"/>
      <c r="O4930" s="3"/>
      <c r="P4930" s="125"/>
      <c r="Q4930" s="125"/>
      <c r="R4930" s="127"/>
      <c r="S4930" s="123"/>
      <c r="T4930" s="3"/>
      <c r="W4930" s="86"/>
      <c r="Y4930" s="75"/>
    </row>
    <row r="4931" spans="1:25" x14ac:dyDescent="0.25">
      <c r="A4931" s="75"/>
      <c r="C4931" s="81"/>
      <c r="D4931" s="81"/>
      <c r="I4931" s="81"/>
      <c r="K4931" s="82"/>
      <c r="L4931" s="123"/>
      <c r="M4931" s="3"/>
      <c r="N4931" s="3"/>
      <c r="O4931" s="3"/>
      <c r="P4931" s="125"/>
      <c r="Q4931" s="125"/>
      <c r="R4931" s="127"/>
      <c r="S4931" s="123"/>
      <c r="T4931" s="3"/>
      <c r="W4931" s="86"/>
      <c r="Y4931" s="75"/>
    </row>
    <row r="4932" spans="1:25" x14ac:dyDescent="0.25">
      <c r="A4932" s="75"/>
      <c r="C4932" s="81"/>
      <c r="D4932" s="81"/>
      <c r="I4932" s="81"/>
      <c r="K4932" s="82"/>
      <c r="L4932" s="123"/>
      <c r="M4932" s="3"/>
      <c r="N4932" s="3"/>
      <c r="O4932" s="3"/>
      <c r="P4932" s="125"/>
      <c r="Q4932" s="125"/>
      <c r="R4932" s="127"/>
      <c r="S4932" s="123"/>
      <c r="T4932" s="3"/>
      <c r="W4932" s="86"/>
      <c r="Y4932" s="75"/>
    </row>
    <row r="4933" spans="1:25" x14ac:dyDescent="0.25">
      <c r="A4933" s="75"/>
      <c r="C4933" s="81"/>
      <c r="D4933" s="81"/>
      <c r="I4933" s="81"/>
      <c r="K4933" s="82"/>
      <c r="L4933" s="123"/>
      <c r="M4933" s="3"/>
      <c r="N4933" s="3"/>
      <c r="O4933" s="3"/>
      <c r="P4933" s="125"/>
      <c r="Q4933" s="125"/>
      <c r="R4933" s="127"/>
      <c r="S4933" s="123"/>
      <c r="T4933" s="3"/>
      <c r="W4933" s="86"/>
      <c r="Y4933" s="75"/>
    </row>
    <row r="4934" spans="1:25" x14ac:dyDescent="0.25">
      <c r="A4934" s="75"/>
      <c r="C4934" s="81"/>
      <c r="D4934" s="81"/>
      <c r="I4934" s="81"/>
      <c r="K4934" s="82"/>
      <c r="L4934" s="123"/>
      <c r="M4934" s="3"/>
      <c r="N4934" s="3"/>
      <c r="O4934" s="3"/>
      <c r="P4934" s="125"/>
      <c r="Q4934" s="125"/>
      <c r="R4934" s="127"/>
      <c r="S4934" s="123"/>
      <c r="T4934" s="3"/>
      <c r="W4934" s="86"/>
      <c r="Y4934" s="75"/>
    </row>
    <row r="4935" spans="1:25" x14ac:dyDescent="0.25">
      <c r="A4935" s="75"/>
      <c r="C4935" s="81"/>
      <c r="D4935" s="81"/>
      <c r="I4935" s="81"/>
      <c r="K4935" s="82"/>
      <c r="L4935" s="123"/>
      <c r="M4935" s="3"/>
      <c r="N4935" s="3"/>
      <c r="O4935" s="3"/>
      <c r="P4935" s="125"/>
      <c r="Q4935" s="125"/>
      <c r="R4935" s="127"/>
      <c r="S4935" s="123"/>
      <c r="T4935" s="3"/>
      <c r="W4935" s="86"/>
      <c r="Y4935" s="75"/>
    </row>
    <row r="4936" spans="1:25" x14ac:dyDescent="0.25">
      <c r="A4936" s="75"/>
      <c r="C4936" s="81"/>
      <c r="D4936" s="81"/>
      <c r="I4936" s="81"/>
      <c r="K4936" s="82"/>
      <c r="L4936" s="123"/>
      <c r="M4936" s="3"/>
      <c r="N4936" s="3"/>
      <c r="O4936" s="3"/>
      <c r="P4936" s="125"/>
      <c r="Q4936" s="125"/>
      <c r="R4936" s="127"/>
      <c r="S4936" s="123"/>
      <c r="T4936" s="3"/>
      <c r="W4936" s="86"/>
      <c r="Y4936" s="75"/>
    </row>
    <row r="4937" spans="1:25" x14ac:dyDescent="0.25">
      <c r="A4937" s="75"/>
      <c r="C4937" s="81"/>
      <c r="D4937" s="81"/>
      <c r="I4937" s="81"/>
      <c r="K4937" s="82"/>
      <c r="L4937" s="123"/>
      <c r="M4937" s="3"/>
      <c r="N4937" s="3"/>
      <c r="O4937" s="3"/>
      <c r="P4937" s="125"/>
      <c r="Q4937" s="125"/>
      <c r="R4937" s="127"/>
      <c r="S4937" s="123"/>
      <c r="T4937" s="3"/>
      <c r="W4937" s="86"/>
      <c r="Y4937" s="75"/>
    </row>
    <row r="4938" spans="1:25" x14ac:dyDescent="0.25">
      <c r="A4938" s="75"/>
      <c r="C4938" s="81"/>
      <c r="D4938" s="81"/>
      <c r="I4938" s="81"/>
      <c r="K4938" s="82"/>
      <c r="L4938" s="123"/>
      <c r="M4938" s="3"/>
      <c r="N4938" s="3"/>
      <c r="O4938" s="3"/>
      <c r="P4938" s="125"/>
      <c r="Q4938" s="125"/>
      <c r="R4938" s="127"/>
      <c r="S4938" s="123"/>
      <c r="T4938" s="3"/>
      <c r="W4938" s="86"/>
      <c r="Y4938" s="75"/>
    </row>
    <row r="4939" spans="1:25" x14ac:dyDescent="0.25">
      <c r="A4939" s="75"/>
      <c r="C4939" s="81"/>
      <c r="D4939" s="81"/>
      <c r="I4939" s="81"/>
      <c r="K4939" s="82"/>
      <c r="L4939" s="123"/>
      <c r="M4939" s="3"/>
      <c r="N4939" s="3"/>
      <c r="O4939" s="3"/>
      <c r="P4939" s="125"/>
      <c r="Q4939" s="125"/>
      <c r="R4939" s="127"/>
      <c r="S4939" s="123"/>
      <c r="T4939" s="3"/>
      <c r="W4939" s="86"/>
      <c r="Y4939" s="75"/>
    </row>
    <row r="4940" spans="1:25" x14ac:dyDescent="0.25">
      <c r="A4940" s="75"/>
      <c r="C4940" s="81"/>
      <c r="D4940" s="81"/>
      <c r="I4940" s="81"/>
      <c r="K4940" s="82"/>
      <c r="L4940" s="123"/>
      <c r="M4940" s="3"/>
      <c r="N4940" s="3"/>
      <c r="O4940" s="3"/>
      <c r="P4940" s="125"/>
      <c r="Q4940" s="125"/>
      <c r="R4940" s="127"/>
      <c r="S4940" s="123"/>
      <c r="T4940" s="3"/>
      <c r="W4940" s="86"/>
      <c r="Y4940" s="75"/>
    </row>
    <row r="4941" spans="1:25" x14ac:dyDescent="0.25">
      <c r="A4941" s="75"/>
      <c r="C4941" s="81"/>
      <c r="D4941" s="81"/>
      <c r="I4941" s="81"/>
      <c r="K4941" s="82"/>
      <c r="L4941" s="123"/>
      <c r="M4941" s="3"/>
      <c r="N4941" s="3"/>
      <c r="O4941" s="3"/>
      <c r="P4941" s="125"/>
      <c r="Q4941" s="125"/>
      <c r="R4941" s="127"/>
      <c r="S4941" s="123"/>
      <c r="T4941" s="3"/>
      <c r="W4941" s="86"/>
      <c r="Y4941" s="75"/>
    </row>
    <row r="4942" spans="1:25" x14ac:dyDescent="0.25">
      <c r="A4942" s="75"/>
      <c r="C4942" s="81"/>
      <c r="D4942" s="81"/>
      <c r="I4942" s="81"/>
      <c r="K4942" s="82"/>
      <c r="L4942" s="123"/>
      <c r="M4942" s="3"/>
      <c r="N4942" s="3"/>
      <c r="O4942" s="3"/>
      <c r="P4942" s="125"/>
      <c r="Q4942" s="125"/>
      <c r="R4942" s="127"/>
      <c r="S4942" s="123"/>
      <c r="T4942" s="3"/>
      <c r="W4942" s="86"/>
      <c r="Y4942" s="75"/>
    </row>
    <row r="4943" spans="1:25" x14ac:dyDescent="0.25">
      <c r="A4943" s="75"/>
      <c r="C4943" s="81"/>
      <c r="D4943" s="81"/>
      <c r="I4943" s="81"/>
      <c r="K4943" s="82"/>
      <c r="L4943" s="123"/>
      <c r="M4943" s="3"/>
      <c r="N4943" s="3"/>
      <c r="O4943" s="3"/>
      <c r="P4943" s="125"/>
      <c r="Q4943" s="125"/>
      <c r="R4943" s="127"/>
      <c r="S4943" s="123"/>
      <c r="T4943" s="3"/>
      <c r="W4943" s="86"/>
      <c r="Y4943" s="75"/>
    </row>
    <row r="4944" spans="1:25" x14ac:dyDescent="0.25">
      <c r="A4944" s="75"/>
      <c r="C4944" s="81"/>
      <c r="D4944" s="81"/>
      <c r="I4944" s="81"/>
      <c r="K4944" s="82"/>
      <c r="L4944" s="123"/>
      <c r="M4944" s="3"/>
      <c r="N4944" s="3"/>
      <c r="O4944" s="3"/>
      <c r="P4944" s="125"/>
      <c r="Q4944" s="125"/>
      <c r="R4944" s="127"/>
      <c r="S4944" s="123"/>
      <c r="T4944" s="3"/>
      <c r="W4944" s="86"/>
      <c r="Y4944" s="75"/>
    </row>
    <row r="4945" spans="1:25" x14ac:dyDescent="0.25">
      <c r="A4945" s="75"/>
      <c r="C4945" s="81"/>
      <c r="D4945" s="81"/>
      <c r="I4945" s="81"/>
      <c r="K4945" s="82"/>
      <c r="L4945" s="123"/>
      <c r="M4945" s="3"/>
      <c r="N4945" s="3"/>
      <c r="O4945" s="3"/>
      <c r="P4945" s="125"/>
      <c r="Q4945" s="125"/>
      <c r="R4945" s="127"/>
      <c r="S4945" s="123"/>
      <c r="T4945" s="3"/>
      <c r="W4945" s="86"/>
      <c r="Y4945" s="75"/>
    </row>
    <row r="4946" spans="1:25" x14ac:dyDescent="0.25">
      <c r="A4946" s="75"/>
      <c r="C4946" s="81"/>
      <c r="D4946" s="81"/>
      <c r="I4946" s="81"/>
      <c r="K4946" s="82"/>
      <c r="L4946" s="123"/>
      <c r="M4946" s="3"/>
      <c r="N4946" s="3"/>
      <c r="O4946" s="3"/>
      <c r="P4946" s="125"/>
      <c r="Q4946" s="125"/>
      <c r="R4946" s="127"/>
      <c r="S4946" s="123"/>
      <c r="T4946" s="3"/>
      <c r="W4946" s="86"/>
      <c r="Y4946" s="75"/>
    </row>
    <row r="4947" spans="1:25" x14ac:dyDescent="0.25">
      <c r="A4947" s="75"/>
      <c r="C4947" s="81"/>
      <c r="D4947" s="81"/>
      <c r="I4947" s="81"/>
      <c r="K4947" s="82"/>
      <c r="L4947" s="123"/>
      <c r="M4947" s="3"/>
      <c r="N4947" s="3"/>
      <c r="O4947" s="3"/>
      <c r="P4947" s="125"/>
      <c r="Q4947" s="125"/>
      <c r="R4947" s="127"/>
      <c r="S4947" s="123"/>
      <c r="T4947" s="3"/>
      <c r="W4947" s="86"/>
      <c r="Y4947" s="75"/>
    </row>
    <row r="4948" spans="1:25" x14ac:dyDescent="0.25">
      <c r="A4948" s="75"/>
      <c r="C4948" s="81"/>
      <c r="D4948" s="81"/>
      <c r="I4948" s="81"/>
      <c r="K4948" s="82"/>
      <c r="L4948" s="123"/>
      <c r="M4948" s="3"/>
      <c r="N4948" s="3"/>
      <c r="O4948" s="3"/>
      <c r="P4948" s="125"/>
      <c r="Q4948" s="125"/>
      <c r="R4948" s="127"/>
      <c r="S4948" s="123"/>
      <c r="T4948" s="3"/>
      <c r="W4948" s="86"/>
      <c r="Y4948" s="75"/>
    </row>
    <row r="4949" spans="1:25" x14ac:dyDescent="0.25">
      <c r="A4949" s="75"/>
      <c r="C4949" s="81"/>
      <c r="D4949" s="81"/>
      <c r="I4949" s="81"/>
      <c r="K4949" s="82"/>
      <c r="L4949" s="123"/>
      <c r="M4949" s="3"/>
      <c r="N4949" s="3"/>
      <c r="O4949" s="3"/>
      <c r="P4949" s="125"/>
      <c r="Q4949" s="125"/>
      <c r="R4949" s="127"/>
      <c r="S4949" s="123"/>
      <c r="T4949" s="3"/>
      <c r="W4949" s="86"/>
      <c r="Y4949" s="75"/>
    </row>
    <row r="4950" spans="1:25" x14ac:dyDescent="0.25">
      <c r="A4950" s="75"/>
      <c r="C4950" s="81"/>
      <c r="D4950" s="81"/>
      <c r="I4950" s="81"/>
      <c r="K4950" s="82"/>
      <c r="L4950" s="123"/>
      <c r="M4950" s="3"/>
      <c r="N4950" s="3"/>
      <c r="O4950" s="3"/>
      <c r="P4950" s="125"/>
      <c r="Q4950" s="125"/>
      <c r="R4950" s="127"/>
      <c r="S4950" s="123"/>
      <c r="T4950" s="3"/>
      <c r="W4950" s="86"/>
      <c r="Y4950" s="75"/>
    </row>
    <row r="4951" spans="1:25" x14ac:dyDescent="0.25">
      <c r="A4951" s="75"/>
      <c r="C4951" s="81"/>
      <c r="D4951" s="81"/>
      <c r="I4951" s="81"/>
      <c r="K4951" s="82"/>
      <c r="L4951" s="123"/>
      <c r="M4951" s="3"/>
      <c r="N4951" s="3"/>
      <c r="O4951" s="3"/>
      <c r="P4951" s="125"/>
      <c r="Q4951" s="125"/>
      <c r="R4951" s="127"/>
      <c r="S4951" s="123"/>
      <c r="T4951" s="3"/>
      <c r="W4951" s="86"/>
      <c r="Y4951" s="75"/>
    </row>
    <row r="4952" spans="1:25" x14ac:dyDescent="0.25">
      <c r="A4952" s="75"/>
      <c r="C4952" s="81"/>
      <c r="D4952" s="81"/>
      <c r="I4952" s="81"/>
      <c r="K4952" s="82"/>
      <c r="L4952" s="123"/>
      <c r="M4952" s="3"/>
      <c r="N4952" s="3"/>
      <c r="O4952" s="3"/>
      <c r="P4952" s="125"/>
      <c r="Q4952" s="125"/>
      <c r="R4952" s="127"/>
      <c r="S4952" s="123"/>
      <c r="T4952" s="3"/>
      <c r="W4952" s="86"/>
      <c r="Y4952" s="75"/>
    </row>
    <row r="4953" spans="1:25" x14ac:dyDescent="0.25">
      <c r="A4953" s="75"/>
      <c r="C4953" s="81"/>
      <c r="D4953" s="81"/>
      <c r="I4953" s="81"/>
      <c r="K4953" s="82"/>
      <c r="L4953" s="123"/>
      <c r="M4953" s="3"/>
      <c r="N4953" s="3"/>
      <c r="O4953" s="3"/>
      <c r="P4953" s="125"/>
      <c r="Q4953" s="125"/>
      <c r="R4953" s="127"/>
      <c r="S4953" s="123"/>
      <c r="T4953" s="3"/>
      <c r="W4953" s="86"/>
      <c r="Y4953" s="75"/>
    </row>
    <row r="4954" spans="1:25" x14ac:dyDescent="0.25">
      <c r="A4954" s="75"/>
      <c r="C4954" s="81"/>
      <c r="D4954" s="81"/>
      <c r="I4954" s="81"/>
      <c r="K4954" s="82"/>
      <c r="L4954" s="123"/>
      <c r="M4954" s="3"/>
      <c r="N4954" s="3"/>
      <c r="O4954" s="3"/>
      <c r="P4954" s="125"/>
      <c r="Q4954" s="125"/>
      <c r="R4954" s="127"/>
      <c r="S4954" s="123"/>
      <c r="T4954" s="3"/>
      <c r="W4954" s="86"/>
      <c r="Y4954" s="75"/>
    </row>
    <row r="4955" spans="1:25" x14ac:dyDescent="0.25">
      <c r="A4955" s="75"/>
      <c r="C4955" s="81"/>
      <c r="D4955" s="81"/>
      <c r="I4955" s="81"/>
      <c r="K4955" s="82"/>
      <c r="L4955" s="123"/>
      <c r="M4955" s="3"/>
      <c r="N4955" s="3"/>
      <c r="O4955" s="3"/>
      <c r="P4955" s="125"/>
      <c r="Q4955" s="125"/>
      <c r="R4955" s="127"/>
      <c r="S4955" s="123"/>
      <c r="T4955" s="3"/>
      <c r="W4955" s="86"/>
      <c r="Y4955" s="75"/>
    </row>
    <row r="4956" spans="1:25" x14ac:dyDescent="0.25">
      <c r="A4956" s="75"/>
      <c r="C4956" s="81"/>
      <c r="D4956" s="81"/>
      <c r="I4956" s="81"/>
      <c r="K4956" s="82"/>
      <c r="L4956" s="123"/>
      <c r="M4956" s="3"/>
      <c r="N4956" s="3"/>
      <c r="O4956" s="3"/>
      <c r="P4956" s="125"/>
      <c r="Q4956" s="125"/>
      <c r="R4956" s="127"/>
      <c r="S4956" s="123"/>
      <c r="T4956" s="3"/>
      <c r="W4956" s="86"/>
      <c r="Y4956" s="75"/>
    </row>
    <row r="4957" spans="1:25" x14ac:dyDescent="0.25">
      <c r="A4957" s="75"/>
      <c r="C4957" s="81"/>
      <c r="D4957" s="81"/>
      <c r="I4957" s="81"/>
      <c r="K4957" s="82"/>
      <c r="L4957" s="123"/>
      <c r="M4957" s="3"/>
      <c r="N4957" s="3"/>
      <c r="O4957" s="3"/>
      <c r="P4957" s="125"/>
      <c r="Q4957" s="125"/>
      <c r="R4957" s="127"/>
      <c r="S4957" s="123"/>
      <c r="T4957" s="3"/>
      <c r="W4957" s="86"/>
      <c r="Y4957" s="75"/>
    </row>
    <row r="4958" spans="1:25" x14ac:dyDescent="0.25">
      <c r="A4958" s="75"/>
      <c r="C4958" s="81"/>
      <c r="D4958" s="81"/>
      <c r="I4958" s="81"/>
      <c r="K4958" s="82"/>
      <c r="L4958" s="123"/>
      <c r="M4958" s="3"/>
      <c r="N4958" s="3"/>
      <c r="O4958" s="3"/>
      <c r="P4958" s="125"/>
      <c r="Q4958" s="125"/>
      <c r="R4958" s="127"/>
      <c r="S4958" s="123"/>
      <c r="T4958" s="3"/>
      <c r="W4958" s="86"/>
      <c r="Y4958" s="75"/>
    </row>
    <row r="4959" spans="1:25" x14ac:dyDescent="0.25">
      <c r="A4959" s="75"/>
      <c r="C4959" s="81"/>
      <c r="D4959" s="81"/>
      <c r="I4959" s="81"/>
      <c r="K4959" s="82"/>
      <c r="L4959" s="123"/>
      <c r="M4959" s="3"/>
      <c r="N4959" s="3"/>
      <c r="O4959" s="3"/>
      <c r="P4959" s="125"/>
      <c r="Q4959" s="125"/>
      <c r="R4959" s="127"/>
      <c r="S4959" s="123"/>
      <c r="T4959" s="3"/>
      <c r="W4959" s="86"/>
      <c r="Y4959" s="75"/>
    </row>
    <row r="4960" spans="1:25" x14ac:dyDescent="0.25">
      <c r="A4960" s="75"/>
      <c r="C4960" s="81"/>
      <c r="D4960" s="81"/>
      <c r="I4960" s="81"/>
      <c r="K4960" s="82"/>
      <c r="L4960" s="123"/>
      <c r="M4960" s="3"/>
      <c r="N4960" s="3"/>
      <c r="O4960" s="3"/>
      <c r="P4960" s="125"/>
      <c r="Q4960" s="125"/>
      <c r="R4960" s="127"/>
      <c r="S4960" s="123"/>
      <c r="T4960" s="3"/>
      <c r="W4960" s="86"/>
      <c r="Y4960" s="75"/>
    </row>
    <row r="4961" spans="1:25" x14ac:dyDescent="0.25">
      <c r="A4961" s="75"/>
      <c r="C4961" s="81"/>
      <c r="D4961" s="81"/>
      <c r="I4961" s="81"/>
      <c r="K4961" s="82"/>
      <c r="L4961" s="123"/>
      <c r="M4961" s="3"/>
      <c r="N4961" s="3"/>
      <c r="O4961" s="3"/>
      <c r="P4961" s="125"/>
      <c r="Q4961" s="125"/>
      <c r="R4961" s="127"/>
      <c r="S4961" s="123"/>
      <c r="T4961" s="3"/>
      <c r="W4961" s="86"/>
      <c r="Y4961" s="75"/>
    </row>
    <row r="4962" spans="1:25" x14ac:dyDescent="0.25">
      <c r="A4962" s="75"/>
      <c r="C4962" s="81"/>
      <c r="D4962" s="81"/>
      <c r="I4962" s="81"/>
      <c r="K4962" s="82"/>
      <c r="L4962" s="123"/>
      <c r="M4962" s="3"/>
      <c r="N4962" s="3"/>
      <c r="O4962" s="3"/>
      <c r="P4962" s="125"/>
      <c r="Q4962" s="125"/>
      <c r="R4962" s="127"/>
      <c r="S4962" s="123"/>
      <c r="T4962" s="3"/>
      <c r="W4962" s="86"/>
      <c r="Y4962" s="75"/>
    </row>
    <row r="4963" spans="1:25" x14ac:dyDescent="0.25">
      <c r="A4963" s="75"/>
      <c r="C4963" s="81"/>
      <c r="D4963" s="81"/>
      <c r="I4963" s="81"/>
      <c r="K4963" s="82"/>
      <c r="L4963" s="123"/>
      <c r="M4963" s="3"/>
      <c r="N4963" s="3"/>
      <c r="O4963" s="3"/>
      <c r="P4963" s="125"/>
      <c r="Q4963" s="125"/>
      <c r="R4963" s="127"/>
      <c r="S4963" s="123"/>
      <c r="T4963" s="3"/>
      <c r="W4963" s="86"/>
      <c r="Y4963" s="75"/>
    </row>
    <row r="4964" spans="1:25" x14ac:dyDescent="0.25">
      <c r="A4964" s="75"/>
      <c r="C4964" s="81"/>
      <c r="D4964" s="81"/>
      <c r="I4964" s="81"/>
      <c r="K4964" s="82"/>
      <c r="L4964" s="123"/>
      <c r="M4964" s="3"/>
      <c r="N4964" s="3"/>
      <c r="O4964" s="3"/>
      <c r="P4964" s="125"/>
      <c r="Q4964" s="125"/>
      <c r="R4964" s="127"/>
      <c r="S4964" s="123"/>
      <c r="T4964" s="3"/>
      <c r="W4964" s="86"/>
      <c r="Y4964" s="75"/>
    </row>
    <row r="4965" spans="1:25" x14ac:dyDescent="0.25">
      <c r="A4965" s="75"/>
      <c r="C4965" s="81"/>
      <c r="D4965" s="81"/>
      <c r="I4965" s="81"/>
      <c r="K4965" s="82"/>
      <c r="L4965" s="123"/>
      <c r="M4965" s="3"/>
      <c r="N4965" s="3"/>
      <c r="O4965" s="3"/>
      <c r="P4965" s="125"/>
      <c r="Q4965" s="125"/>
      <c r="R4965" s="127"/>
      <c r="S4965" s="123"/>
      <c r="T4965" s="3"/>
      <c r="W4965" s="86"/>
      <c r="Y4965" s="75"/>
    </row>
    <row r="4966" spans="1:25" x14ac:dyDescent="0.25">
      <c r="A4966" s="75"/>
      <c r="C4966" s="81"/>
      <c r="D4966" s="81"/>
      <c r="I4966" s="81"/>
      <c r="K4966" s="82"/>
      <c r="L4966" s="123"/>
      <c r="M4966" s="3"/>
      <c r="N4966" s="3"/>
      <c r="O4966" s="3"/>
      <c r="P4966" s="125"/>
      <c r="Q4966" s="125"/>
      <c r="R4966" s="127"/>
      <c r="S4966" s="123"/>
      <c r="T4966" s="3"/>
      <c r="W4966" s="86"/>
      <c r="Y4966" s="75"/>
    </row>
    <row r="4967" spans="1:25" x14ac:dyDescent="0.25">
      <c r="A4967" s="75"/>
      <c r="C4967" s="81"/>
      <c r="D4967" s="81"/>
      <c r="I4967" s="81"/>
      <c r="K4967" s="82"/>
      <c r="L4967" s="123"/>
      <c r="M4967" s="3"/>
      <c r="N4967" s="3"/>
      <c r="O4967" s="3"/>
      <c r="P4967" s="125"/>
      <c r="Q4967" s="125"/>
      <c r="R4967" s="127"/>
      <c r="S4967" s="123"/>
      <c r="T4967" s="3"/>
      <c r="W4967" s="86"/>
      <c r="Y4967" s="75"/>
    </row>
    <row r="4968" spans="1:25" x14ac:dyDescent="0.25">
      <c r="A4968" s="75"/>
      <c r="C4968" s="81"/>
      <c r="D4968" s="81"/>
      <c r="I4968" s="81"/>
      <c r="K4968" s="82"/>
      <c r="L4968" s="123"/>
      <c r="M4968" s="3"/>
      <c r="N4968" s="3"/>
      <c r="O4968" s="3"/>
      <c r="P4968" s="125"/>
      <c r="Q4968" s="125"/>
      <c r="R4968" s="127"/>
      <c r="S4968" s="123"/>
      <c r="T4968" s="3"/>
      <c r="W4968" s="86"/>
      <c r="Y4968" s="75"/>
    </row>
    <row r="4969" spans="1:25" x14ac:dyDescent="0.25">
      <c r="A4969" s="75"/>
      <c r="C4969" s="81"/>
      <c r="D4969" s="81"/>
      <c r="I4969" s="81"/>
      <c r="K4969" s="82"/>
      <c r="L4969" s="123"/>
      <c r="M4969" s="3"/>
      <c r="N4969" s="3"/>
      <c r="O4969" s="3"/>
      <c r="P4969" s="125"/>
      <c r="Q4969" s="125"/>
      <c r="R4969" s="127"/>
      <c r="S4969" s="123"/>
      <c r="T4969" s="3"/>
      <c r="W4969" s="86"/>
      <c r="Y4969" s="75"/>
    </row>
    <row r="4970" spans="1:25" x14ac:dyDescent="0.25">
      <c r="A4970" s="75"/>
      <c r="C4970" s="81"/>
      <c r="D4970" s="81"/>
      <c r="I4970" s="81"/>
      <c r="K4970" s="82"/>
      <c r="L4970" s="123"/>
      <c r="M4970" s="3"/>
      <c r="N4970" s="3"/>
      <c r="O4970" s="3"/>
      <c r="P4970" s="125"/>
      <c r="Q4970" s="125"/>
      <c r="R4970" s="127"/>
      <c r="S4970" s="123"/>
      <c r="T4970" s="3"/>
      <c r="W4970" s="86"/>
      <c r="Y4970" s="75"/>
    </row>
    <row r="4971" spans="1:25" x14ac:dyDescent="0.25">
      <c r="A4971" s="75"/>
      <c r="C4971" s="81"/>
      <c r="D4971" s="81"/>
      <c r="I4971" s="81"/>
      <c r="K4971" s="82"/>
      <c r="L4971" s="123"/>
      <c r="M4971" s="3"/>
      <c r="N4971" s="3"/>
      <c r="O4971" s="3"/>
      <c r="P4971" s="125"/>
      <c r="Q4971" s="125"/>
      <c r="R4971" s="127"/>
      <c r="S4971" s="123"/>
      <c r="T4971" s="3"/>
      <c r="W4971" s="86"/>
      <c r="Y4971" s="75"/>
    </row>
    <row r="4972" spans="1:25" x14ac:dyDescent="0.25">
      <c r="A4972" s="75"/>
      <c r="C4972" s="81"/>
      <c r="D4972" s="81"/>
      <c r="I4972" s="81"/>
      <c r="K4972" s="82"/>
      <c r="L4972" s="123"/>
      <c r="M4972" s="3"/>
      <c r="N4972" s="3"/>
      <c r="O4972" s="3"/>
      <c r="P4972" s="125"/>
      <c r="Q4972" s="125"/>
      <c r="R4972" s="127"/>
      <c r="S4972" s="123"/>
      <c r="T4972" s="3"/>
      <c r="W4972" s="86"/>
      <c r="Y4972" s="75"/>
    </row>
    <row r="4973" spans="1:25" x14ac:dyDescent="0.25">
      <c r="A4973" s="75"/>
      <c r="C4973" s="81"/>
      <c r="D4973" s="81"/>
      <c r="I4973" s="81"/>
      <c r="K4973" s="82"/>
      <c r="L4973" s="123"/>
      <c r="M4973" s="3"/>
      <c r="N4973" s="3"/>
      <c r="O4973" s="3"/>
      <c r="P4973" s="125"/>
      <c r="Q4973" s="125"/>
      <c r="R4973" s="127"/>
      <c r="S4973" s="123"/>
      <c r="T4973" s="3"/>
      <c r="W4973" s="86"/>
      <c r="Y4973" s="75"/>
    </row>
    <row r="4974" spans="1:25" x14ac:dyDescent="0.25">
      <c r="A4974" s="75"/>
      <c r="C4974" s="81"/>
      <c r="D4974" s="81"/>
      <c r="I4974" s="81"/>
      <c r="K4974" s="82"/>
      <c r="L4974" s="123"/>
      <c r="M4974" s="3"/>
      <c r="N4974" s="3"/>
      <c r="O4974" s="3"/>
      <c r="P4974" s="125"/>
      <c r="Q4974" s="125"/>
      <c r="R4974" s="127"/>
      <c r="S4974" s="123"/>
      <c r="T4974" s="3"/>
      <c r="W4974" s="86"/>
      <c r="Y4974" s="75"/>
    </row>
    <row r="4975" spans="1:25" x14ac:dyDescent="0.25">
      <c r="A4975" s="75"/>
      <c r="C4975" s="81"/>
      <c r="D4975" s="81"/>
      <c r="I4975" s="81"/>
      <c r="K4975" s="82"/>
      <c r="L4975" s="123"/>
      <c r="M4975" s="3"/>
      <c r="N4975" s="3"/>
      <c r="O4975" s="3"/>
      <c r="P4975" s="125"/>
      <c r="Q4975" s="125"/>
      <c r="R4975" s="127"/>
      <c r="S4975" s="123"/>
      <c r="T4975" s="3"/>
      <c r="W4975" s="86"/>
      <c r="Y4975" s="75"/>
    </row>
    <row r="4976" spans="1:25" x14ac:dyDescent="0.25">
      <c r="A4976" s="75"/>
      <c r="C4976" s="81"/>
      <c r="D4976" s="81"/>
      <c r="I4976" s="81"/>
      <c r="K4976" s="82"/>
      <c r="L4976" s="123"/>
      <c r="M4976" s="3"/>
      <c r="N4976" s="3"/>
      <c r="O4976" s="3"/>
      <c r="P4976" s="125"/>
      <c r="Q4976" s="125"/>
      <c r="R4976" s="127"/>
      <c r="S4976" s="123"/>
      <c r="T4976" s="3"/>
      <c r="W4976" s="86"/>
      <c r="Y4976" s="75"/>
    </row>
    <row r="4977" spans="1:25" x14ac:dyDescent="0.25">
      <c r="A4977" s="75"/>
      <c r="C4977" s="81"/>
      <c r="D4977" s="81"/>
      <c r="I4977" s="81"/>
      <c r="K4977" s="82"/>
      <c r="L4977" s="123"/>
      <c r="M4977" s="3"/>
      <c r="N4977" s="3"/>
      <c r="O4977" s="3"/>
      <c r="P4977" s="125"/>
      <c r="Q4977" s="125"/>
      <c r="R4977" s="127"/>
      <c r="S4977" s="123"/>
      <c r="T4977" s="3"/>
      <c r="W4977" s="86"/>
      <c r="Y4977" s="75"/>
    </row>
    <row r="4978" spans="1:25" x14ac:dyDescent="0.25">
      <c r="A4978" s="75"/>
      <c r="C4978" s="81"/>
      <c r="D4978" s="81"/>
      <c r="I4978" s="81"/>
      <c r="K4978" s="82"/>
      <c r="L4978" s="123"/>
      <c r="M4978" s="3"/>
      <c r="N4978" s="3"/>
      <c r="O4978" s="3"/>
      <c r="P4978" s="125"/>
      <c r="Q4978" s="125"/>
      <c r="R4978" s="127"/>
      <c r="S4978" s="123"/>
      <c r="T4978" s="3"/>
      <c r="W4978" s="86"/>
      <c r="Y4978" s="75"/>
    </row>
    <row r="4979" spans="1:25" x14ac:dyDescent="0.25">
      <c r="A4979" s="75"/>
      <c r="C4979" s="81"/>
      <c r="D4979" s="81"/>
      <c r="I4979" s="81"/>
      <c r="K4979" s="82"/>
      <c r="L4979" s="123"/>
      <c r="M4979" s="3"/>
      <c r="N4979" s="3"/>
      <c r="O4979" s="3"/>
      <c r="P4979" s="125"/>
      <c r="Q4979" s="125"/>
      <c r="R4979" s="127"/>
      <c r="S4979" s="123"/>
      <c r="T4979" s="3"/>
      <c r="W4979" s="86"/>
      <c r="Y4979" s="75"/>
    </row>
    <row r="4980" spans="1:25" x14ac:dyDescent="0.25">
      <c r="A4980" s="75"/>
      <c r="C4980" s="81"/>
      <c r="D4980" s="81"/>
      <c r="I4980" s="81"/>
      <c r="K4980" s="82"/>
      <c r="L4980" s="123"/>
      <c r="M4980" s="3"/>
      <c r="N4980" s="3"/>
      <c r="O4980" s="3"/>
      <c r="P4980" s="125"/>
      <c r="Q4980" s="125"/>
      <c r="R4980" s="127"/>
      <c r="S4980" s="123"/>
      <c r="T4980" s="3"/>
      <c r="W4980" s="86"/>
      <c r="Y4980" s="75"/>
    </row>
    <row r="4981" spans="1:25" x14ac:dyDescent="0.25">
      <c r="A4981" s="75"/>
      <c r="C4981" s="81"/>
      <c r="D4981" s="81"/>
      <c r="I4981" s="81"/>
      <c r="K4981" s="82"/>
      <c r="L4981" s="123"/>
      <c r="M4981" s="3"/>
      <c r="N4981" s="3"/>
      <c r="O4981" s="3"/>
      <c r="P4981" s="125"/>
      <c r="Q4981" s="125"/>
      <c r="R4981" s="127"/>
      <c r="S4981" s="123"/>
      <c r="T4981" s="3"/>
      <c r="W4981" s="86"/>
      <c r="Y4981" s="75"/>
    </row>
    <row r="4982" spans="1:25" x14ac:dyDescent="0.25">
      <c r="A4982" s="75"/>
      <c r="C4982" s="81"/>
      <c r="D4982" s="81"/>
      <c r="I4982" s="81"/>
      <c r="K4982" s="82"/>
      <c r="L4982" s="123"/>
      <c r="M4982" s="3"/>
      <c r="N4982" s="3"/>
      <c r="O4982" s="3"/>
      <c r="P4982" s="125"/>
      <c r="Q4982" s="125"/>
      <c r="R4982" s="127"/>
      <c r="S4982" s="123"/>
      <c r="T4982" s="3"/>
      <c r="W4982" s="86"/>
      <c r="Y4982" s="75"/>
    </row>
    <row r="4983" spans="1:25" x14ac:dyDescent="0.25">
      <c r="A4983" s="75"/>
      <c r="C4983" s="81"/>
      <c r="D4983" s="81"/>
      <c r="I4983" s="81"/>
      <c r="K4983" s="82"/>
      <c r="L4983" s="123"/>
      <c r="M4983" s="3"/>
      <c r="N4983" s="3"/>
      <c r="O4983" s="3"/>
      <c r="P4983" s="125"/>
      <c r="Q4983" s="125"/>
      <c r="R4983" s="127"/>
      <c r="S4983" s="123"/>
      <c r="T4983" s="3"/>
      <c r="W4983" s="86"/>
      <c r="Y4983" s="75"/>
    </row>
    <row r="4984" spans="1:25" x14ac:dyDescent="0.25">
      <c r="A4984" s="75"/>
      <c r="C4984" s="81"/>
      <c r="D4984" s="81"/>
      <c r="I4984" s="81"/>
      <c r="K4984" s="82"/>
      <c r="L4984" s="123"/>
      <c r="M4984" s="3"/>
      <c r="N4984" s="3"/>
      <c r="O4984" s="3"/>
      <c r="P4984" s="125"/>
      <c r="Q4984" s="125"/>
      <c r="R4984" s="127"/>
      <c r="S4984" s="123"/>
      <c r="T4984" s="3"/>
      <c r="W4984" s="86"/>
      <c r="Y4984" s="75"/>
    </row>
    <row r="4985" spans="1:25" x14ac:dyDescent="0.25">
      <c r="A4985" s="75"/>
      <c r="C4985" s="81"/>
      <c r="D4985" s="81"/>
      <c r="I4985" s="81"/>
      <c r="K4985" s="82"/>
      <c r="L4985" s="123"/>
      <c r="M4985" s="3"/>
      <c r="N4985" s="3"/>
      <c r="O4985" s="3"/>
      <c r="P4985" s="125"/>
      <c r="Q4985" s="125"/>
      <c r="R4985" s="127"/>
      <c r="S4985" s="123"/>
      <c r="T4985" s="3"/>
      <c r="W4985" s="86"/>
      <c r="Y4985" s="75"/>
    </row>
    <row r="4986" spans="1:25" x14ac:dyDescent="0.25">
      <c r="A4986" s="75"/>
      <c r="C4986" s="81"/>
      <c r="D4986" s="81"/>
      <c r="I4986" s="81"/>
      <c r="K4986" s="82"/>
      <c r="L4986" s="123"/>
      <c r="M4986" s="3"/>
      <c r="N4986" s="3"/>
      <c r="O4986" s="3"/>
      <c r="P4986" s="125"/>
      <c r="Q4986" s="125"/>
      <c r="R4986" s="127"/>
      <c r="S4986" s="123"/>
      <c r="T4986" s="3"/>
      <c r="W4986" s="86"/>
      <c r="Y4986" s="75"/>
    </row>
    <row r="4987" spans="1:25" x14ac:dyDescent="0.25">
      <c r="A4987" s="75"/>
      <c r="C4987" s="81"/>
      <c r="D4987" s="81"/>
      <c r="I4987" s="81"/>
      <c r="K4987" s="82"/>
      <c r="L4987" s="123"/>
      <c r="M4987" s="3"/>
      <c r="N4987" s="3"/>
      <c r="O4987" s="3"/>
      <c r="P4987" s="125"/>
      <c r="Q4987" s="125"/>
      <c r="R4987" s="127"/>
      <c r="S4987" s="123"/>
      <c r="T4987" s="3"/>
      <c r="W4987" s="86"/>
      <c r="Y4987" s="75"/>
    </row>
    <row r="4988" spans="1:25" x14ac:dyDescent="0.25">
      <c r="A4988" s="75"/>
      <c r="C4988" s="81"/>
      <c r="D4988" s="81"/>
      <c r="I4988" s="81"/>
      <c r="K4988" s="82"/>
      <c r="L4988" s="123"/>
      <c r="M4988" s="3"/>
      <c r="N4988" s="3"/>
      <c r="O4988" s="3"/>
      <c r="P4988" s="125"/>
      <c r="Q4988" s="125"/>
      <c r="R4988" s="127"/>
      <c r="S4988" s="123"/>
      <c r="T4988" s="3"/>
      <c r="W4988" s="86"/>
      <c r="Y4988" s="75"/>
    </row>
    <row r="4989" spans="1:25" x14ac:dyDescent="0.25">
      <c r="A4989" s="75"/>
      <c r="C4989" s="81"/>
      <c r="D4989" s="81"/>
      <c r="I4989" s="81"/>
      <c r="K4989" s="82"/>
      <c r="L4989" s="123"/>
      <c r="M4989" s="3"/>
      <c r="N4989" s="3"/>
      <c r="O4989" s="3"/>
      <c r="P4989" s="125"/>
      <c r="Q4989" s="125"/>
      <c r="R4989" s="127"/>
      <c r="S4989" s="123"/>
      <c r="T4989" s="3"/>
      <c r="W4989" s="86"/>
      <c r="Y4989" s="75"/>
    </row>
    <row r="4990" spans="1:25" x14ac:dyDescent="0.25">
      <c r="A4990" s="75"/>
      <c r="C4990" s="81"/>
      <c r="D4990" s="81"/>
      <c r="I4990" s="81"/>
      <c r="K4990" s="82"/>
      <c r="L4990" s="123"/>
      <c r="M4990" s="3"/>
      <c r="N4990" s="3"/>
      <c r="O4990" s="3"/>
      <c r="P4990" s="125"/>
      <c r="Q4990" s="125"/>
      <c r="R4990" s="127"/>
      <c r="S4990" s="123"/>
      <c r="T4990" s="3"/>
      <c r="W4990" s="86"/>
      <c r="Y4990" s="75"/>
    </row>
    <row r="4991" spans="1:25" x14ac:dyDescent="0.25">
      <c r="A4991" s="75"/>
      <c r="C4991" s="81"/>
      <c r="D4991" s="81"/>
      <c r="I4991" s="81"/>
      <c r="K4991" s="82"/>
      <c r="L4991" s="123"/>
      <c r="M4991" s="3"/>
      <c r="N4991" s="3"/>
      <c r="O4991" s="3"/>
      <c r="P4991" s="125"/>
      <c r="Q4991" s="125"/>
      <c r="R4991" s="127"/>
      <c r="S4991" s="123"/>
      <c r="T4991" s="3"/>
      <c r="W4991" s="86"/>
      <c r="Y4991" s="75"/>
    </row>
    <row r="4992" spans="1:25" x14ac:dyDescent="0.25">
      <c r="A4992" s="75"/>
      <c r="C4992" s="81"/>
      <c r="D4992" s="81"/>
      <c r="I4992" s="81"/>
      <c r="K4992" s="82"/>
      <c r="L4992" s="123"/>
      <c r="M4992" s="3"/>
      <c r="N4992" s="3"/>
      <c r="O4992" s="3"/>
      <c r="P4992" s="125"/>
      <c r="Q4992" s="125"/>
      <c r="R4992" s="127"/>
      <c r="S4992" s="123"/>
      <c r="T4992" s="3"/>
      <c r="W4992" s="86"/>
      <c r="Y4992" s="75"/>
    </row>
    <row r="4993" spans="1:25" x14ac:dyDescent="0.25">
      <c r="A4993" s="75"/>
      <c r="C4993" s="81"/>
      <c r="D4993" s="81"/>
      <c r="I4993" s="81"/>
      <c r="K4993" s="82"/>
      <c r="L4993" s="123"/>
      <c r="M4993" s="3"/>
      <c r="N4993" s="3"/>
      <c r="O4993" s="3"/>
      <c r="P4993" s="125"/>
      <c r="Q4993" s="125"/>
      <c r="R4993" s="127"/>
      <c r="S4993" s="123"/>
      <c r="T4993" s="3"/>
      <c r="W4993" s="86"/>
      <c r="Y4993" s="75"/>
    </row>
    <row r="4994" spans="1:25" x14ac:dyDescent="0.25">
      <c r="A4994" s="75"/>
      <c r="C4994" s="81"/>
      <c r="D4994" s="81"/>
      <c r="I4994" s="81"/>
      <c r="K4994" s="82"/>
      <c r="L4994" s="123"/>
      <c r="M4994" s="3"/>
      <c r="N4994" s="3"/>
      <c r="O4994" s="3"/>
      <c r="P4994" s="125"/>
      <c r="Q4994" s="125"/>
      <c r="R4994" s="127"/>
      <c r="S4994" s="123"/>
      <c r="T4994" s="3"/>
      <c r="W4994" s="86"/>
      <c r="Y4994" s="75"/>
    </row>
    <row r="4995" spans="1:25" x14ac:dyDescent="0.25">
      <c r="A4995" s="75"/>
      <c r="C4995" s="81"/>
      <c r="D4995" s="81"/>
      <c r="I4995" s="81"/>
      <c r="K4995" s="82"/>
      <c r="L4995" s="123"/>
      <c r="M4995" s="3"/>
      <c r="N4995" s="3"/>
      <c r="O4995" s="3"/>
      <c r="P4995" s="125"/>
      <c r="Q4995" s="125"/>
      <c r="R4995" s="127"/>
      <c r="S4995" s="123"/>
      <c r="T4995" s="3"/>
      <c r="W4995" s="86"/>
      <c r="Y4995" s="75"/>
    </row>
    <row r="4996" spans="1:25" x14ac:dyDescent="0.25">
      <c r="A4996" s="75"/>
      <c r="C4996" s="81"/>
      <c r="D4996" s="81"/>
      <c r="I4996" s="81"/>
      <c r="K4996" s="82"/>
      <c r="L4996" s="123"/>
      <c r="M4996" s="3"/>
      <c r="N4996" s="3"/>
      <c r="O4996" s="3"/>
      <c r="P4996" s="125"/>
      <c r="Q4996" s="125"/>
      <c r="R4996" s="127"/>
      <c r="S4996" s="123"/>
      <c r="T4996" s="3"/>
      <c r="W4996" s="86"/>
      <c r="Y4996" s="75"/>
    </row>
    <row r="4997" spans="1:25" x14ac:dyDescent="0.25">
      <c r="A4997" s="75"/>
      <c r="C4997" s="81"/>
      <c r="D4997" s="81"/>
      <c r="I4997" s="81"/>
      <c r="K4997" s="82"/>
      <c r="L4997" s="123"/>
      <c r="M4997" s="3"/>
      <c r="N4997" s="3"/>
      <c r="O4997" s="3"/>
      <c r="P4997" s="125"/>
      <c r="Q4997" s="125"/>
      <c r="R4997" s="127"/>
      <c r="S4997" s="123"/>
      <c r="T4997" s="3"/>
      <c r="W4997" s="86"/>
      <c r="Y4997" s="75"/>
    </row>
    <row r="4998" spans="1:25" x14ac:dyDescent="0.25">
      <c r="A4998" s="75"/>
      <c r="C4998" s="81"/>
      <c r="D4998" s="81"/>
      <c r="I4998" s="81"/>
      <c r="K4998" s="82"/>
      <c r="L4998" s="123"/>
      <c r="M4998" s="3"/>
      <c r="N4998" s="3"/>
      <c r="O4998" s="3"/>
      <c r="P4998" s="125"/>
      <c r="Q4998" s="125"/>
      <c r="R4998" s="127"/>
      <c r="S4998" s="123"/>
      <c r="T4998" s="3"/>
      <c r="W4998" s="86"/>
      <c r="Y4998" s="75"/>
    </row>
    <row r="4999" spans="1:25" x14ac:dyDescent="0.25">
      <c r="A4999" s="75"/>
      <c r="C4999" s="81"/>
      <c r="D4999" s="81"/>
      <c r="I4999" s="81"/>
      <c r="K4999" s="82"/>
      <c r="L4999" s="123"/>
      <c r="M4999" s="3"/>
      <c r="N4999" s="3"/>
      <c r="O4999" s="3"/>
      <c r="P4999" s="125"/>
      <c r="Q4999" s="125"/>
      <c r="R4999" s="127"/>
      <c r="S4999" s="123"/>
      <c r="T4999" s="3"/>
      <c r="W4999" s="86"/>
      <c r="Y4999" s="75"/>
    </row>
    <row r="5000" spans="1:25" x14ac:dyDescent="0.25">
      <c r="A5000" s="75"/>
      <c r="C5000" s="81"/>
      <c r="D5000" s="81"/>
      <c r="I5000" s="81"/>
      <c r="K5000" s="82"/>
      <c r="L5000" s="123"/>
      <c r="M5000" s="3"/>
      <c r="N5000" s="3"/>
      <c r="O5000" s="3"/>
      <c r="P5000" s="125"/>
      <c r="Q5000" s="125"/>
      <c r="R5000" s="127"/>
      <c r="S5000" s="123"/>
      <c r="T5000" s="3"/>
      <c r="W5000" s="86"/>
      <c r="Y5000" s="75"/>
    </row>
    <row r="5001" spans="1:25" x14ac:dyDescent="0.25">
      <c r="A5001" s="75"/>
      <c r="C5001" s="81"/>
      <c r="D5001" s="81"/>
      <c r="I5001" s="81"/>
      <c r="K5001" s="82"/>
      <c r="L5001" s="123"/>
      <c r="M5001" s="3"/>
      <c r="N5001" s="3"/>
      <c r="O5001" s="3"/>
      <c r="P5001" s="125"/>
      <c r="Q5001" s="125"/>
      <c r="R5001" s="127"/>
      <c r="S5001" s="123"/>
      <c r="T5001" s="3"/>
      <c r="W5001" s="86"/>
      <c r="Y5001" s="75"/>
    </row>
    <row r="5002" spans="1:25" x14ac:dyDescent="0.25">
      <c r="A5002" s="75"/>
      <c r="C5002" s="81"/>
      <c r="D5002" s="81"/>
      <c r="I5002" s="81"/>
      <c r="K5002" s="82"/>
      <c r="L5002" s="123"/>
      <c r="M5002" s="3"/>
      <c r="N5002" s="3"/>
      <c r="O5002" s="3"/>
      <c r="P5002" s="125"/>
      <c r="Q5002" s="125"/>
      <c r="R5002" s="127"/>
      <c r="S5002" s="123"/>
      <c r="T5002" s="3"/>
      <c r="W5002" s="86"/>
    </row>
    <row r="5003" spans="1:25" x14ac:dyDescent="0.25">
      <c r="A5003" s="75"/>
      <c r="C5003" s="81"/>
      <c r="D5003" s="81"/>
      <c r="I5003" s="81"/>
      <c r="K5003" s="82"/>
      <c r="L5003" s="83"/>
      <c r="M5003" s="3"/>
      <c r="N5003" s="3"/>
      <c r="O5003" s="3"/>
      <c r="P5003" s="84"/>
      <c r="Q5003" s="84"/>
      <c r="R5003" s="85"/>
      <c r="S5003" s="83"/>
      <c r="T5003" s="3"/>
      <c r="W5003" s="86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BB7C-97A1-294D-8025-DCD60C319CE6}">
  <sheetPr codeName="Sheet5"/>
  <dimension ref="A1:K10"/>
  <sheetViews>
    <sheetView zoomScale="170" zoomScaleNormal="170" workbookViewId="0">
      <selection activeCell="G17" sqref="G17:H18"/>
    </sheetView>
  </sheetViews>
  <sheetFormatPr defaultColWidth="10.8515625" defaultRowHeight="16.5" x14ac:dyDescent="0.25"/>
  <cols>
    <col min="1" max="1" width="40.4453125" customWidth="1"/>
    <col min="2" max="2" width="18.98828125" bestFit="1" customWidth="1"/>
    <col min="6" max="6" width="17.87890625" customWidth="1"/>
  </cols>
  <sheetData>
    <row r="1" spans="1:11" ht="22.5" thickBot="1" x14ac:dyDescent="0.3">
      <c r="A1" s="44" t="s">
        <v>145</v>
      </c>
      <c r="B1" s="44" t="s">
        <v>57</v>
      </c>
      <c r="D1" s="328" t="s">
        <v>146</v>
      </c>
      <c r="E1" s="329"/>
      <c r="F1" s="330"/>
      <c r="G1" s="45"/>
      <c r="I1" s="46">
        <f>(B4+B5)/B2</f>
        <v>2.2545600000000001</v>
      </c>
      <c r="J1" s="47" t="s">
        <v>147</v>
      </c>
      <c r="K1">
        <v>92.74</v>
      </c>
    </row>
    <row r="2" spans="1:11" ht="21.75" x14ac:dyDescent="0.25">
      <c r="A2" s="48" t="s">
        <v>148</v>
      </c>
      <c r="B2" s="49">
        <v>18000</v>
      </c>
      <c r="H2" s="47" t="s">
        <v>149</v>
      </c>
      <c r="I2" s="45">
        <v>1.24</v>
      </c>
    </row>
    <row r="3" spans="1:11" ht="21.75" x14ac:dyDescent="0.25">
      <c r="A3" s="48" t="s">
        <v>150</v>
      </c>
      <c r="B3" s="50">
        <f>B2*(K1-I2)</f>
        <v>1647000</v>
      </c>
      <c r="D3" s="331" t="str">
        <f>_xlfn.TEXTJOIN("", TRUE, "Billing Price - ₹", K1-I2, "/- @ (Disc -  ₹", I2, " /-)")</f>
        <v>Billing Price - ₹91.5/- @ (Disc -  ₹1.24 /-)</v>
      </c>
      <c r="E3" s="331"/>
      <c r="F3" s="331"/>
      <c r="H3" s="47" t="s">
        <v>151</v>
      </c>
      <c r="I3" s="51">
        <v>2.24E-2</v>
      </c>
    </row>
    <row r="4" spans="1:11" ht="21.75" x14ac:dyDescent="0.25">
      <c r="A4" s="48" t="s">
        <v>152</v>
      </c>
      <c r="B4" s="52">
        <f>B3*I3</f>
        <v>36892.800000000003</v>
      </c>
      <c r="D4" s="331" t="s">
        <v>153</v>
      </c>
      <c r="E4" s="331"/>
      <c r="F4" s="331"/>
    </row>
    <row r="5" spans="1:11" ht="21.75" x14ac:dyDescent="0.25">
      <c r="A5" s="48" t="s">
        <v>154</v>
      </c>
      <c r="B5" s="52">
        <f>B4*10%</f>
        <v>3689.2800000000007</v>
      </c>
      <c r="D5" s="331" t="s">
        <v>155</v>
      </c>
      <c r="E5" s="331"/>
      <c r="F5" s="331"/>
    </row>
    <row r="6" spans="1:11" ht="21.75" x14ac:dyDescent="0.25">
      <c r="A6" s="48" t="s">
        <v>156</v>
      </c>
      <c r="B6" s="52">
        <f>B4-B5</f>
        <v>33203.520000000004</v>
      </c>
      <c r="D6" s="53"/>
    </row>
    <row r="8" spans="1:11" ht="17.25" thickBot="1" x14ac:dyDescent="0.3"/>
    <row r="9" spans="1:11" ht="21.95" customHeight="1" thickBot="1" x14ac:dyDescent="0.3">
      <c r="A9" s="54" t="s">
        <v>157</v>
      </c>
      <c r="B9" s="55">
        <f>B6/B2</f>
        <v>1.8446400000000003</v>
      </c>
      <c r="D9" s="332" t="s">
        <v>158</v>
      </c>
      <c r="E9" s="333"/>
      <c r="F9" s="56">
        <f>92.74-I2-I1</f>
        <v>89.245440000000002</v>
      </c>
    </row>
    <row r="10" spans="1:11" ht="21" x14ac:dyDescent="0.25">
      <c r="A10" s="54" t="s">
        <v>159</v>
      </c>
      <c r="B10" s="55">
        <f>I1</f>
        <v>2.2545600000000001</v>
      </c>
    </row>
  </sheetData>
  <mergeCells count="5">
    <mergeCell ref="D1:F1"/>
    <mergeCell ref="D3:F3"/>
    <mergeCell ref="D4:F4"/>
    <mergeCell ref="D5:F5"/>
    <mergeCell ref="D9:E9"/>
  </mergeCells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Billing</vt:lpstr>
      <vt:lpstr>Proforma Invoice</vt:lpstr>
      <vt:lpstr>Customers</vt:lpstr>
      <vt:lpstr>Shortage Cr Note</vt:lpstr>
      <vt:lpstr>RCP CrNote</vt:lpstr>
      <vt:lpstr>SMEL CrNote</vt:lpstr>
      <vt:lpstr>PI Log</vt:lpstr>
      <vt:lpstr>Quotation</vt:lpstr>
      <vt:lpstr>CustomerNames</vt:lpstr>
      <vt:lpstr>FuelTypeList</vt:lpstr>
      <vt:lpstr>HSD_RSP</vt:lpstr>
      <vt:lpstr>Billing!Print_Area</vt:lpstr>
      <vt:lpstr>Proforma Invoice!Print_Area</vt:lpstr>
      <vt:lpstr>ProductList</vt:lpstr>
      <vt:lpstr>TierList</vt:lpstr>
      <vt:lpstr>XP_Net</vt:lpstr>
      <vt:lpstr>XP_Points</vt:lpstr>
      <vt:lpstr>XP_TDS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Subham  Khetan</dc:creator>
  <cp:lastModifiedBy>Subham Khetan</cp:lastModifiedBy>
  <cp:lastPrinted>2026-08-30T07:01:01Z</cp:lastPrinted>
  <dcterms:created xsi:type="dcterms:W3CDTF">2024-09-17T10:32:00Z</dcterms:created>
  <dcterms:modified xsi:type="dcterms:W3CDTF">2026-08-30T07:02:20Z</dcterms:modified>
</cp:coreProperties>
</file>